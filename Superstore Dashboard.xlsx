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Excel\"/>
    </mc:Choice>
  </mc:AlternateContent>
  <xr:revisionPtr revIDLastSave="0" documentId="13_ncr:1_{82252819-9B54-4C14-929C-8F34AF4B1529}" xr6:coauthVersionLast="47" xr6:coauthVersionMax="47" xr10:uidLastSave="{00000000-0000-0000-0000-000000000000}"/>
  <bookViews>
    <workbookView xWindow="-120" yWindow="-120" windowWidth="20730" windowHeight="11760" activeTab="4" xr2:uid="{21841145-1759-4FB2-A9D9-BC74FEE1DEC1}"/>
  </bookViews>
  <sheets>
    <sheet name="Introduction" sheetId="5" r:id="rId1"/>
    <sheet name="Data" sheetId="6" r:id="rId2"/>
    <sheet name="pivot" sheetId="3" state="hidden" r:id="rId3"/>
    <sheet name="Dashboard" sheetId="2" r:id="rId4"/>
    <sheet name="Look up Analysis" sheetId="4" r:id="rId5"/>
  </sheets>
  <definedNames>
    <definedName name="_xlchart.v1.0" hidden="1">Data!$H$1</definedName>
    <definedName name="_xlchart.v1.1" hidden="1">Data!$H$2:$H$2001</definedName>
    <definedName name="NativeTimeline_OrderDate">#N/A</definedName>
  </definedNames>
  <calcPr calcId="191029"/>
  <pivotCaches>
    <pivotCache cacheId="0" r:id="rId6"/>
    <pivotCache cacheId="1" r:id="rId7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8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4" l="1"/>
  <c r="G23" i="4"/>
  <c r="G20" i="4"/>
  <c r="B17" i="4"/>
  <c r="G14" i="4"/>
  <c r="G11" i="4"/>
  <c r="G8" i="4"/>
  <c r="G17" i="4" l="1"/>
</calcChain>
</file>

<file path=xl/sharedStrings.xml><?xml version="1.0" encoding="utf-8"?>
<sst xmlns="http://schemas.openxmlformats.org/spreadsheetml/2006/main" count="12096" uniqueCount="4934">
  <si>
    <t>OrderID</t>
  </si>
  <si>
    <t>OrderDate</t>
  </si>
  <si>
    <t>CustomerName</t>
  </si>
  <si>
    <t>Region</t>
  </si>
  <si>
    <t>Category</t>
  </si>
  <si>
    <t>ProductName</t>
  </si>
  <si>
    <t>Quantity</t>
  </si>
  <si>
    <t>UnitPrice</t>
  </si>
  <si>
    <t>Discount%</t>
  </si>
  <si>
    <t>PaymentMethod</t>
  </si>
  <si>
    <t>TotalPrice</t>
  </si>
  <si>
    <t>ORD1000</t>
  </si>
  <si>
    <t>Zachary Schmidt</t>
  </si>
  <si>
    <t>North</t>
  </si>
  <si>
    <t>Net Banking</t>
  </si>
  <si>
    <t>ORD1001</t>
  </si>
  <si>
    <t>Larry Garcia</t>
  </si>
  <si>
    <t>Credit Card</t>
  </si>
  <si>
    <t>ORD1002</t>
  </si>
  <si>
    <t>Sarah Curtis</t>
  </si>
  <si>
    <t>East</t>
  </si>
  <si>
    <t>Cash</t>
  </si>
  <si>
    <t>ORD1003</t>
  </si>
  <si>
    <t>Michelle Lewis</t>
  </si>
  <si>
    <t>South</t>
  </si>
  <si>
    <t>ORD1004</t>
  </si>
  <si>
    <t>Darryl Morgan</t>
  </si>
  <si>
    <t>ORD1005</t>
  </si>
  <si>
    <t>Jason Davis</t>
  </si>
  <si>
    <t>Furniture</t>
  </si>
  <si>
    <t>ORD1006</t>
  </si>
  <si>
    <t>Maurice Brooks</t>
  </si>
  <si>
    <t>ORD1007</t>
  </si>
  <si>
    <t>Thomas Jones</t>
  </si>
  <si>
    <t>ORD1008</t>
  </si>
  <si>
    <t>Anna Davis</t>
  </si>
  <si>
    <t>West</t>
  </si>
  <si>
    <t>ORD1009</t>
  </si>
  <si>
    <t>Robin Hawkins</t>
  </si>
  <si>
    <t>UPI</t>
  </si>
  <si>
    <t>ORD1010</t>
  </si>
  <si>
    <t>Kristina Rivera</t>
  </si>
  <si>
    <t>ORD1011</t>
  </si>
  <si>
    <t>Hayden Ortega</t>
  </si>
  <si>
    <t>ORD1012</t>
  </si>
  <si>
    <t>Shawna Griffith</t>
  </si>
  <si>
    <t>ORD1013</t>
  </si>
  <si>
    <t>Lindsay Bell</t>
  </si>
  <si>
    <t>ORD1014</t>
  </si>
  <si>
    <t>Christy Douglas</t>
  </si>
  <si>
    <t>ORD1015</t>
  </si>
  <si>
    <t>Brian Bruce</t>
  </si>
  <si>
    <t>ORD1016</t>
  </si>
  <si>
    <t>Phillip Andrews</t>
  </si>
  <si>
    <t>ORD1017</t>
  </si>
  <si>
    <t>Sarah Villegas</t>
  </si>
  <si>
    <t>ORD1018</t>
  </si>
  <si>
    <t>Lisa Day</t>
  </si>
  <si>
    <t>ORD1019</t>
  </si>
  <si>
    <t>Timothy Gallegos</t>
  </si>
  <si>
    <t>ORD1020</t>
  </si>
  <si>
    <t>Christopher Park</t>
  </si>
  <si>
    <t>ORD1021</t>
  </si>
  <si>
    <t>Gerald Smith</t>
  </si>
  <si>
    <t>ORD1022</t>
  </si>
  <si>
    <t>Kylie Morales</t>
  </si>
  <si>
    <t>ORD1023</t>
  </si>
  <si>
    <t>Mark Johnson</t>
  </si>
  <si>
    <t>ORD1024</t>
  </si>
  <si>
    <t>Cindy Barnes</t>
  </si>
  <si>
    <t>ORD1025</t>
  </si>
  <si>
    <t>Jacob Griffith</t>
  </si>
  <si>
    <t>ORD1026</t>
  </si>
  <si>
    <t>Latoya Miller</t>
  </si>
  <si>
    <t>ORD1027</t>
  </si>
  <si>
    <t>Christopher Williamson</t>
  </si>
  <si>
    <t>ORD1028</t>
  </si>
  <si>
    <t>Denise Stanley</t>
  </si>
  <si>
    <t>ORD1029</t>
  </si>
  <si>
    <t>Mr. Donald Fischer</t>
  </si>
  <si>
    <t>ORD1030</t>
  </si>
  <si>
    <t>Jeffrey Campbell</t>
  </si>
  <si>
    <t>ORD1031</t>
  </si>
  <si>
    <t>Katelyn Estrada</t>
  </si>
  <si>
    <t>ORD1032</t>
  </si>
  <si>
    <t>James Greene</t>
  </si>
  <si>
    <t>ORD1033</t>
  </si>
  <si>
    <t>Eric Clark</t>
  </si>
  <si>
    <t>ORD1034</t>
  </si>
  <si>
    <t>David Murphy</t>
  </si>
  <si>
    <t>ORD1035</t>
  </si>
  <si>
    <t>Paul Thompson</t>
  </si>
  <si>
    <t>ORD1036</t>
  </si>
  <si>
    <t>Michael Mason</t>
  </si>
  <si>
    <t>ORD1037</t>
  </si>
  <si>
    <t>Renee Jones</t>
  </si>
  <si>
    <t>ORD1038</t>
  </si>
  <si>
    <t>Amanda Smith</t>
  </si>
  <si>
    <t>ORD1039</t>
  </si>
  <si>
    <t>Shannon Johnston</t>
  </si>
  <si>
    <t>ORD1040</t>
  </si>
  <si>
    <t>Michelle Butler</t>
  </si>
  <si>
    <t>ORD1041</t>
  </si>
  <si>
    <t>Alex Nguyen</t>
  </si>
  <si>
    <t>ORD1042</t>
  </si>
  <si>
    <t>Lisa Collier</t>
  </si>
  <si>
    <t>ORD1043</t>
  </si>
  <si>
    <t>Anita Richard</t>
  </si>
  <si>
    <t>ORD1044</t>
  </si>
  <si>
    <t>Kevin Warren</t>
  </si>
  <si>
    <t>ORD1045</t>
  </si>
  <si>
    <t>Eric Morgan</t>
  </si>
  <si>
    <t>ORD1046</t>
  </si>
  <si>
    <t>Christopher Dixon</t>
  </si>
  <si>
    <t>ORD1047</t>
  </si>
  <si>
    <t>Jordan Bullock</t>
  </si>
  <si>
    <t>ORD1048</t>
  </si>
  <si>
    <t>Nicholas Fuentes</t>
  </si>
  <si>
    <t>ORD1049</t>
  </si>
  <si>
    <t>Cynthia Thomas</t>
  </si>
  <si>
    <t>ORD1050</t>
  </si>
  <si>
    <t>Lance Wolf</t>
  </si>
  <si>
    <t>ORD1051</t>
  </si>
  <si>
    <t>Cassandra Mejia</t>
  </si>
  <si>
    <t>ORD1052</t>
  </si>
  <si>
    <t>Paul Wolf MD</t>
  </si>
  <si>
    <t>ORD1053</t>
  </si>
  <si>
    <t>Kristy Reid</t>
  </si>
  <si>
    <t>ORD1054</t>
  </si>
  <si>
    <t>Sharon Burton</t>
  </si>
  <si>
    <t>ORD1055</t>
  </si>
  <si>
    <t>Barry Ramos</t>
  </si>
  <si>
    <t>ORD1056</t>
  </si>
  <si>
    <t>Donald Brown</t>
  </si>
  <si>
    <t>ORD1057</t>
  </si>
  <si>
    <t>Emily Hayes</t>
  </si>
  <si>
    <t>ORD1058</t>
  </si>
  <si>
    <t>Ronald Jones</t>
  </si>
  <si>
    <t>ORD1059</t>
  </si>
  <si>
    <t>Savannah Gilbert</t>
  </si>
  <si>
    <t>ORD1060</t>
  </si>
  <si>
    <t>Julie Spencer</t>
  </si>
  <si>
    <t>ORD1061</t>
  </si>
  <si>
    <t>Stephanie Cole</t>
  </si>
  <si>
    <t>ORD1062</t>
  </si>
  <si>
    <t>Marissa Morris</t>
  </si>
  <si>
    <t>ORD1063</t>
  </si>
  <si>
    <t>Chris Brown</t>
  </si>
  <si>
    <t>ORD1064</t>
  </si>
  <si>
    <t>Steven Cooper</t>
  </si>
  <si>
    <t>ORD1065</t>
  </si>
  <si>
    <t>Kathy Thompson</t>
  </si>
  <si>
    <t>ORD1066</t>
  </si>
  <si>
    <t>Jeffrey Gonzales</t>
  </si>
  <si>
    <t>ORD1067</t>
  </si>
  <si>
    <t>Caitlin Watson</t>
  </si>
  <si>
    <t>ORD1068</t>
  </si>
  <si>
    <t>Jason Morgan</t>
  </si>
  <si>
    <t>ORD1069</t>
  </si>
  <si>
    <t>Rachel Holland</t>
  </si>
  <si>
    <t>ORD1070</t>
  </si>
  <si>
    <t>Brandon Gregory</t>
  </si>
  <si>
    <t>ORD1071</t>
  </si>
  <si>
    <t>Nathaniel Douglas</t>
  </si>
  <si>
    <t>ORD1072</t>
  </si>
  <si>
    <t>Shelley Cook</t>
  </si>
  <si>
    <t>ORD1073</t>
  </si>
  <si>
    <t>Brenda Bailey</t>
  </si>
  <si>
    <t>ORD1074</t>
  </si>
  <si>
    <t>Melissa Myers</t>
  </si>
  <si>
    <t>ORD1075</t>
  </si>
  <si>
    <t>Teresa Collins</t>
  </si>
  <si>
    <t>ORD1076</t>
  </si>
  <si>
    <t>Rickey Li</t>
  </si>
  <si>
    <t>ORD1077</t>
  </si>
  <si>
    <t>Sandra Rodgers</t>
  </si>
  <si>
    <t>ORD1078</t>
  </si>
  <si>
    <t>Kelsey Lucas</t>
  </si>
  <si>
    <t>ORD1079</t>
  </si>
  <si>
    <t>Ivan Cox</t>
  </si>
  <si>
    <t>ORD1080</t>
  </si>
  <si>
    <t>Daniel Meza</t>
  </si>
  <si>
    <t>ORD1081</t>
  </si>
  <si>
    <t>Mr. Chad Jones</t>
  </si>
  <si>
    <t>ORD1082</t>
  </si>
  <si>
    <t>Ashley Wise</t>
  </si>
  <si>
    <t>ORD1083</t>
  </si>
  <si>
    <t>Sophia Johnson</t>
  </si>
  <si>
    <t>ORD1084</t>
  </si>
  <si>
    <t>Ralph Anderson</t>
  </si>
  <si>
    <t>ORD1085</t>
  </si>
  <si>
    <t>Christopher Guerra</t>
  </si>
  <si>
    <t>ORD1086</t>
  </si>
  <si>
    <t>Rhonda Martin</t>
  </si>
  <si>
    <t>ORD1087</t>
  </si>
  <si>
    <t>Jason Rhodes</t>
  </si>
  <si>
    <t>ORD1088</t>
  </si>
  <si>
    <t>Jeremy Mitchell</t>
  </si>
  <si>
    <t>ORD1089</t>
  </si>
  <si>
    <t>Joann Ferguson</t>
  </si>
  <si>
    <t>ORD1090</t>
  </si>
  <si>
    <t>Robert Harrison</t>
  </si>
  <si>
    <t>ORD1091</t>
  </si>
  <si>
    <t>Holly Valentine</t>
  </si>
  <si>
    <t>ORD1092</t>
  </si>
  <si>
    <t>Mrs. Diane Reyes</t>
  </si>
  <si>
    <t>ORD1093</t>
  </si>
  <si>
    <t>Tracy Montoya</t>
  </si>
  <si>
    <t>ORD1094</t>
  </si>
  <si>
    <t>Brenda Wright</t>
  </si>
  <si>
    <t>ORD1095</t>
  </si>
  <si>
    <t>Shelly Spencer</t>
  </si>
  <si>
    <t>ORD1096</t>
  </si>
  <si>
    <t>Ryan Rosales</t>
  </si>
  <si>
    <t>ORD1097</t>
  </si>
  <si>
    <t>Phillip Nelson</t>
  </si>
  <si>
    <t>ORD1098</t>
  </si>
  <si>
    <t>Brittany Kim</t>
  </si>
  <si>
    <t>ORD1099</t>
  </si>
  <si>
    <t>Courtney Hayes</t>
  </si>
  <si>
    <t>ORD1100</t>
  </si>
  <si>
    <t>Alexander Brown</t>
  </si>
  <si>
    <t>ORD1101</t>
  </si>
  <si>
    <t>Cynthia Vang</t>
  </si>
  <si>
    <t>ORD1102</t>
  </si>
  <si>
    <t>Alfred Galvan</t>
  </si>
  <si>
    <t>ORD1103</t>
  </si>
  <si>
    <t>Marie Moody</t>
  </si>
  <si>
    <t>ORD1104</t>
  </si>
  <si>
    <t>Dustin Gallegos</t>
  </si>
  <si>
    <t>ORD1105</t>
  </si>
  <si>
    <t>Brenda Thornton</t>
  </si>
  <si>
    <t>ORD1106</t>
  </si>
  <si>
    <t>Aaron Miller</t>
  </si>
  <si>
    <t>ORD1107</t>
  </si>
  <si>
    <t>Ruben Dunn</t>
  </si>
  <si>
    <t>ORD1108</t>
  </si>
  <si>
    <t>Kelsey Rodriguez</t>
  </si>
  <si>
    <t>ORD1109</t>
  </si>
  <si>
    <t>Eric Williams</t>
  </si>
  <si>
    <t>ORD1110</t>
  </si>
  <si>
    <t>Riley Bryant</t>
  </si>
  <si>
    <t>ORD1111</t>
  </si>
  <si>
    <t>Taylor Carlson</t>
  </si>
  <si>
    <t>ORD1112</t>
  </si>
  <si>
    <t>Jose Allen</t>
  </si>
  <si>
    <t>ORD1113</t>
  </si>
  <si>
    <t>Jeffrey Mendez</t>
  </si>
  <si>
    <t>ORD1114</t>
  </si>
  <si>
    <t>Jason Beck</t>
  </si>
  <si>
    <t>ORD1115</t>
  </si>
  <si>
    <t>William Jones</t>
  </si>
  <si>
    <t>ORD1116</t>
  </si>
  <si>
    <t>Katie Mcneil</t>
  </si>
  <si>
    <t>ORD1117</t>
  </si>
  <si>
    <t>Jeanette Harrison</t>
  </si>
  <si>
    <t>ORD1118</t>
  </si>
  <si>
    <t>Veronica King</t>
  </si>
  <si>
    <t>ORD1119</t>
  </si>
  <si>
    <t>Richard Cooper</t>
  </si>
  <si>
    <t>ORD1120</t>
  </si>
  <si>
    <t>Lori Ingram</t>
  </si>
  <si>
    <t>ORD1121</t>
  </si>
  <si>
    <t>Evelyn Williams</t>
  </si>
  <si>
    <t>ORD1122</t>
  </si>
  <si>
    <t>Robin Thompson</t>
  </si>
  <si>
    <t>ORD1123</t>
  </si>
  <si>
    <t>Julie Dominguez</t>
  </si>
  <si>
    <t>ORD1124</t>
  </si>
  <si>
    <t>Robin Brown</t>
  </si>
  <si>
    <t>ORD1125</t>
  </si>
  <si>
    <t>Judith Carter</t>
  </si>
  <si>
    <t>ORD1126</t>
  </si>
  <si>
    <t>Curtis Williams</t>
  </si>
  <si>
    <t>ORD1127</t>
  </si>
  <si>
    <t>Kaylee Hays</t>
  </si>
  <si>
    <t>ORD1128</t>
  </si>
  <si>
    <t>Dawn Mullins</t>
  </si>
  <si>
    <t>ORD1129</t>
  </si>
  <si>
    <t>Howard Norman</t>
  </si>
  <si>
    <t>ORD1130</t>
  </si>
  <si>
    <t>Evelyn Martinez</t>
  </si>
  <si>
    <t>ORD1131</t>
  </si>
  <si>
    <t>Steve Paul</t>
  </si>
  <si>
    <t>ORD1132</t>
  </si>
  <si>
    <t>Jasmine Beltran</t>
  </si>
  <si>
    <t>ORD1133</t>
  </si>
  <si>
    <t>Jonathan Glass MD</t>
  </si>
  <si>
    <t>ORD1134</t>
  </si>
  <si>
    <t>Monica Miller</t>
  </si>
  <si>
    <t>ORD1135</t>
  </si>
  <si>
    <t>Samantha Gardner</t>
  </si>
  <si>
    <t>ORD1136</t>
  </si>
  <si>
    <t>Bobby Guerrero</t>
  </si>
  <si>
    <t>ORD1137</t>
  </si>
  <si>
    <t>Lance Simmons</t>
  </si>
  <si>
    <t>ORD1138</t>
  </si>
  <si>
    <t>Heather Williams</t>
  </si>
  <si>
    <t>ORD1139</t>
  </si>
  <si>
    <t>Heather Bolton</t>
  </si>
  <si>
    <t>ORD1140</t>
  </si>
  <si>
    <t>William Gould</t>
  </si>
  <si>
    <t>ORD1141</t>
  </si>
  <si>
    <t>Mark Cox</t>
  </si>
  <si>
    <t>ORD1142</t>
  </si>
  <si>
    <t>Meghan Cisneros</t>
  </si>
  <si>
    <t>ORD1143</t>
  </si>
  <si>
    <t>Lawrence Harrington</t>
  </si>
  <si>
    <t>ORD1144</t>
  </si>
  <si>
    <t>Austin Osborne</t>
  </si>
  <si>
    <t>ORD1145</t>
  </si>
  <si>
    <t>James Bradley</t>
  </si>
  <si>
    <t>ORD1146</t>
  </si>
  <si>
    <t>Meghan Rush</t>
  </si>
  <si>
    <t>ORD1147</t>
  </si>
  <si>
    <t>Phillip Berry</t>
  </si>
  <si>
    <t>ORD1148</t>
  </si>
  <si>
    <t>Jennifer Banks</t>
  </si>
  <si>
    <t>ORD1149</t>
  </si>
  <si>
    <t>Brian Fitzgerald</t>
  </si>
  <si>
    <t>ORD1150</t>
  </si>
  <si>
    <t>Mr. Justin Green III</t>
  </si>
  <si>
    <t>ORD1151</t>
  </si>
  <si>
    <t>Zachary Mitchell</t>
  </si>
  <si>
    <t>ORD1152</t>
  </si>
  <si>
    <t>Katherine Martinez</t>
  </si>
  <si>
    <t>ORD1153</t>
  </si>
  <si>
    <t>Jodi Roach</t>
  </si>
  <si>
    <t>ORD1154</t>
  </si>
  <si>
    <t>Brandon Fleming</t>
  </si>
  <si>
    <t>ORD1155</t>
  </si>
  <si>
    <t>Emma Reed</t>
  </si>
  <si>
    <t>ORD1156</t>
  </si>
  <si>
    <t>Joshua Vance</t>
  </si>
  <si>
    <t>ORD1157</t>
  </si>
  <si>
    <t>Michelle Ho</t>
  </si>
  <si>
    <t>ORD1158</t>
  </si>
  <si>
    <t>Rebecca Hicks</t>
  </si>
  <si>
    <t>ORD1159</t>
  </si>
  <si>
    <t>Curtis Taylor</t>
  </si>
  <si>
    <t>ORD1160</t>
  </si>
  <si>
    <t>Allison Spencer</t>
  </si>
  <si>
    <t>ORD1161</t>
  </si>
  <si>
    <t>Robert Arnold</t>
  </si>
  <si>
    <t>ORD1162</t>
  </si>
  <si>
    <t>Angelica Parker</t>
  </si>
  <si>
    <t>ORD1163</t>
  </si>
  <si>
    <t>Dr. Kelly Hammond DVM</t>
  </si>
  <si>
    <t>ORD1164</t>
  </si>
  <si>
    <t>William Day</t>
  </si>
  <si>
    <t>ORD1165</t>
  </si>
  <si>
    <t>Michael Cooper</t>
  </si>
  <si>
    <t>ORD1166</t>
  </si>
  <si>
    <t>Penny Bowman</t>
  </si>
  <si>
    <t>ORD1167</t>
  </si>
  <si>
    <t>Vincent Reynolds</t>
  </si>
  <si>
    <t>ORD1168</t>
  </si>
  <si>
    <t>Amy Martinez</t>
  </si>
  <si>
    <t>ORD1169</t>
  </si>
  <si>
    <t>Christopher Morris</t>
  </si>
  <si>
    <t>ORD1170</t>
  </si>
  <si>
    <t>Hannah Everett</t>
  </si>
  <si>
    <t>ORD1171</t>
  </si>
  <si>
    <t>Sarah King</t>
  </si>
  <si>
    <t>ORD1172</t>
  </si>
  <si>
    <t>Krista Martinez</t>
  </si>
  <si>
    <t>ORD1173</t>
  </si>
  <si>
    <t>Joseph Shaw</t>
  </si>
  <si>
    <t>ORD1174</t>
  </si>
  <si>
    <t>Todd Moore</t>
  </si>
  <si>
    <t>ORD1175</t>
  </si>
  <si>
    <t>Michelle Jacobs</t>
  </si>
  <si>
    <t>ORD1176</t>
  </si>
  <si>
    <t>Kristy Bryan</t>
  </si>
  <si>
    <t>ORD1177</t>
  </si>
  <si>
    <t>Angel May</t>
  </si>
  <si>
    <t>ORD1178</t>
  </si>
  <si>
    <t>Marilyn Wang</t>
  </si>
  <si>
    <t>ORD1179</t>
  </si>
  <si>
    <t>Mark Jimenez</t>
  </si>
  <si>
    <t>ORD1180</t>
  </si>
  <si>
    <t>Donna Frye</t>
  </si>
  <si>
    <t>ORD1181</t>
  </si>
  <si>
    <t>Dr. Michael Evans</t>
  </si>
  <si>
    <t>ORD1182</t>
  </si>
  <si>
    <t>Anthony Gonzales</t>
  </si>
  <si>
    <t>ORD1183</t>
  </si>
  <si>
    <t>Mr. Lawrence Edwards</t>
  </si>
  <si>
    <t>ORD1184</t>
  </si>
  <si>
    <t>Morgan Valencia</t>
  </si>
  <si>
    <t>ORD1185</t>
  </si>
  <si>
    <t>Bianca Wood</t>
  </si>
  <si>
    <t>ORD1186</t>
  </si>
  <si>
    <t>Emma Owens</t>
  </si>
  <si>
    <t>ORD1187</t>
  </si>
  <si>
    <t>David Davis</t>
  </si>
  <si>
    <t>ORD1188</t>
  </si>
  <si>
    <t>James Gilbert</t>
  </si>
  <si>
    <t>ORD1189</t>
  </si>
  <si>
    <t>Sean Moore</t>
  </si>
  <si>
    <t>ORD1190</t>
  </si>
  <si>
    <t>Kenneth Edwards</t>
  </si>
  <si>
    <t>ORD1191</t>
  </si>
  <si>
    <t>Kathleen Robertson</t>
  </si>
  <si>
    <t>ORD1192</t>
  </si>
  <si>
    <t>Mr. Alexander Landry MD</t>
  </si>
  <si>
    <t>ORD1193</t>
  </si>
  <si>
    <t>Cindy Gomez</t>
  </si>
  <si>
    <t>ORD1194</t>
  </si>
  <si>
    <t>Johnny Khan</t>
  </si>
  <si>
    <t>ORD1195</t>
  </si>
  <si>
    <t>Julie Herrera</t>
  </si>
  <si>
    <t>ORD1196</t>
  </si>
  <si>
    <t>Jessica Khan</t>
  </si>
  <si>
    <t>ORD1197</t>
  </si>
  <si>
    <t>Pamela Diaz</t>
  </si>
  <si>
    <t>ORD1198</t>
  </si>
  <si>
    <t>Kelly Lee</t>
  </si>
  <si>
    <t>ORD1199</t>
  </si>
  <si>
    <t>Angel Gordon</t>
  </si>
  <si>
    <t>ORD1200</t>
  </si>
  <si>
    <t>Diana Hays</t>
  </si>
  <si>
    <t>ORD1201</t>
  </si>
  <si>
    <t>Barbara Hester</t>
  </si>
  <si>
    <t>ORD1202</t>
  </si>
  <si>
    <t>Robert Morgan</t>
  </si>
  <si>
    <t>ORD1203</t>
  </si>
  <si>
    <t>Nicole Gonzalez</t>
  </si>
  <si>
    <t>ORD1204</t>
  </si>
  <si>
    <t>Kathryn Williams</t>
  </si>
  <si>
    <t>ORD1205</t>
  </si>
  <si>
    <t>Gary Wells</t>
  </si>
  <si>
    <t>ORD1206</t>
  </si>
  <si>
    <t>Larry Robertson</t>
  </si>
  <si>
    <t>ORD1207</t>
  </si>
  <si>
    <t>Louis Martin</t>
  </si>
  <si>
    <t>ORD1208</t>
  </si>
  <si>
    <t>Nancy Evans MD</t>
  </si>
  <si>
    <t>ORD1209</t>
  </si>
  <si>
    <t>Kim Erickson</t>
  </si>
  <si>
    <t>ORD1210</t>
  </si>
  <si>
    <t>Robert Richardson</t>
  </si>
  <si>
    <t>ORD1211</t>
  </si>
  <si>
    <t>Veronica Silva</t>
  </si>
  <si>
    <t>ORD1212</t>
  </si>
  <si>
    <t>Molly Watts</t>
  </si>
  <si>
    <t>ORD1213</t>
  </si>
  <si>
    <t>John Coffey</t>
  </si>
  <si>
    <t>ORD1214</t>
  </si>
  <si>
    <t>Paula Lane</t>
  </si>
  <si>
    <t>ORD1215</t>
  </si>
  <si>
    <t>Lauren Jackson</t>
  </si>
  <si>
    <t>ORD1216</t>
  </si>
  <si>
    <t>Lisa Randall</t>
  </si>
  <si>
    <t>ORD1217</t>
  </si>
  <si>
    <t>Michael Johnson</t>
  </si>
  <si>
    <t>ORD1218</t>
  </si>
  <si>
    <t>Ashley Smith</t>
  </si>
  <si>
    <t>ORD1219</t>
  </si>
  <si>
    <t>Christian Vaughn</t>
  </si>
  <si>
    <t>ORD1220</t>
  </si>
  <si>
    <t>Reginald Knapp</t>
  </si>
  <si>
    <t>ORD1221</t>
  </si>
  <si>
    <t>Nancy Brown</t>
  </si>
  <si>
    <t>ORD1222</t>
  </si>
  <si>
    <t>Daniel Nguyen</t>
  </si>
  <si>
    <t>ORD1223</t>
  </si>
  <si>
    <t>Kelly Edwards</t>
  </si>
  <si>
    <t>ORD1224</t>
  </si>
  <si>
    <t>Thomas Peterson</t>
  </si>
  <si>
    <t>ORD1225</t>
  </si>
  <si>
    <t>Raymond Le</t>
  </si>
  <si>
    <t>ORD1226</t>
  </si>
  <si>
    <t>Melissa Bishop</t>
  </si>
  <si>
    <t>ORD1227</t>
  </si>
  <si>
    <t>David Grant</t>
  </si>
  <si>
    <t>ORD1228</t>
  </si>
  <si>
    <t>William Evans</t>
  </si>
  <si>
    <t>ORD1229</t>
  </si>
  <si>
    <t>Daniel Bush</t>
  </si>
  <si>
    <t>ORD1230</t>
  </si>
  <si>
    <t>Gregory Peck</t>
  </si>
  <si>
    <t>ORD1231</t>
  </si>
  <si>
    <t>Denise Martinez</t>
  </si>
  <si>
    <t>ORD1232</t>
  </si>
  <si>
    <t>Jamie Baird</t>
  </si>
  <si>
    <t>ORD1233</t>
  </si>
  <si>
    <t>Tina Ballard</t>
  </si>
  <si>
    <t>ORD1234</t>
  </si>
  <si>
    <t>Dwayne Klein</t>
  </si>
  <si>
    <t>ORD1235</t>
  </si>
  <si>
    <t>Jeremy Scott</t>
  </si>
  <si>
    <t>ORD1236</t>
  </si>
  <si>
    <t>Dale Ryan</t>
  </si>
  <si>
    <t>ORD1237</t>
  </si>
  <si>
    <t>Melissa Taylor</t>
  </si>
  <si>
    <t>ORD1238</t>
  </si>
  <si>
    <t>Laurie Sanchez</t>
  </si>
  <si>
    <t>ORD1239</t>
  </si>
  <si>
    <t>Kiara Little</t>
  </si>
  <si>
    <t>ORD1240</t>
  </si>
  <si>
    <t>Jason Love</t>
  </si>
  <si>
    <t>ORD1241</t>
  </si>
  <si>
    <t>Randy Smith</t>
  </si>
  <si>
    <t>ORD1242</t>
  </si>
  <si>
    <t>Tanya Russell</t>
  </si>
  <si>
    <t>ORD1243</t>
  </si>
  <si>
    <t>Sherry Woods</t>
  </si>
  <si>
    <t>ORD1244</t>
  </si>
  <si>
    <t>Victor Morris</t>
  </si>
  <si>
    <t>ORD1245</t>
  </si>
  <si>
    <t>Susan Davis</t>
  </si>
  <si>
    <t>ORD1246</t>
  </si>
  <si>
    <t>Kimberly Sharp</t>
  </si>
  <si>
    <t>ORD1247</t>
  </si>
  <si>
    <t>Susan Thompson</t>
  </si>
  <si>
    <t>ORD1248</t>
  </si>
  <si>
    <t>Casey Gillespie</t>
  </si>
  <si>
    <t>ORD1249</t>
  </si>
  <si>
    <t>Jennifer Simpson DVM</t>
  </si>
  <si>
    <t>ORD1250</t>
  </si>
  <si>
    <t>Tammy Mcdowell</t>
  </si>
  <si>
    <t>ORD1251</t>
  </si>
  <si>
    <t>Keith Rodriguez</t>
  </si>
  <si>
    <t>ORD1252</t>
  </si>
  <si>
    <t>Mrs. Virginia Daniels</t>
  </si>
  <si>
    <t>ORD1253</t>
  </si>
  <si>
    <t>Todd Rosales MD</t>
  </si>
  <si>
    <t>ORD1254</t>
  </si>
  <si>
    <t>Brian Martin</t>
  </si>
  <si>
    <t>ORD1255</t>
  </si>
  <si>
    <t>David Lopez</t>
  </si>
  <si>
    <t>ORD1256</t>
  </si>
  <si>
    <t>Rachel Bradley</t>
  </si>
  <si>
    <t>ORD1257</t>
  </si>
  <si>
    <t>Casey Chase</t>
  </si>
  <si>
    <t>ORD1258</t>
  </si>
  <si>
    <t>Samantha Robertson</t>
  </si>
  <si>
    <t>ORD1259</t>
  </si>
  <si>
    <t>Michael Lopez</t>
  </si>
  <si>
    <t>ORD1260</t>
  </si>
  <si>
    <t>Franklin Wright</t>
  </si>
  <si>
    <t>ORD1261</t>
  </si>
  <si>
    <t>David Molina</t>
  </si>
  <si>
    <t>ORD1262</t>
  </si>
  <si>
    <t>Elizabeth Sharp</t>
  </si>
  <si>
    <t>ORD1263</t>
  </si>
  <si>
    <t>Matthew Schwartz</t>
  </si>
  <si>
    <t>ORD1264</t>
  </si>
  <si>
    <t>Bryan Parker</t>
  </si>
  <si>
    <t>ORD1265</t>
  </si>
  <si>
    <t>Jonathan Jacobson</t>
  </si>
  <si>
    <t>ORD1266</t>
  </si>
  <si>
    <t>Emily Wilson</t>
  </si>
  <si>
    <t>ORD1267</t>
  </si>
  <si>
    <t>Elizabeth Mendez</t>
  </si>
  <si>
    <t>ORD1268</t>
  </si>
  <si>
    <t>Casey Hernandez</t>
  </si>
  <si>
    <t>ORD1269</t>
  </si>
  <si>
    <t>Lisa Perry</t>
  </si>
  <si>
    <t>ORD1270</t>
  </si>
  <si>
    <t>Kaitlin Medina</t>
  </si>
  <si>
    <t>ORD1271</t>
  </si>
  <si>
    <t>Colleen Wright</t>
  </si>
  <si>
    <t>ORD1272</t>
  </si>
  <si>
    <t>Shelley Miller</t>
  </si>
  <si>
    <t>ORD1273</t>
  </si>
  <si>
    <t>Michael Miller</t>
  </si>
  <si>
    <t>ORD1274</t>
  </si>
  <si>
    <t>Amy Kelley</t>
  </si>
  <si>
    <t>ORD1275</t>
  </si>
  <si>
    <t>Laura Hernandez</t>
  </si>
  <si>
    <t>ORD1276</t>
  </si>
  <si>
    <t>Joseph Wilson</t>
  </si>
  <si>
    <t>ORD1277</t>
  </si>
  <si>
    <t>Kevin Davis</t>
  </si>
  <si>
    <t>ORD1278</t>
  </si>
  <si>
    <t>Rhonda Chavez</t>
  </si>
  <si>
    <t>ORD1279</t>
  </si>
  <si>
    <t>Joyce Brown</t>
  </si>
  <si>
    <t>ORD1280</t>
  </si>
  <si>
    <t>Robert Cummings</t>
  </si>
  <si>
    <t>ORD1281</t>
  </si>
  <si>
    <t>Robert Reese</t>
  </si>
  <si>
    <t>ORD1282</t>
  </si>
  <si>
    <t>Amber Cooper</t>
  </si>
  <si>
    <t>ORD1283</t>
  </si>
  <si>
    <t>Zachary Michael</t>
  </si>
  <si>
    <t>ORD1284</t>
  </si>
  <si>
    <t>Timothy Johnson</t>
  </si>
  <si>
    <t>ORD1285</t>
  </si>
  <si>
    <t>Randy Cannon</t>
  </si>
  <si>
    <t>ORD1286</t>
  </si>
  <si>
    <t>Maria Fisher</t>
  </si>
  <si>
    <t>ORD1287</t>
  </si>
  <si>
    <t>Janet Kane DVM</t>
  </si>
  <si>
    <t>ORD1288</t>
  </si>
  <si>
    <t>Michael Stanley</t>
  </si>
  <si>
    <t>ORD1289</t>
  </si>
  <si>
    <t>Martha Bailey</t>
  </si>
  <si>
    <t>ORD1290</t>
  </si>
  <si>
    <t>Joshua Rice</t>
  </si>
  <si>
    <t>ORD1291</t>
  </si>
  <si>
    <t>Courtney Smith</t>
  </si>
  <si>
    <t>ORD1292</t>
  </si>
  <si>
    <t>Edwin Nunez</t>
  </si>
  <si>
    <t>ORD1293</t>
  </si>
  <si>
    <t>Kim Morrow</t>
  </si>
  <si>
    <t>ORD1294</t>
  </si>
  <si>
    <t>Gregory Hill</t>
  </si>
  <si>
    <t>ORD1295</t>
  </si>
  <si>
    <t>Molly Rodriguez</t>
  </si>
  <si>
    <t>ORD1296</t>
  </si>
  <si>
    <t>Jennifer Miranda</t>
  </si>
  <si>
    <t>ORD1297</t>
  </si>
  <si>
    <t>Alexis Harris</t>
  </si>
  <si>
    <t>ORD1298</t>
  </si>
  <si>
    <t>Andrew Harper</t>
  </si>
  <si>
    <t>ORD1299</t>
  </si>
  <si>
    <t>Amber Yang</t>
  </si>
  <si>
    <t>ORD1300</t>
  </si>
  <si>
    <t>David Robinson</t>
  </si>
  <si>
    <t>ORD1301</t>
  </si>
  <si>
    <t>Amy Gordon</t>
  </si>
  <si>
    <t>ORD1302</t>
  </si>
  <si>
    <t>Robert Dennis</t>
  </si>
  <si>
    <t>ORD1303</t>
  </si>
  <si>
    <t>Kyle Chambers</t>
  </si>
  <si>
    <t>ORD1304</t>
  </si>
  <si>
    <t>Eric Thomas</t>
  </si>
  <si>
    <t>ORD1305</t>
  </si>
  <si>
    <t>Connie Turner</t>
  </si>
  <si>
    <t>ORD1306</t>
  </si>
  <si>
    <t>Travis Hobbs</t>
  </si>
  <si>
    <t>ORD1307</t>
  </si>
  <si>
    <t>Lori Simmons</t>
  </si>
  <si>
    <t>ORD1308</t>
  </si>
  <si>
    <t>William David DDS</t>
  </si>
  <si>
    <t>ORD1309</t>
  </si>
  <si>
    <t>Emma Butler</t>
  </si>
  <si>
    <t>ORD1310</t>
  </si>
  <si>
    <t>James Webster</t>
  </si>
  <si>
    <t>ORD1311</t>
  </si>
  <si>
    <t>Samuel Turner</t>
  </si>
  <si>
    <t>ORD1312</t>
  </si>
  <si>
    <t>Renee Melendez</t>
  </si>
  <si>
    <t>ORD1313</t>
  </si>
  <si>
    <t>Tracy Grant</t>
  </si>
  <si>
    <t>ORD1314</t>
  </si>
  <si>
    <t>David Harris</t>
  </si>
  <si>
    <t>ORD1315</t>
  </si>
  <si>
    <t>Tammy Boone</t>
  </si>
  <si>
    <t>ORD1316</t>
  </si>
  <si>
    <t>Nathaniel Lee</t>
  </si>
  <si>
    <t>ORD1317</t>
  </si>
  <si>
    <t>Michael Morrison</t>
  </si>
  <si>
    <t>ORD1318</t>
  </si>
  <si>
    <t>Chelsea Gill</t>
  </si>
  <si>
    <t>ORD1319</t>
  </si>
  <si>
    <t>Kristin Mendoza</t>
  </si>
  <si>
    <t>ORD1320</t>
  </si>
  <si>
    <t>Felicia Krueger</t>
  </si>
  <si>
    <t>ORD1321</t>
  </si>
  <si>
    <t>Timothy Hayden</t>
  </si>
  <si>
    <t>ORD1322</t>
  </si>
  <si>
    <t>Zachary Mendoza</t>
  </si>
  <si>
    <t>ORD1323</t>
  </si>
  <si>
    <t>Larry Harris</t>
  </si>
  <si>
    <t>ORD1324</t>
  </si>
  <si>
    <t>Kristen Rowe</t>
  </si>
  <si>
    <t>ORD1325</t>
  </si>
  <si>
    <t>Joseph Howard</t>
  </si>
  <si>
    <t>ORD1326</t>
  </si>
  <si>
    <t>Jose Crawford</t>
  </si>
  <si>
    <t>ORD1327</t>
  </si>
  <si>
    <t>William Harrison</t>
  </si>
  <si>
    <t>ORD1328</t>
  </si>
  <si>
    <t>Suzanne Wood</t>
  </si>
  <si>
    <t>ORD1329</t>
  </si>
  <si>
    <t>Justin Walker</t>
  </si>
  <si>
    <t>ORD1330</t>
  </si>
  <si>
    <t>Dean Donovan</t>
  </si>
  <si>
    <t>ORD1331</t>
  </si>
  <si>
    <t>Jennifer Hernandez</t>
  </si>
  <si>
    <t>ORD1332</t>
  </si>
  <si>
    <t>James Whitaker</t>
  </si>
  <si>
    <t>ORD1333</t>
  </si>
  <si>
    <t>Mr. Michael Scott PhD</t>
  </si>
  <si>
    <t>ORD1334</t>
  </si>
  <si>
    <t>Maria Henry</t>
  </si>
  <si>
    <t>ORD1335</t>
  </si>
  <si>
    <t>Robert Jackson</t>
  </si>
  <si>
    <t>ORD1336</t>
  </si>
  <si>
    <t>Katherine Stark</t>
  </si>
  <si>
    <t>ORD1337</t>
  </si>
  <si>
    <t>Maria Brown</t>
  </si>
  <si>
    <t>ORD1338</t>
  </si>
  <si>
    <t>Ryan Landry</t>
  </si>
  <si>
    <t>ORD1339</t>
  </si>
  <si>
    <t>Pamela Gutierrez</t>
  </si>
  <si>
    <t>ORD1340</t>
  </si>
  <si>
    <t>Crystal Mann</t>
  </si>
  <si>
    <t>ORD1341</t>
  </si>
  <si>
    <t>Jonathan Brooks</t>
  </si>
  <si>
    <t>ORD1342</t>
  </si>
  <si>
    <t>Mary Jensen</t>
  </si>
  <si>
    <t>ORD1343</t>
  </si>
  <si>
    <t>Mr. Aaron Arnold</t>
  </si>
  <si>
    <t>ORD1344</t>
  </si>
  <si>
    <t>Joseph Hill</t>
  </si>
  <si>
    <t>ORD1345</t>
  </si>
  <si>
    <t>Alicia Li</t>
  </si>
  <si>
    <t>ORD1346</t>
  </si>
  <si>
    <t>Renee Browning</t>
  </si>
  <si>
    <t>ORD1347</t>
  </si>
  <si>
    <t>Brent Hernandez</t>
  </si>
  <si>
    <t>ORD1348</t>
  </si>
  <si>
    <t>Joseph Ochoa</t>
  </si>
  <si>
    <t>ORD1349</t>
  </si>
  <si>
    <t>James Watson</t>
  </si>
  <si>
    <t>ORD1350</t>
  </si>
  <si>
    <t>Karl Branch</t>
  </si>
  <si>
    <t>ORD1351</t>
  </si>
  <si>
    <t>Michael Abbott</t>
  </si>
  <si>
    <t>ORD1352</t>
  </si>
  <si>
    <t>Shannon Malone</t>
  </si>
  <si>
    <t>ORD1353</t>
  </si>
  <si>
    <t>James Tran</t>
  </si>
  <si>
    <t>ORD1354</t>
  </si>
  <si>
    <t>Adam Jackson</t>
  </si>
  <si>
    <t>ORD1355</t>
  </si>
  <si>
    <t>Mr. Richard Knight PhD</t>
  </si>
  <si>
    <t>ORD1356</t>
  </si>
  <si>
    <t>Joseph Williams</t>
  </si>
  <si>
    <t>ORD1357</t>
  </si>
  <si>
    <t>Sean Clay</t>
  </si>
  <si>
    <t>ORD1358</t>
  </si>
  <si>
    <t>Anthony Jones</t>
  </si>
  <si>
    <t>ORD1359</t>
  </si>
  <si>
    <t>Stephanie Elliott</t>
  </si>
  <si>
    <t>ORD1360</t>
  </si>
  <si>
    <t>Timothy Edwards</t>
  </si>
  <si>
    <t>ORD1361</t>
  </si>
  <si>
    <t>Laurie Goodwin</t>
  </si>
  <si>
    <t>ORD1362</t>
  </si>
  <si>
    <t>Jennifer Jones</t>
  </si>
  <si>
    <t>ORD1363</t>
  </si>
  <si>
    <t>David Davenport</t>
  </si>
  <si>
    <t>ORD1364</t>
  </si>
  <si>
    <t>Steven Rivera</t>
  </si>
  <si>
    <t>ORD1365</t>
  </si>
  <si>
    <t>Brenda Hinton</t>
  </si>
  <si>
    <t>ORD1366</t>
  </si>
  <si>
    <t>Kathryn Mccann</t>
  </si>
  <si>
    <t>ORD1367</t>
  </si>
  <si>
    <t>Jeffrey Roberson</t>
  </si>
  <si>
    <t>ORD1368</t>
  </si>
  <si>
    <t>Randy Friedman</t>
  </si>
  <si>
    <t>ORD1369</t>
  </si>
  <si>
    <t>Raymond Johnson</t>
  </si>
  <si>
    <t>ORD1370</t>
  </si>
  <si>
    <t>Willie Henry</t>
  </si>
  <si>
    <t>ORD1371</t>
  </si>
  <si>
    <t>Todd Reynolds</t>
  </si>
  <si>
    <t>ORD1372</t>
  </si>
  <si>
    <t>Mary Miller</t>
  </si>
  <si>
    <t>ORD1373</t>
  </si>
  <si>
    <t>Rebecca Marquez</t>
  </si>
  <si>
    <t>ORD1374</t>
  </si>
  <si>
    <t>Christian Dawson</t>
  </si>
  <si>
    <t>ORD1375</t>
  </si>
  <si>
    <t>Nancy Stewart</t>
  </si>
  <si>
    <t>ORD1376</t>
  </si>
  <si>
    <t>Aaron Parker</t>
  </si>
  <si>
    <t>ORD1377</t>
  </si>
  <si>
    <t>Derrick Anderson</t>
  </si>
  <si>
    <t>ORD1378</t>
  </si>
  <si>
    <t>Jerry Peters</t>
  </si>
  <si>
    <t>ORD1379</t>
  </si>
  <si>
    <t>Alexander Gomez</t>
  </si>
  <si>
    <t>ORD1380</t>
  </si>
  <si>
    <t>Kyle Nguyen</t>
  </si>
  <si>
    <t>ORD1381</t>
  </si>
  <si>
    <t>Edgar Hughes</t>
  </si>
  <si>
    <t>ORD1382</t>
  </si>
  <si>
    <t>Steven Stein</t>
  </si>
  <si>
    <t>ORD1383</t>
  </si>
  <si>
    <t>Laura Jackson</t>
  </si>
  <si>
    <t>ORD1384</t>
  </si>
  <si>
    <t>Charles Turner</t>
  </si>
  <si>
    <t>ORD1385</t>
  </si>
  <si>
    <t>Arthur Hamilton MD</t>
  </si>
  <si>
    <t>ORD1386</t>
  </si>
  <si>
    <t>Mr. David Wright</t>
  </si>
  <si>
    <t>ORD1387</t>
  </si>
  <si>
    <t>Linda Gonzalez</t>
  </si>
  <si>
    <t>ORD1388</t>
  </si>
  <si>
    <t>Eric Rush</t>
  </si>
  <si>
    <t>ORD1389</t>
  </si>
  <si>
    <t>Manuel Brock</t>
  </si>
  <si>
    <t>ORD1390</t>
  </si>
  <si>
    <t>George Ochoa</t>
  </si>
  <si>
    <t>ORD1391</t>
  </si>
  <si>
    <t>Valerie Taylor</t>
  </si>
  <si>
    <t>ORD1392</t>
  </si>
  <si>
    <t>Travis Harris</t>
  </si>
  <si>
    <t>ORD1393</t>
  </si>
  <si>
    <t>Vincent Novak</t>
  </si>
  <si>
    <t>ORD1394</t>
  </si>
  <si>
    <t>Michael Henry</t>
  </si>
  <si>
    <t>ORD1395</t>
  </si>
  <si>
    <t>Dana Bennett</t>
  </si>
  <si>
    <t>ORD1396</t>
  </si>
  <si>
    <t>Jenna Wilson</t>
  </si>
  <si>
    <t>ORD1397</t>
  </si>
  <si>
    <t>Leslie Gardner</t>
  </si>
  <si>
    <t>ORD1398</t>
  </si>
  <si>
    <t>Krista Benton</t>
  </si>
  <si>
    <t>ORD1399</t>
  </si>
  <si>
    <t>Michael Gonzales</t>
  </si>
  <si>
    <t>ORD1400</t>
  </si>
  <si>
    <t>Michael Fuentes</t>
  </si>
  <si>
    <t>ORD1401</t>
  </si>
  <si>
    <t>Jennifer Porter</t>
  </si>
  <si>
    <t>ORD1402</t>
  </si>
  <si>
    <t>Dana Hopkins</t>
  </si>
  <si>
    <t>ORD1403</t>
  </si>
  <si>
    <t>Rachel Jones</t>
  </si>
  <si>
    <t>ORD1404</t>
  </si>
  <si>
    <t>Karen Morales DDS</t>
  </si>
  <si>
    <t>ORD1405</t>
  </si>
  <si>
    <t>Melissa Stephens</t>
  </si>
  <si>
    <t>ORD1406</t>
  </si>
  <si>
    <t>Heather Woodard</t>
  </si>
  <si>
    <t>ORD1407</t>
  </si>
  <si>
    <t>Margaret Miller</t>
  </si>
  <si>
    <t>ORD1408</t>
  </si>
  <si>
    <t>Mary Kelly</t>
  </si>
  <si>
    <t>ORD1409</t>
  </si>
  <si>
    <t>Amanda Terrell</t>
  </si>
  <si>
    <t>ORD1410</t>
  </si>
  <si>
    <t>Jennifer Goodwin</t>
  </si>
  <si>
    <t>ORD1411</t>
  </si>
  <si>
    <t>Jessica Smith</t>
  </si>
  <si>
    <t>ORD1412</t>
  </si>
  <si>
    <t>Jorge Stone</t>
  </si>
  <si>
    <t>ORD1413</t>
  </si>
  <si>
    <t>Laura Griffin</t>
  </si>
  <si>
    <t>ORD1414</t>
  </si>
  <si>
    <t>Raymond Chapman</t>
  </si>
  <si>
    <t>ORD1415</t>
  </si>
  <si>
    <t>Haley Johnson</t>
  </si>
  <si>
    <t>ORD1416</t>
  </si>
  <si>
    <t>Jason Nixon</t>
  </si>
  <si>
    <t>ORD1417</t>
  </si>
  <si>
    <t>Todd Thomas</t>
  </si>
  <si>
    <t>ORD1418</t>
  </si>
  <si>
    <t>Jesse Clark</t>
  </si>
  <si>
    <t>ORD1419</t>
  </si>
  <si>
    <t>Mr. Jeffrey Horton</t>
  </si>
  <si>
    <t>ORD1420</t>
  </si>
  <si>
    <t>Eric Patrick</t>
  </si>
  <si>
    <t>ORD1421</t>
  </si>
  <si>
    <t>Samuel Wong</t>
  </si>
  <si>
    <t>ORD1422</t>
  </si>
  <si>
    <t>Carly Riggs</t>
  </si>
  <si>
    <t>ORD1423</t>
  </si>
  <si>
    <t>Christopher Moore</t>
  </si>
  <si>
    <t>ORD1424</t>
  </si>
  <si>
    <t>Tina Hall</t>
  </si>
  <si>
    <t>ORD1425</t>
  </si>
  <si>
    <t>Cody Davidson</t>
  </si>
  <si>
    <t>ORD1426</t>
  </si>
  <si>
    <t>Allen Mendez</t>
  </si>
  <si>
    <t>ORD1427</t>
  </si>
  <si>
    <t>Kevin Price</t>
  </si>
  <si>
    <t>ORD1428</t>
  </si>
  <si>
    <t>Christine Goodwin</t>
  </si>
  <si>
    <t>ORD1429</t>
  </si>
  <si>
    <t>Amy Garcia</t>
  </si>
  <si>
    <t>ORD1430</t>
  </si>
  <si>
    <t>Chelsea Nguyen</t>
  </si>
  <si>
    <t>ORD1431</t>
  </si>
  <si>
    <t>Dennis Huffman</t>
  </si>
  <si>
    <t>ORD1432</t>
  </si>
  <si>
    <t>Margaret Harper</t>
  </si>
  <si>
    <t>ORD1433</t>
  </si>
  <si>
    <t>Laurie Bailey</t>
  </si>
  <si>
    <t>ORD1434</t>
  </si>
  <si>
    <t>Lisa Cervantes</t>
  </si>
  <si>
    <t>ORD1435</t>
  </si>
  <si>
    <t>ORD1436</t>
  </si>
  <si>
    <t>Cesar Wilson</t>
  </si>
  <si>
    <t>ORD1437</t>
  </si>
  <si>
    <t>Clayton Steele</t>
  </si>
  <si>
    <t>ORD1438</t>
  </si>
  <si>
    <t>Jennifer Taylor</t>
  </si>
  <si>
    <t>ORD1439</t>
  </si>
  <si>
    <t>Cody Reid</t>
  </si>
  <si>
    <t>ORD1440</t>
  </si>
  <si>
    <t>Maria Cooke</t>
  </si>
  <si>
    <t>ORD1441</t>
  </si>
  <si>
    <t>Katherine Taylor</t>
  </si>
  <si>
    <t>ORD1442</t>
  </si>
  <si>
    <t>Jerry Brown</t>
  </si>
  <si>
    <t>ORD1443</t>
  </si>
  <si>
    <t>Adam Taylor</t>
  </si>
  <si>
    <t>ORD1444</t>
  </si>
  <si>
    <t>Tracey Wagner</t>
  </si>
  <si>
    <t>ORD1445</t>
  </si>
  <si>
    <t>Michael Perry PhD</t>
  </si>
  <si>
    <t>ORD1446</t>
  </si>
  <si>
    <t>Bradley Johnson DDS</t>
  </si>
  <si>
    <t>ORD1447</t>
  </si>
  <si>
    <t>Donald Medina</t>
  </si>
  <si>
    <t>ORD1448</t>
  </si>
  <si>
    <t>Jim Newton</t>
  </si>
  <si>
    <t>ORD1449</t>
  </si>
  <si>
    <t>Krista Wilson</t>
  </si>
  <si>
    <t>ORD1450</t>
  </si>
  <si>
    <t>Reginald Morrow</t>
  </si>
  <si>
    <t>ORD1451</t>
  </si>
  <si>
    <t>Rodney Williams</t>
  </si>
  <si>
    <t>ORD1452</t>
  </si>
  <si>
    <t>Kimberly Fritz</t>
  </si>
  <si>
    <t>ORD1453</t>
  </si>
  <si>
    <t>Ronald Potter</t>
  </si>
  <si>
    <t>ORD1454</t>
  </si>
  <si>
    <t>Zachary Cole</t>
  </si>
  <si>
    <t>ORD1455</t>
  </si>
  <si>
    <t>Robert Gonzales</t>
  </si>
  <si>
    <t>ORD1456</t>
  </si>
  <si>
    <t>Patricia Young PhD</t>
  </si>
  <si>
    <t>ORD1457</t>
  </si>
  <si>
    <t>Heather Page</t>
  </si>
  <si>
    <t>ORD1458</t>
  </si>
  <si>
    <t>Carol Taylor</t>
  </si>
  <si>
    <t>ORD1459</t>
  </si>
  <si>
    <t>Daniel Brown</t>
  </si>
  <si>
    <t>ORD1460</t>
  </si>
  <si>
    <t>Douglas Ryan</t>
  </si>
  <si>
    <t>ORD1461</t>
  </si>
  <si>
    <t>Michael Roberts</t>
  </si>
  <si>
    <t>ORD1462</t>
  </si>
  <si>
    <t>Scott Duke</t>
  </si>
  <si>
    <t>ORD1463</t>
  </si>
  <si>
    <t>Anna Estes</t>
  </si>
  <si>
    <t>ORD1464</t>
  </si>
  <si>
    <t>Tamara Riddle</t>
  </si>
  <si>
    <t>ORD1465</t>
  </si>
  <si>
    <t>Beth Cline</t>
  </si>
  <si>
    <t>ORD1466</t>
  </si>
  <si>
    <t>Michael Poole</t>
  </si>
  <si>
    <t>ORD1467</t>
  </si>
  <si>
    <t>Megan Burns</t>
  </si>
  <si>
    <t>ORD1468</t>
  </si>
  <si>
    <t>Debra Perry</t>
  </si>
  <si>
    <t>ORD1469</t>
  </si>
  <si>
    <t>Mark Beard</t>
  </si>
  <si>
    <t>ORD1470</t>
  </si>
  <si>
    <t>Jose Ramirez</t>
  </si>
  <si>
    <t>ORD1471</t>
  </si>
  <si>
    <t>Jackie Clements</t>
  </si>
  <si>
    <t>ORD1472</t>
  </si>
  <si>
    <t>Aaron Schroeder</t>
  </si>
  <si>
    <t>ORD1473</t>
  </si>
  <si>
    <t>Monica Ellis</t>
  </si>
  <si>
    <t>ORD1474</t>
  </si>
  <si>
    <t>Heather Brown</t>
  </si>
  <si>
    <t>ORD1475</t>
  </si>
  <si>
    <t>Claudia Jordan</t>
  </si>
  <si>
    <t>ORD1476</t>
  </si>
  <si>
    <t>Derrick Clayton</t>
  </si>
  <si>
    <t>ORD1477</t>
  </si>
  <si>
    <t>Kenneth Knight</t>
  </si>
  <si>
    <t>ORD1478</t>
  </si>
  <si>
    <t>Mr. Michael Williams</t>
  </si>
  <si>
    <t>ORD1479</t>
  </si>
  <si>
    <t>Richard Stevens</t>
  </si>
  <si>
    <t>ORD1480</t>
  </si>
  <si>
    <t>Scott Alexander</t>
  </si>
  <si>
    <t>ORD1481</t>
  </si>
  <si>
    <t>Tyler Harris</t>
  </si>
  <si>
    <t>ORD1482</t>
  </si>
  <si>
    <t>Bonnie Santos</t>
  </si>
  <si>
    <t>ORD1483</t>
  </si>
  <si>
    <t>Timothy Hill</t>
  </si>
  <si>
    <t>ORD1484</t>
  </si>
  <si>
    <t>Danielle Watson</t>
  </si>
  <si>
    <t>ORD1485</t>
  </si>
  <si>
    <t>Carol Sanders</t>
  </si>
  <si>
    <t>ORD1486</t>
  </si>
  <si>
    <t>Michael Young</t>
  </si>
  <si>
    <t>ORD1487</t>
  </si>
  <si>
    <t>Michele Smith</t>
  </si>
  <si>
    <t>ORD1488</t>
  </si>
  <si>
    <t>Casey Perez</t>
  </si>
  <si>
    <t>ORD1489</t>
  </si>
  <si>
    <t>Alexandra Dominguez</t>
  </si>
  <si>
    <t>ORD1490</t>
  </si>
  <si>
    <t>Virginia Henderson</t>
  </si>
  <si>
    <t>ORD1491</t>
  </si>
  <si>
    <t>Benjamin Reyes</t>
  </si>
  <si>
    <t>ORD1492</t>
  </si>
  <si>
    <t>Ashley Edwards</t>
  </si>
  <si>
    <t>ORD1493</t>
  </si>
  <si>
    <t>Breanna Ayala</t>
  </si>
  <si>
    <t>ORD1494</t>
  </si>
  <si>
    <t>Brandi Haney</t>
  </si>
  <si>
    <t>ORD1495</t>
  </si>
  <si>
    <t>Joseph Smith</t>
  </si>
  <si>
    <t>ORD1496</t>
  </si>
  <si>
    <t>Jessica Bowen</t>
  </si>
  <si>
    <t>ORD1497</t>
  </si>
  <si>
    <t>Brittany Jenkins</t>
  </si>
  <si>
    <t>ORD1498</t>
  </si>
  <si>
    <t>Shannon Miller</t>
  </si>
  <si>
    <t>ORD1499</t>
  </si>
  <si>
    <t>Paul Lawrence</t>
  </si>
  <si>
    <t>ORD1500</t>
  </si>
  <si>
    <t>Victor Edwards</t>
  </si>
  <si>
    <t>ORD1501</t>
  </si>
  <si>
    <t>Donald Miller</t>
  </si>
  <si>
    <t>ORD1502</t>
  </si>
  <si>
    <t>Lindsay Lawson</t>
  </si>
  <si>
    <t>ORD1503</t>
  </si>
  <si>
    <t>Melissa Abbott</t>
  </si>
  <si>
    <t>ORD1504</t>
  </si>
  <si>
    <t>Elizabeth Holmes</t>
  </si>
  <si>
    <t>ORD1505</t>
  </si>
  <si>
    <t>Nicole Phillips</t>
  </si>
  <si>
    <t>ORD1506</t>
  </si>
  <si>
    <t>Steven Blevins</t>
  </si>
  <si>
    <t>ORD1507</t>
  </si>
  <si>
    <t>Brian Porter MD</t>
  </si>
  <si>
    <t>ORD1508</t>
  </si>
  <si>
    <t>Vanessa Hatfield</t>
  </si>
  <si>
    <t>ORD1509</t>
  </si>
  <si>
    <t>Bonnie Valencia</t>
  </si>
  <si>
    <t>ORD1510</t>
  </si>
  <si>
    <t>Holly Vega</t>
  </si>
  <si>
    <t>ORD1511</t>
  </si>
  <si>
    <t>Tiffany Townsend</t>
  </si>
  <si>
    <t>ORD1512</t>
  </si>
  <si>
    <t>Austin Baker</t>
  </si>
  <si>
    <t>ORD1513</t>
  </si>
  <si>
    <t>Antonio Mccormick</t>
  </si>
  <si>
    <t>ORD1514</t>
  </si>
  <si>
    <t>Lori Mason</t>
  </si>
  <si>
    <t>ORD1515</t>
  </si>
  <si>
    <t>ORD1516</t>
  </si>
  <si>
    <t>Lisa Ramirez</t>
  </si>
  <si>
    <t>ORD1517</t>
  </si>
  <si>
    <t>Jorge Harris</t>
  </si>
  <si>
    <t>ORD1518</t>
  </si>
  <si>
    <t>Kimberly Myers</t>
  </si>
  <si>
    <t>ORD1519</t>
  </si>
  <si>
    <t>Sandra Becker</t>
  </si>
  <si>
    <t>ORD1520</t>
  </si>
  <si>
    <t>Michael Blair</t>
  </si>
  <si>
    <t>ORD1521</t>
  </si>
  <si>
    <t>Amy Miller</t>
  </si>
  <si>
    <t>ORD1522</t>
  </si>
  <si>
    <t>Jesse Lynch</t>
  </si>
  <si>
    <t>ORD1523</t>
  </si>
  <si>
    <t>Patrick Yang</t>
  </si>
  <si>
    <t>ORD1524</t>
  </si>
  <si>
    <t>Michael Miles</t>
  </si>
  <si>
    <t>ORD1525</t>
  </si>
  <si>
    <t>Troy Mills</t>
  </si>
  <si>
    <t>ORD1526</t>
  </si>
  <si>
    <t>Michelle Jackson</t>
  </si>
  <si>
    <t>ORD1527</t>
  </si>
  <si>
    <t>Richard Adams</t>
  </si>
  <si>
    <t>ORD1528</t>
  </si>
  <si>
    <t>Patricia Johnson</t>
  </si>
  <si>
    <t>ORD1529</t>
  </si>
  <si>
    <t>Denise Brown</t>
  </si>
  <si>
    <t>ORD1530</t>
  </si>
  <si>
    <t>Laura Jones</t>
  </si>
  <si>
    <t>ORD1531</t>
  </si>
  <si>
    <t>Ian Porter</t>
  </si>
  <si>
    <t>ORD1532</t>
  </si>
  <si>
    <t>Holly Scott</t>
  </si>
  <si>
    <t>ORD1533</t>
  </si>
  <si>
    <t>Kenneth Sharp</t>
  </si>
  <si>
    <t>ORD1534</t>
  </si>
  <si>
    <t>Jordan Williams</t>
  </si>
  <si>
    <t>ORD1535</t>
  </si>
  <si>
    <t>Dana Ruiz</t>
  </si>
  <si>
    <t>ORD1536</t>
  </si>
  <si>
    <t>Chris Velazquez</t>
  </si>
  <si>
    <t>ORD1537</t>
  </si>
  <si>
    <t>Kristen Sloan</t>
  </si>
  <si>
    <t>ORD1538</t>
  </si>
  <si>
    <t>Jennifer Morris</t>
  </si>
  <si>
    <t>ORD1539</t>
  </si>
  <si>
    <t>Nathan Nelson</t>
  </si>
  <si>
    <t>ORD1540</t>
  </si>
  <si>
    <t>Jake Shaw</t>
  </si>
  <si>
    <t>ORD1541</t>
  </si>
  <si>
    <t>Cassie Brock</t>
  </si>
  <si>
    <t>ORD1542</t>
  </si>
  <si>
    <t>Dr. Andrea Marshall</t>
  </si>
  <si>
    <t>ORD1543</t>
  </si>
  <si>
    <t>Ryan Murphy</t>
  </si>
  <si>
    <t>ORD1544</t>
  </si>
  <si>
    <t>Aimee Gonzalez</t>
  </si>
  <si>
    <t>ORD1545</t>
  </si>
  <si>
    <t>Elizabeth Dean</t>
  </si>
  <si>
    <t>ORD1546</t>
  </si>
  <si>
    <t>Kevin Snyder</t>
  </si>
  <si>
    <t>ORD1547</t>
  </si>
  <si>
    <t>Christie Mccullough</t>
  </si>
  <si>
    <t>ORD1548</t>
  </si>
  <si>
    <t>Danielle Smith</t>
  </si>
  <si>
    <t>ORD1549</t>
  </si>
  <si>
    <t>David Reed</t>
  </si>
  <si>
    <t>ORD1550</t>
  </si>
  <si>
    <t>Sherry Tapia</t>
  </si>
  <si>
    <t>ORD1551</t>
  </si>
  <si>
    <t>Matthew Sweeney</t>
  </si>
  <si>
    <t>ORD1552</t>
  </si>
  <si>
    <t>Ashley Moreno</t>
  </si>
  <si>
    <t>ORD1553</t>
  </si>
  <si>
    <t>Johnathan Brown</t>
  </si>
  <si>
    <t>ORD1554</t>
  </si>
  <si>
    <t>Michelle Davis DVM</t>
  </si>
  <si>
    <t>ORD1555</t>
  </si>
  <si>
    <t>Kelly Haynes</t>
  </si>
  <si>
    <t>ORD1556</t>
  </si>
  <si>
    <t>William Miller</t>
  </si>
  <si>
    <t>ORD1557</t>
  </si>
  <si>
    <t>Casey Wilkins</t>
  </si>
  <si>
    <t>ORD1558</t>
  </si>
  <si>
    <t>Keith Graham</t>
  </si>
  <si>
    <t>ORD1559</t>
  </si>
  <si>
    <t>Cynthia Green</t>
  </si>
  <si>
    <t>ORD1560</t>
  </si>
  <si>
    <t>Robert Haynes</t>
  </si>
  <si>
    <t>ORD1561</t>
  </si>
  <si>
    <t>Emily Nelson</t>
  </si>
  <si>
    <t>ORD1562</t>
  </si>
  <si>
    <t>Dale Chan</t>
  </si>
  <si>
    <t>ORD1563</t>
  </si>
  <si>
    <t>Brittney Martin</t>
  </si>
  <si>
    <t>ORD1564</t>
  </si>
  <si>
    <t>Jason Herrera</t>
  </si>
  <si>
    <t>ORD1565</t>
  </si>
  <si>
    <t>Christine Parker</t>
  </si>
  <si>
    <t>ORD1566</t>
  </si>
  <si>
    <t>Bryan Moore</t>
  </si>
  <si>
    <t>ORD1567</t>
  </si>
  <si>
    <t>Samantha Terry</t>
  </si>
  <si>
    <t>ORD1568</t>
  </si>
  <si>
    <t>Russell Murphy</t>
  </si>
  <si>
    <t>ORD1569</t>
  </si>
  <si>
    <t>David Kelly</t>
  </si>
  <si>
    <t>ORD1570</t>
  </si>
  <si>
    <t>Megan Green</t>
  </si>
  <si>
    <t>ORD1571</t>
  </si>
  <si>
    <t>Amanda Sullivan MD</t>
  </si>
  <si>
    <t>ORD1572</t>
  </si>
  <si>
    <t>Danielle Murray</t>
  </si>
  <si>
    <t>ORD1573</t>
  </si>
  <si>
    <t>Brenda Smith</t>
  </si>
  <si>
    <t>ORD1574</t>
  </si>
  <si>
    <t>Vickie Anderson</t>
  </si>
  <si>
    <t>ORD1575</t>
  </si>
  <si>
    <t>Jacqueline Mccoy</t>
  </si>
  <si>
    <t>ORD1576</t>
  </si>
  <si>
    <t>Lauren Green</t>
  </si>
  <si>
    <t>ORD1577</t>
  </si>
  <si>
    <t>Alison Brown</t>
  </si>
  <si>
    <t>ORD1578</t>
  </si>
  <si>
    <t>Jill Anderson</t>
  </si>
  <si>
    <t>ORD1579</t>
  </si>
  <si>
    <t>Sandra Rivera</t>
  </si>
  <si>
    <t>ORD1580</t>
  </si>
  <si>
    <t>Joel Jackson</t>
  </si>
  <si>
    <t>ORD1581</t>
  </si>
  <si>
    <t>Samantha Foster</t>
  </si>
  <si>
    <t>ORD1582</t>
  </si>
  <si>
    <t>Michael Thompson</t>
  </si>
  <si>
    <t>ORD1583</t>
  </si>
  <si>
    <t>Cody Ramirez</t>
  </si>
  <si>
    <t>ORD1584</t>
  </si>
  <si>
    <t>Amanda Harvey</t>
  </si>
  <si>
    <t>ORD1585</t>
  </si>
  <si>
    <t>Edward Jenkins</t>
  </si>
  <si>
    <t>ORD1586</t>
  </si>
  <si>
    <t>Amy Ramirez</t>
  </si>
  <si>
    <t>ORD1587</t>
  </si>
  <si>
    <t>Curtis Wilkerson</t>
  </si>
  <si>
    <t>ORD1588</t>
  </si>
  <si>
    <t>Lydia Pham</t>
  </si>
  <si>
    <t>ORD1589</t>
  </si>
  <si>
    <t>Virginia Casey</t>
  </si>
  <si>
    <t>ORD1590</t>
  </si>
  <si>
    <t>Joshua Washington</t>
  </si>
  <si>
    <t>ORD1591</t>
  </si>
  <si>
    <t>Kathryn Price</t>
  </si>
  <si>
    <t>ORD1592</t>
  </si>
  <si>
    <t>Francis Robinson</t>
  </si>
  <si>
    <t>ORD1593</t>
  </si>
  <si>
    <t>Paula Brown</t>
  </si>
  <si>
    <t>ORD1594</t>
  </si>
  <si>
    <t>Kendra Wang DVM</t>
  </si>
  <si>
    <t>ORD1595</t>
  </si>
  <si>
    <t>Ariel Sandoval</t>
  </si>
  <si>
    <t>ORD1596</t>
  </si>
  <si>
    <t>Robert Stark</t>
  </si>
  <si>
    <t>ORD1597</t>
  </si>
  <si>
    <t>Zachary Robinson</t>
  </si>
  <si>
    <t>ORD1598</t>
  </si>
  <si>
    <t>Rebecca Kelly</t>
  </si>
  <si>
    <t>ORD1599</t>
  </si>
  <si>
    <t>Sarah Thompson</t>
  </si>
  <si>
    <t>ORD1600</t>
  </si>
  <si>
    <t>Renee Wolfe</t>
  </si>
  <si>
    <t>ORD1601</t>
  </si>
  <si>
    <t>Alyssa Haynes</t>
  </si>
  <si>
    <t>ORD1602</t>
  </si>
  <si>
    <t>Kristy Hart</t>
  </si>
  <si>
    <t>ORD1603</t>
  </si>
  <si>
    <t>William Keith</t>
  </si>
  <si>
    <t>ORD1604</t>
  </si>
  <si>
    <t>Eric Henry Jr.</t>
  </si>
  <si>
    <t>ORD1605</t>
  </si>
  <si>
    <t>Daniel Fox</t>
  </si>
  <si>
    <t>ORD1606</t>
  </si>
  <si>
    <t>Thomas Harris</t>
  </si>
  <si>
    <t>ORD1607</t>
  </si>
  <si>
    <t>Mitchell Sellers</t>
  </si>
  <si>
    <t>ORD1608</t>
  </si>
  <si>
    <t>Erica Johnson</t>
  </si>
  <si>
    <t>ORD1609</t>
  </si>
  <si>
    <t>Sylvia Schroeder</t>
  </si>
  <si>
    <t>ORD1610</t>
  </si>
  <si>
    <t>Shannon Yu</t>
  </si>
  <si>
    <t>ORD1611</t>
  </si>
  <si>
    <t>Tom Foster</t>
  </si>
  <si>
    <t>ORD1612</t>
  </si>
  <si>
    <t>Eric Taylor</t>
  </si>
  <si>
    <t>ORD1613</t>
  </si>
  <si>
    <t>Travis Conner</t>
  </si>
  <si>
    <t>ORD1614</t>
  </si>
  <si>
    <t>Marie Thompson</t>
  </si>
  <si>
    <t>ORD1615</t>
  </si>
  <si>
    <t>Melissa Mcfarland</t>
  </si>
  <si>
    <t>ORD1616</t>
  </si>
  <si>
    <t>Courtney Chapman</t>
  </si>
  <si>
    <t>ORD1617</t>
  </si>
  <si>
    <t>Eric Barker</t>
  </si>
  <si>
    <t>ORD1618</t>
  </si>
  <si>
    <t>Nicholas Rush</t>
  </si>
  <si>
    <t>ORD1619</t>
  </si>
  <si>
    <t>Jenna Gamble</t>
  </si>
  <si>
    <t>ORD1620</t>
  </si>
  <si>
    <t>Amanda Guzman</t>
  </si>
  <si>
    <t>ORD1621</t>
  </si>
  <si>
    <t>Tracy Walker</t>
  </si>
  <si>
    <t>ORD1622</t>
  </si>
  <si>
    <t>Taylor Taylor</t>
  </si>
  <si>
    <t>ORD1623</t>
  </si>
  <si>
    <t>Cynthia Haas</t>
  </si>
  <si>
    <t>ORD1624</t>
  </si>
  <si>
    <t>Stephen Davis</t>
  </si>
  <si>
    <t>ORD1625</t>
  </si>
  <si>
    <t>Margaret Tanner</t>
  </si>
  <si>
    <t>ORD1626</t>
  </si>
  <si>
    <t>Derek Wright</t>
  </si>
  <si>
    <t>ORD1627</t>
  </si>
  <si>
    <t>David Rodriguez</t>
  </si>
  <si>
    <t>ORD1628</t>
  </si>
  <si>
    <t>James Oconnor</t>
  </si>
  <si>
    <t>ORD1629</t>
  </si>
  <si>
    <t>Stacey Snyder</t>
  </si>
  <si>
    <t>ORD1630</t>
  </si>
  <si>
    <t>Joshua Garcia</t>
  </si>
  <si>
    <t>ORD1631</t>
  </si>
  <si>
    <t>Sean Curtis</t>
  </si>
  <si>
    <t>ORD1632</t>
  </si>
  <si>
    <t>Carla Jones</t>
  </si>
  <si>
    <t>ORD1633</t>
  </si>
  <si>
    <t>Elizabeth Flores</t>
  </si>
  <si>
    <t>ORD1634</t>
  </si>
  <si>
    <t>Angela Jackson</t>
  </si>
  <si>
    <t>ORD1635</t>
  </si>
  <si>
    <t>Nicholas Payne</t>
  </si>
  <si>
    <t>ORD1636</t>
  </si>
  <si>
    <t>Anna Wheeler</t>
  </si>
  <si>
    <t>ORD1637</t>
  </si>
  <si>
    <t>Karen Johnson</t>
  </si>
  <si>
    <t>ORD1638</t>
  </si>
  <si>
    <t>Carmen Preston</t>
  </si>
  <si>
    <t>ORD1639</t>
  </si>
  <si>
    <t>Brian Harris</t>
  </si>
  <si>
    <t>ORD1640</t>
  </si>
  <si>
    <t>Michael Bowen</t>
  </si>
  <si>
    <t>ORD1641</t>
  </si>
  <si>
    <t>Deborah Campbell</t>
  </si>
  <si>
    <t>ORD1642</t>
  </si>
  <si>
    <t>Anthony Armstrong</t>
  </si>
  <si>
    <t>ORD1643</t>
  </si>
  <si>
    <t>Brittany Ward</t>
  </si>
  <si>
    <t>ORD1644</t>
  </si>
  <si>
    <t>Edward Stanley</t>
  </si>
  <si>
    <t>ORD1645</t>
  </si>
  <si>
    <t>Christina Johnson</t>
  </si>
  <si>
    <t>ORD1646</t>
  </si>
  <si>
    <t>Edgar Miller</t>
  </si>
  <si>
    <t>ORD1647</t>
  </si>
  <si>
    <t>Elizabeth Sanders</t>
  </si>
  <si>
    <t>ORD1648</t>
  </si>
  <si>
    <t>Matthew Davis MD</t>
  </si>
  <si>
    <t>ORD1649</t>
  </si>
  <si>
    <t>Stephen Wood</t>
  </si>
  <si>
    <t>ORD1650</t>
  </si>
  <si>
    <t>Dennis Marshall</t>
  </si>
  <si>
    <t>ORD1651</t>
  </si>
  <si>
    <t>Derrick Brown</t>
  </si>
  <si>
    <t>ORD1652</t>
  </si>
  <si>
    <t>ORD1653</t>
  </si>
  <si>
    <t>Joshua Arellano</t>
  </si>
  <si>
    <t>ORD1654</t>
  </si>
  <si>
    <t>Kristen Randall</t>
  </si>
  <si>
    <t>ORD1655</t>
  </si>
  <si>
    <t>Jennifer Nichols</t>
  </si>
  <si>
    <t>ORD1656</t>
  </si>
  <si>
    <t>Karen Keith</t>
  </si>
  <si>
    <t>ORD1657</t>
  </si>
  <si>
    <t>Blake Orr</t>
  </si>
  <si>
    <t>ORD1658</t>
  </si>
  <si>
    <t>Kathryn Lester</t>
  </si>
  <si>
    <t>ORD1659</t>
  </si>
  <si>
    <t>Megan Oliver</t>
  </si>
  <si>
    <t>ORD1660</t>
  </si>
  <si>
    <t>Peter Thompson</t>
  </si>
  <si>
    <t>ORD1661</t>
  </si>
  <si>
    <t>Dr. Rhonda Martinez</t>
  </si>
  <si>
    <t>ORD1662</t>
  </si>
  <si>
    <t>William Graham</t>
  </si>
  <si>
    <t>ORD1663</t>
  </si>
  <si>
    <t>Lori Flowers MD</t>
  </si>
  <si>
    <t>ORD1664</t>
  </si>
  <si>
    <t>Suzanne Jones</t>
  </si>
  <si>
    <t>ORD1665</t>
  </si>
  <si>
    <t>James Nguyen</t>
  </si>
  <si>
    <t>ORD1666</t>
  </si>
  <si>
    <t>Jimmy Marks</t>
  </si>
  <si>
    <t>ORD1667</t>
  </si>
  <si>
    <t>Lisa Mills</t>
  </si>
  <si>
    <t>ORD1668</t>
  </si>
  <si>
    <t>Jason Hernandez</t>
  </si>
  <si>
    <t>ORD1669</t>
  </si>
  <si>
    <t>Olivia Ayers</t>
  </si>
  <si>
    <t>ORD1670</t>
  </si>
  <si>
    <t>Kristine Garcia</t>
  </si>
  <si>
    <t>ORD1671</t>
  </si>
  <si>
    <t>Joseph Cooper</t>
  </si>
  <si>
    <t>ORD1672</t>
  </si>
  <si>
    <t>James Washington</t>
  </si>
  <si>
    <t>ORD1673</t>
  </si>
  <si>
    <t>Amanda Hill</t>
  </si>
  <si>
    <t>ORD1674</t>
  </si>
  <si>
    <t>Lee Steele</t>
  </si>
  <si>
    <t>ORD1675</t>
  </si>
  <si>
    <t>Steve Rivera</t>
  </si>
  <si>
    <t>ORD1676</t>
  </si>
  <si>
    <t>Patrick Mccall</t>
  </si>
  <si>
    <t>ORD1677</t>
  </si>
  <si>
    <t>Alicia Roth</t>
  </si>
  <si>
    <t>ORD1678</t>
  </si>
  <si>
    <t>Douglas Vasquez</t>
  </si>
  <si>
    <t>ORD1679</t>
  </si>
  <si>
    <t>Annette Melton</t>
  </si>
  <si>
    <t>ORD1680</t>
  </si>
  <si>
    <t>William Ramos</t>
  </si>
  <si>
    <t>ORD1681</t>
  </si>
  <si>
    <t>Debra Butler</t>
  </si>
  <si>
    <t>ORD1682</t>
  </si>
  <si>
    <t>Chelsea Lewis</t>
  </si>
  <si>
    <t>ORD1683</t>
  </si>
  <si>
    <t>Natalie Malone</t>
  </si>
  <si>
    <t>ORD1684</t>
  </si>
  <si>
    <t>ORD1685</t>
  </si>
  <si>
    <t>Eric Hunter</t>
  </si>
  <si>
    <t>ORD1686</t>
  </si>
  <si>
    <t>Samuel Suarez</t>
  </si>
  <si>
    <t>ORD1687</t>
  </si>
  <si>
    <t>Corey Whitaker</t>
  </si>
  <si>
    <t>ORD1688</t>
  </si>
  <si>
    <t>Danielle Bryant</t>
  </si>
  <si>
    <t>ORD1689</t>
  </si>
  <si>
    <t>Michele Hill</t>
  </si>
  <si>
    <t>ORD1690</t>
  </si>
  <si>
    <t>Kathy Reid</t>
  </si>
  <si>
    <t>ORD1691</t>
  </si>
  <si>
    <t>Andre Watson</t>
  </si>
  <si>
    <t>ORD1692</t>
  </si>
  <si>
    <t>Cassandra Harrell</t>
  </si>
  <si>
    <t>ORD1693</t>
  </si>
  <si>
    <t>Hannah Martin</t>
  </si>
  <si>
    <t>ORD1694</t>
  </si>
  <si>
    <t>Nicole Barker</t>
  </si>
  <si>
    <t>ORD1695</t>
  </si>
  <si>
    <t>James Martin</t>
  </si>
  <si>
    <t>ORD1696</t>
  </si>
  <si>
    <t>Traci Vincent</t>
  </si>
  <si>
    <t>ORD1697</t>
  </si>
  <si>
    <t>Megan Adams</t>
  </si>
  <si>
    <t>ORD1698</t>
  </si>
  <si>
    <t>Alejandro Deleon</t>
  </si>
  <si>
    <t>ORD1699</t>
  </si>
  <si>
    <t>Alexa Buck</t>
  </si>
  <si>
    <t>ORD1700</t>
  </si>
  <si>
    <t>Lindsay Smith</t>
  </si>
  <si>
    <t>ORD1701</t>
  </si>
  <si>
    <t>Robert Torres</t>
  </si>
  <si>
    <t>ORD1702</t>
  </si>
  <si>
    <t>Maria Coleman</t>
  </si>
  <si>
    <t>ORD1703</t>
  </si>
  <si>
    <t>Gregory King</t>
  </si>
  <si>
    <t>ORD1704</t>
  </si>
  <si>
    <t>Michael Holloway</t>
  </si>
  <si>
    <t>ORD1705</t>
  </si>
  <si>
    <t>Brian Hunt</t>
  </si>
  <si>
    <t>ORD1706</t>
  </si>
  <si>
    <t>Sarah Brooks</t>
  </si>
  <si>
    <t>ORD1707</t>
  </si>
  <si>
    <t>Lisa Evans</t>
  </si>
  <si>
    <t>ORD1708</t>
  </si>
  <si>
    <t>Arthur Mcneil</t>
  </si>
  <si>
    <t>ORD1709</t>
  </si>
  <si>
    <t>Shannon Green</t>
  </si>
  <si>
    <t>ORD1710</t>
  </si>
  <si>
    <t>Stephanie Evans</t>
  </si>
  <si>
    <t>ORD1711</t>
  </si>
  <si>
    <t>Ralph Yoder</t>
  </si>
  <si>
    <t>ORD1712</t>
  </si>
  <si>
    <t>Rebekah Greene</t>
  </si>
  <si>
    <t>ORD1713</t>
  </si>
  <si>
    <t>Melanie Griffith</t>
  </si>
  <si>
    <t>ORD1714</t>
  </si>
  <si>
    <t>Yolanda Green</t>
  </si>
  <si>
    <t>ORD1715</t>
  </si>
  <si>
    <t>James Johnson</t>
  </si>
  <si>
    <t>ORD1716</t>
  </si>
  <si>
    <t>Laura Lee</t>
  </si>
  <si>
    <t>ORD1717</t>
  </si>
  <si>
    <t>Courtney Nichols</t>
  </si>
  <si>
    <t>ORD1718</t>
  </si>
  <si>
    <t>Susan Powers</t>
  </si>
  <si>
    <t>ORD1719</t>
  </si>
  <si>
    <t>Sarah Pittman</t>
  </si>
  <si>
    <t>ORD1720</t>
  </si>
  <si>
    <t>Catherine Davis</t>
  </si>
  <si>
    <t>ORD1721</t>
  </si>
  <si>
    <t>David Stokes</t>
  </si>
  <si>
    <t>ORD1722</t>
  </si>
  <si>
    <t>Catherine Frazier</t>
  </si>
  <si>
    <t>ORD1723</t>
  </si>
  <si>
    <t>Brandon Kelly</t>
  </si>
  <si>
    <t>ORD1724</t>
  </si>
  <si>
    <t>Elizabeth French</t>
  </si>
  <si>
    <t>ORD1725</t>
  </si>
  <si>
    <t>David Carter</t>
  </si>
  <si>
    <t>ORD1726</t>
  </si>
  <si>
    <t>Julie Delacruz</t>
  </si>
  <si>
    <t>ORD1727</t>
  </si>
  <si>
    <t>Terry Jones</t>
  </si>
  <si>
    <t>ORD1728</t>
  </si>
  <si>
    <t>Kathryn Dillon</t>
  </si>
  <si>
    <t>ORD1729</t>
  </si>
  <si>
    <t>Edwin Brown</t>
  </si>
  <si>
    <t>ORD1730</t>
  </si>
  <si>
    <t>Brenda Gonzalez</t>
  </si>
  <si>
    <t>ORD1731</t>
  </si>
  <si>
    <t>Keith Knox</t>
  </si>
  <si>
    <t>ORD1732</t>
  </si>
  <si>
    <t>Eugene Baldwin</t>
  </si>
  <si>
    <t>ORD1733</t>
  </si>
  <si>
    <t>Katherine Welch</t>
  </si>
  <si>
    <t>ORD1734</t>
  </si>
  <si>
    <t>Mark Smith</t>
  </si>
  <si>
    <t>ORD1735</t>
  </si>
  <si>
    <t>Philip Jackson</t>
  </si>
  <si>
    <t>ORD1736</t>
  </si>
  <si>
    <t>Katherine Gallagher</t>
  </si>
  <si>
    <t>ORD1737</t>
  </si>
  <si>
    <t>Lucas Schultz</t>
  </si>
  <si>
    <t>ORD1738</t>
  </si>
  <si>
    <t>Vincent Reyes</t>
  </si>
  <si>
    <t>ORD1739</t>
  </si>
  <si>
    <t>Curtis Watson</t>
  </si>
  <si>
    <t>ORD1740</t>
  </si>
  <si>
    <t>Frank Whitaker</t>
  </si>
  <si>
    <t>ORD1741</t>
  </si>
  <si>
    <t>Michael Sims</t>
  </si>
  <si>
    <t>ORD1742</t>
  </si>
  <si>
    <t>ORD1743</t>
  </si>
  <si>
    <t>James Chapman</t>
  </si>
  <si>
    <t>ORD1744</t>
  </si>
  <si>
    <t>Rodney Evans</t>
  </si>
  <si>
    <t>ORD1745</t>
  </si>
  <si>
    <t>Nicholas Carlson</t>
  </si>
  <si>
    <t>ORD1746</t>
  </si>
  <si>
    <t>Stephen Cowan</t>
  </si>
  <si>
    <t>ORD1747</t>
  </si>
  <si>
    <t>Steven Howard</t>
  </si>
  <si>
    <t>ORD1748</t>
  </si>
  <si>
    <t>Travis Hull</t>
  </si>
  <si>
    <t>ORD1749</t>
  </si>
  <si>
    <t>Darryl Acosta</t>
  </si>
  <si>
    <t>ORD1750</t>
  </si>
  <si>
    <t>Nicholas Lawrence</t>
  </si>
  <si>
    <t>ORD1751</t>
  </si>
  <si>
    <t>Jacob Santos</t>
  </si>
  <si>
    <t>ORD1752</t>
  </si>
  <si>
    <t>Shawn Scott</t>
  </si>
  <si>
    <t>ORD1753</t>
  </si>
  <si>
    <t>Amber Vang</t>
  </si>
  <si>
    <t>ORD1754</t>
  </si>
  <si>
    <t>Martha Smith</t>
  </si>
  <si>
    <t>ORD1755</t>
  </si>
  <si>
    <t>Jennifer James</t>
  </si>
  <si>
    <t>ORD1756</t>
  </si>
  <si>
    <t>Kara Hernandez</t>
  </si>
  <si>
    <t>ORD1757</t>
  </si>
  <si>
    <t>Lorraine Turner</t>
  </si>
  <si>
    <t>ORD1758</t>
  </si>
  <si>
    <t>Mary Nelson</t>
  </si>
  <si>
    <t>ORD1759</t>
  </si>
  <si>
    <t>Breanna Rivas</t>
  </si>
  <si>
    <t>ORD1760</t>
  </si>
  <si>
    <t>Nathan Wilson</t>
  </si>
  <si>
    <t>ORD1761</t>
  </si>
  <si>
    <t>Brian Gonzalez</t>
  </si>
  <si>
    <t>ORD1762</t>
  </si>
  <si>
    <t>Dennis Mills</t>
  </si>
  <si>
    <t>ORD1763</t>
  </si>
  <si>
    <t>Michael Phillips</t>
  </si>
  <si>
    <t>ORD1764</t>
  </si>
  <si>
    <t>Jon Clark</t>
  </si>
  <si>
    <t>ORD1765</t>
  </si>
  <si>
    <t>Erin Smith</t>
  </si>
  <si>
    <t>ORD1766</t>
  </si>
  <si>
    <t>Susan Conley</t>
  </si>
  <si>
    <t>ORD1767</t>
  </si>
  <si>
    <t>Brittany Davis</t>
  </si>
  <si>
    <t>ORD1768</t>
  </si>
  <si>
    <t>Misty Garcia</t>
  </si>
  <si>
    <t>ORD1769</t>
  </si>
  <si>
    <t>David Hinton</t>
  </si>
  <si>
    <t>ORD1770</t>
  </si>
  <si>
    <t>John Garcia</t>
  </si>
  <si>
    <t>ORD1771</t>
  </si>
  <si>
    <t>Andrew Roberts</t>
  </si>
  <si>
    <t>ORD1772</t>
  </si>
  <si>
    <t>Emily Rodgers</t>
  </si>
  <si>
    <t>ORD1773</t>
  </si>
  <si>
    <t>Peter Williams</t>
  </si>
  <si>
    <t>ORD1774</t>
  </si>
  <si>
    <t>Mary Jackson</t>
  </si>
  <si>
    <t>ORD1775</t>
  </si>
  <si>
    <t>Jeffrey Howell</t>
  </si>
  <si>
    <t>ORD1776</t>
  </si>
  <si>
    <t>Anna Briggs</t>
  </si>
  <si>
    <t>ORD1777</t>
  </si>
  <si>
    <t>James Rivers</t>
  </si>
  <si>
    <t>ORD1778</t>
  </si>
  <si>
    <t>James Jefferson</t>
  </si>
  <si>
    <t>ORD1779</t>
  </si>
  <si>
    <t>Mariah Robles</t>
  </si>
  <si>
    <t>ORD1780</t>
  </si>
  <si>
    <t>Michael Brown</t>
  </si>
  <si>
    <t>ORD1781</t>
  </si>
  <si>
    <t>Caitlin Perry</t>
  </si>
  <si>
    <t>ORD1782</t>
  </si>
  <si>
    <t>Rebekah Gregory</t>
  </si>
  <si>
    <t>ORD1783</t>
  </si>
  <si>
    <t>James Howard</t>
  </si>
  <si>
    <t>ORD1784</t>
  </si>
  <si>
    <t>Michael Roberson</t>
  </si>
  <si>
    <t>ORD1785</t>
  </si>
  <si>
    <t>Bianca Knapp</t>
  </si>
  <si>
    <t>ORD1786</t>
  </si>
  <si>
    <t>Jason Williams</t>
  </si>
  <si>
    <t>ORD1787</t>
  </si>
  <si>
    <t>Ernest Bush</t>
  </si>
  <si>
    <t>ORD1788</t>
  </si>
  <si>
    <t>Patricia Ray</t>
  </si>
  <si>
    <t>ORD1789</t>
  </si>
  <si>
    <t>Vanessa Santiago</t>
  </si>
  <si>
    <t>ORD1790</t>
  </si>
  <si>
    <t>Joseph Haynes</t>
  </si>
  <si>
    <t>ORD1791</t>
  </si>
  <si>
    <t>Matthew Wright</t>
  </si>
  <si>
    <t>ORD1792</t>
  </si>
  <si>
    <t>Michael Cruz</t>
  </si>
  <si>
    <t>ORD1793</t>
  </si>
  <si>
    <t>Kristin Huerta</t>
  </si>
  <si>
    <t>ORD1794</t>
  </si>
  <si>
    <t>Mason Moore</t>
  </si>
  <si>
    <t>ORD1795</t>
  </si>
  <si>
    <t>Sarah Booth</t>
  </si>
  <si>
    <t>ORD1796</t>
  </si>
  <si>
    <t>John Allen</t>
  </si>
  <si>
    <t>ORD1797</t>
  </si>
  <si>
    <t>Amber Walker</t>
  </si>
  <si>
    <t>ORD1798</t>
  </si>
  <si>
    <t>Jennifer Young</t>
  </si>
  <si>
    <t>ORD1799</t>
  </si>
  <si>
    <t>Robert West</t>
  </si>
  <si>
    <t>ORD1800</t>
  </si>
  <si>
    <t>Jillian Wilson</t>
  </si>
  <si>
    <t>ORD1801</t>
  </si>
  <si>
    <t>Matthew Garcia MD</t>
  </si>
  <si>
    <t>ORD1802</t>
  </si>
  <si>
    <t>April Davis</t>
  </si>
  <si>
    <t>ORD1803</t>
  </si>
  <si>
    <t>Lisa Torres</t>
  </si>
  <si>
    <t>ORD1804</t>
  </si>
  <si>
    <t>Christine Powers</t>
  </si>
  <si>
    <t>ORD1805</t>
  </si>
  <si>
    <t>Heidi Brown</t>
  </si>
  <si>
    <t>ORD1806</t>
  </si>
  <si>
    <t>Jesse Castro</t>
  </si>
  <si>
    <t>ORD1807</t>
  </si>
  <si>
    <t>Kara Sandoval</t>
  </si>
  <si>
    <t>ORD1808</t>
  </si>
  <si>
    <t>Ashley Malone</t>
  </si>
  <si>
    <t>ORD1809</t>
  </si>
  <si>
    <t>Glenn Gallegos</t>
  </si>
  <si>
    <t>ORD1810</t>
  </si>
  <si>
    <t>Dorothy Boyd</t>
  </si>
  <si>
    <t>ORD1811</t>
  </si>
  <si>
    <t>Amber Martin</t>
  </si>
  <si>
    <t>ORD1812</t>
  </si>
  <si>
    <t>Mitchell Griffith</t>
  </si>
  <si>
    <t>ORD1813</t>
  </si>
  <si>
    <t>Levi Lopez</t>
  </si>
  <si>
    <t>ORD1814</t>
  </si>
  <si>
    <t>Jenna Bryant</t>
  </si>
  <si>
    <t>ORD1815</t>
  </si>
  <si>
    <t>Michelle Rodriguez</t>
  </si>
  <si>
    <t>ORD1816</t>
  </si>
  <si>
    <t>Timothy Monroe</t>
  </si>
  <si>
    <t>ORD1817</t>
  </si>
  <si>
    <t>Patricia Hayes</t>
  </si>
  <si>
    <t>ORD1818</t>
  </si>
  <si>
    <t>Tina Taylor</t>
  </si>
  <si>
    <t>ORD1819</t>
  </si>
  <si>
    <t>Mr. Anthony Mcconnell PhD</t>
  </si>
  <si>
    <t>ORD1820</t>
  </si>
  <si>
    <t>Mr. Thomas Thompson</t>
  </si>
  <si>
    <t>ORD1821</t>
  </si>
  <si>
    <t>Monica Anderson</t>
  </si>
  <si>
    <t>ORD1822</t>
  </si>
  <si>
    <t>Kyle Andrade</t>
  </si>
  <si>
    <t>ORD1823</t>
  </si>
  <si>
    <t>Janice Petty</t>
  </si>
  <si>
    <t>ORD1824</t>
  </si>
  <si>
    <t>Pamela Hill</t>
  </si>
  <si>
    <t>ORD1825</t>
  </si>
  <si>
    <t>Tracy Chavez</t>
  </si>
  <si>
    <t>ORD1826</t>
  </si>
  <si>
    <t>Jason Graves</t>
  </si>
  <si>
    <t>ORD1827</t>
  </si>
  <si>
    <t>Elizabeth Miles</t>
  </si>
  <si>
    <t>ORD1828</t>
  </si>
  <si>
    <t>Michelle Walls</t>
  </si>
  <si>
    <t>ORD1829</t>
  </si>
  <si>
    <t>Christina Weber</t>
  </si>
  <si>
    <t>ORD1830</t>
  </si>
  <si>
    <t>Gregory Chambers</t>
  </si>
  <si>
    <t>ORD1831</t>
  </si>
  <si>
    <t>Miss Tina Gordon</t>
  </si>
  <si>
    <t>ORD1832</t>
  </si>
  <si>
    <t>Erica Wilson</t>
  </si>
  <si>
    <t>ORD1833</t>
  </si>
  <si>
    <t>John Duncan</t>
  </si>
  <si>
    <t>ORD1834</t>
  </si>
  <si>
    <t>Jennifer Adkins</t>
  </si>
  <si>
    <t>ORD1835</t>
  </si>
  <si>
    <t>Donna Boone</t>
  </si>
  <si>
    <t>ORD1836</t>
  </si>
  <si>
    <t>Kelly Johnson</t>
  </si>
  <si>
    <t>ORD1837</t>
  </si>
  <si>
    <t>Michael Gonzalez</t>
  </si>
  <si>
    <t>ORD1838</t>
  </si>
  <si>
    <t>Candace Mitchell</t>
  </si>
  <si>
    <t>ORD1839</t>
  </si>
  <si>
    <t>Ryan Vaughn</t>
  </si>
  <si>
    <t>ORD1840</t>
  </si>
  <si>
    <t>Paul Johnson</t>
  </si>
  <si>
    <t>ORD1841</t>
  </si>
  <si>
    <t>Ashley Parrish</t>
  </si>
  <si>
    <t>ORD1842</t>
  </si>
  <si>
    <t>Sharon Newton</t>
  </si>
  <si>
    <t>ORD1843</t>
  </si>
  <si>
    <t>Cynthia Mueller</t>
  </si>
  <si>
    <t>ORD1844</t>
  </si>
  <si>
    <t>Donna Beck</t>
  </si>
  <si>
    <t>ORD1845</t>
  </si>
  <si>
    <t>Jasmine Frye</t>
  </si>
  <si>
    <t>ORD1846</t>
  </si>
  <si>
    <t>Emily Arnold</t>
  </si>
  <si>
    <t>ORD1847</t>
  </si>
  <si>
    <t>David Oliver</t>
  </si>
  <si>
    <t>ORD1848</t>
  </si>
  <si>
    <t>Sheila Greer</t>
  </si>
  <si>
    <t>ORD1849</t>
  </si>
  <si>
    <t>Michele Holland</t>
  </si>
  <si>
    <t>ORD1850</t>
  </si>
  <si>
    <t>Kimberly Morrison</t>
  </si>
  <si>
    <t>ORD1851</t>
  </si>
  <si>
    <t>Tracey Phillips</t>
  </si>
  <si>
    <t>ORD1852</t>
  </si>
  <si>
    <t>ORD1853</t>
  </si>
  <si>
    <t>Jose Bennett</t>
  </si>
  <si>
    <t>ORD1854</t>
  </si>
  <si>
    <t>Justin Anderson</t>
  </si>
  <si>
    <t>ORD1855</t>
  </si>
  <si>
    <t>Dawn Rivera</t>
  </si>
  <si>
    <t>ORD1856</t>
  </si>
  <si>
    <t>Brittney Hernandez</t>
  </si>
  <si>
    <t>ORD1857</t>
  </si>
  <si>
    <t>Anthony Randolph</t>
  </si>
  <si>
    <t>ORD1858</t>
  </si>
  <si>
    <t>Mary Henry</t>
  </si>
  <si>
    <t>ORD1859</t>
  </si>
  <si>
    <t>Heather Bowers</t>
  </si>
  <si>
    <t>ORD1860</t>
  </si>
  <si>
    <t>Daniel White</t>
  </si>
  <si>
    <t>ORD1861</t>
  </si>
  <si>
    <t>Jonathan Perry</t>
  </si>
  <si>
    <t>ORD1862</t>
  </si>
  <si>
    <t>Anna Walker</t>
  </si>
  <si>
    <t>ORD1863</t>
  </si>
  <si>
    <t>Gary Ward</t>
  </si>
  <si>
    <t>ORD1864</t>
  </si>
  <si>
    <t>Paul Moreno</t>
  </si>
  <si>
    <t>ORD1865</t>
  </si>
  <si>
    <t>Samantha Zavala MD</t>
  </si>
  <si>
    <t>ORD1866</t>
  </si>
  <si>
    <t>Jill Conway</t>
  </si>
  <si>
    <t>ORD1867</t>
  </si>
  <si>
    <t>Lisa Haley</t>
  </si>
  <si>
    <t>ORD1868</t>
  </si>
  <si>
    <t>Erica Moon</t>
  </si>
  <si>
    <t>ORD1869</t>
  </si>
  <si>
    <t>Janice Fernandez</t>
  </si>
  <si>
    <t>ORD1870</t>
  </si>
  <si>
    <t>Thomas Short</t>
  </si>
  <si>
    <t>ORD1871</t>
  </si>
  <si>
    <t>Robert Griffin</t>
  </si>
  <si>
    <t>ORD1872</t>
  </si>
  <si>
    <t>Steven Lee</t>
  </si>
  <si>
    <t>ORD1873</t>
  </si>
  <si>
    <t>Tiffany Jackson</t>
  </si>
  <si>
    <t>ORD1874</t>
  </si>
  <si>
    <t>Kimberly Smith</t>
  </si>
  <si>
    <t>ORD1875</t>
  </si>
  <si>
    <t>Michael Ayala</t>
  </si>
  <si>
    <t>ORD1876</t>
  </si>
  <si>
    <t>Jessica Garcia</t>
  </si>
  <si>
    <t>ORD1877</t>
  </si>
  <si>
    <t>Michele Cherry</t>
  </si>
  <si>
    <t>ORD1878</t>
  </si>
  <si>
    <t>Maria Case</t>
  </si>
  <si>
    <t>ORD1879</t>
  </si>
  <si>
    <t>Brittany Stevens</t>
  </si>
  <si>
    <t>ORD1880</t>
  </si>
  <si>
    <t>Brandon Brown</t>
  </si>
  <si>
    <t>ORD1881</t>
  </si>
  <si>
    <t>Kristin Andrews</t>
  </si>
  <si>
    <t>ORD1882</t>
  </si>
  <si>
    <t>David Hughes</t>
  </si>
  <si>
    <t>ORD1883</t>
  </si>
  <si>
    <t>ORD1884</t>
  </si>
  <si>
    <t>Kimberly May</t>
  </si>
  <si>
    <t>ORD1885</t>
  </si>
  <si>
    <t>Nicole Richards</t>
  </si>
  <si>
    <t>ORD1886</t>
  </si>
  <si>
    <t>Angel Reilly</t>
  </si>
  <si>
    <t>ORD1887</t>
  </si>
  <si>
    <t>Richard Turner</t>
  </si>
  <si>
    <t>ORD1888</t>
  </si>
  <si>
    <t>Preston Kim</t>
  </si>
  <si>
    <t>ORD1889</t>
  </si>
  <si>
    <t>Matthew Wells</t>
  </si>
  <si>
    <t>ORD1890</t>
  </si>
  <si>
    <t>Brandy Myers</t>
  </si>
  <si>
    <t>ORD1891</t>
  </si>
  <si>
    <t>Kimberly Choi</t>
  </si>
  <si>
    <t>ORD1892</t>
  </si>
  <si>
    <t>Michael Sloan</t>
  </si>
  <si>
    <t>ORD1893</t>
  </si>
  <si>
    <t>Monica Brooks</t>
  </si>
  <si>
    <t>ORD1894</t>
  </si>
  <si>
    <t>Kristen Peters</t>
  </si>
  <si>
    <t>ORD1895</t>
  </si>
  <si>
    <t>Aaron Carlson</t>
  </si>
  <si>
    <t>ORD1896</t>
  </si>
  <si>
    <t>Theresa Torres</t>
  </si>
  <si>
    <t>ORD1897</t>
  </si>
  <si>
    <t>Stephanie Cooper</t>
  </si>
  <si>
    <t>ORD1898</t>
  </si>
  <si>
    <t>Matthew Hunt</t>
  </si>
  <si>
    <t>ORD1899</t>
  </si>
  <si>
    <t>Daniel Davenport</t>
  </si>
  <si>
    <t>ORD1900</t>
  </si>
  <si>
    <t>Christopher Marsh</t>
  </si>
  <si>
    <t>ORD1901</t>
  </si>
  <si>
    <t>Sarah Randolph</t>
  </si>
  <si>
    <t>ORD1902</t>
  </si>
  <si>
    <t>Julia Dunn MD</t>
  </si>
  <si>
    <t>ORD1903</t>
  </si>
  <si>
    <t>Brett Swanson</t>
  </si>
  <si>
    <t>ORD1904</t>
  </si>
  <si>
    <t>Mr. Carl Rios</t>
  </si>
  <si>
    <t>ORD1905</t>
  </si>
  <si>
    <t>Manuel Mccullough</t>
  </si>
  <si>
    <t>ORD1906</t>
  </si>
  <si>
    <t>Jerry Jensen</t>
  </si>
  <si>
    <t>ORD1907</t>
  </si>
  <si>
    <t>Kevin Cunningham</t>
  </si>
  <si>
    <t>ORD1908</t>
  </si>
  <si>
    <t>Eugene Patterson</t>
  </si>
  <si>
    <t>ORD1909</t>
  </si>
  <si>
    <t>David Walker</t>
  </si>
  <si>
    <t>ORD1910</t>
  </si>
  <si>
    <t>Jessica Larsen</t>
  </si>
  <si>
    <t>ORD1911</t>
  </si>
  <si>
    <t>Nicholas Humphrey</t>
  </si>
  <si>
    <t>ORD1912</t>
  </si>
  <si>
    <t>Ian Torres</t>
  </si>
  <si>
    <t>ORD1913</t>
  </si>
  <si>
    <t>Casey Obrien</t>
  </si>
  <si>
    <t>ORD1914</t>
  </si>
  <si>
    <t>Shannon Taylor</t>
  </si>
  <si>
    <t>ORD1915</t>
  </si>
  <si>
    <t>Deborah Mercado</t>
  </si>
  <si>
    <t>ORD1916</t>
  </si>
  <si>
    <t>Bernard Smith</t>
  </si>
  <si>
    <t>ORD1917</t>
  </si>
  <si>
    <t>Amanda Perkins</t>
  </si>
  <si>
    <t>ORD1918</t>
  </si>
  <si>
    <t>Kevin Escobar</t>
  </si>
  <si>
    <t>ORD1919</t>
  </si>
  <si>
    <t>Kimberly Lutz</t>
  </si>
  <si>
    <t>ORD1920</t>
  </si>
  <si>
    <t>Reginald Diaz</t>
  </si>
  <si>
    <t>ORD1921</t>
  </si>
  <si>
    <t>Raymond Quinn</t>
  </si>
  <si>
    <t>ORD1922</t>
  </si>
  <si>
    <t>John Dixon</t>
  </si>
  <si>
    <t>ORD1923</t>
  </si>
  <si>
    <t>Jonathan Bates</t>
  </si>
  <si>
    <t>ORD1924</t>
  </si>
  <si>
    <t>Renee Mendez</t>
  </si>
  <si>
    <t>ORD1925</t>
  </si>
  <si>
    <t>Jose Griffin</t>
  </si>
  <si>
    <t>ORD1926</t>
  </si>
  <si>
    <t>Travis Hopkins</t>
  </si>
  <si>
    <t>ORD1927</t>
  </si>
  <si>
    <t>Nancy Webb</t>
  </si>
  <si>
    <t>ORD1928</t>
  </si>
  <si>
    <t>Daniel Freeman</t>
  </si>
  <si>
    <t>ORD1929</t>
  </si>
  <si>
    <t>Jacob Williams</t>
  </si>
  <si>
    <t>ORD1930</t>
  </si>
  <si>
    <t>Terry Ward</t>
  </si>
  <si>
    <t>ORD1931</t>
  </si>
  <si>
    <t>Jesse Williams</t>
  </si>
  <si>
    <t>ORD1932</t>
  </si>
  <si>
    <t>Mrs. Michele Boyd</t>
  </si>
  <si>
    <t>ORD1933</t>
  </si>
  <si>
    <t>Sandy Baker</t>
  </si>
  <si>
    <t>ORD1934</t>
  </si>
  <si>
    <t>Carrie Valdez</t>
  </si>
  <si>
    <t>ORD1935</t>
  </si>
  <si>
    <t>Matthew Houston</t>
  </si>
  <si>
    <t>ORD1936</t>
  </si>
  <si>
    <t>Jamie Solomon</t>
  </si>
  <si>
    <t>ORD1937</t>
  </si>
  <si>
    <t>Heather Parrish</t>
  </si>
  <si>
    <t>ORD1938</t>
  </si>
  <si>
    <t>Mr. Larry Shaw</t>
  </si>
  <si>
    <t>ORD1939</t>
  </si>
  <si>
    <t>Christopher Jones</t>
  </si>
  <si>
    <t>ORD1940</t>
  </si>
  <si>
    <t>Christine Lopez</t>
  </si>
  <si>
    <t>ORD1941</t>
  </si>
  <si>
    <t>Mitchell Wilson</t>
  </si>
  <si>
    <t>ORD1942</t>
  </si>
  <si>
    <t>Robert Cortez</t>
  </si>
  <si>
    <t>ORD1943</t>
  </si>
  <si>
    <t>Mr. Daniel Martin</t>
  </si>
  <si>
    <t>ORD1944</t>
  </si>
  <si>
    <t>Alison Williams</t>
  </si>
  <si>
    <t>ORD1945</t>
  </si>
  <si>
    <t>Candace Soto</t>
  </si>
  <si>
    <t>ORD1946</t>
  </si>
  <si>
    <t>Kenneth Brown</t>
  </si>
  <si>
    <t>ORD1947</t>
  </si>
  <si>
    <t>Christopher Mullen</t>
  </si>
  <si>
    <t>ORD1948</t>
  </si>
  <si>
    <t>Kristy Smith</t>
  </si>
  <si>
    <t>ORD1949</t>
  </si>
  <si>
    <t>Mary Campbell</t>
  </si>
  <si>
    <t>ORD1950</t>
  </si>
  <si>
    <t>Jerry Haney</t>
  </si>
  <si>
    <t>ORD1951</t>
  </si>
  <si>
    <t>Carolyn Greer</t>
  </si>
  <si>
    <t>ORD1952</t>
  </si>
  <si>
    <t>Rebecca Hoover</t>
  </si>
  <si>
    <t>ORD1953</t>
  </si>
  <si>
    <t>Matthew Baker</t>
  </si>
  <si>
    <t>ORD1954</t>
  </si>
  <si>
    <t>Grace Chavez</t>
  </si>
  <si>
    <t>ORD1955</t>
  </si>
  <si>
    <t>Crystal Cruz</t>
  </si>
  <si>
    <t>ORD1956</t>
  </si>
  <si>
    <t>Dale Heath</t>
  </si>
  <si>
    <t>ORD1957</t>
  </si>
  <si>
    <t>ORD1958</t>
  </si>
  <si>
    <t>John Mendez</t>
  </si>
  <si>
    <t>ORD1959</t>
  </si>
  <si>
    <t>Richard Gordon</t>
  </si>
  <si>
    <t>ORD1960</t>
  </si>
  <si>
    <t>John Anderson</t>
  </si>
  <si>
    <t>ORD1961</t>
  </si>
  <si>
    <t>Samantha Prince</t>
  </si>
  <si>
    <t>ORD1962</t>
  </si>
  <si>
    <t>Marie Boyd</t>
  </si>
  <si>
    <t>ORD1963</t>
  </si>
  <si>
    <t>Andrew Moreno</t>
  </si>
  <si>
    <t>ORD1964</t>
  </si>
  <si>
    <t>Robert Clarke</t>
  </si>
  <si>
    <t>ORD1965</t>
  </si>
  <si>
    <t>Kevin Figueroa</t>
  </si>
  <si>
    <t>ORD1966</t>
  </si>
  <si>
    <t>Melissa Davis</t>
  </si>
  <si>
    <t>ORD1967</t>
  </si>
  <si>
    <t>John Hall</t>
  </si>
  <si>
    <t>ORD1968</t>
  </si>
  <si>
    <t>Diane Mcdowell</t>
  </si>
  <si>
    <t>ORD1969</t>
  </si>
  <si>
    <t>Colin Fletcher</t>
  </si>
  <si>
    <t>ORD1970</t>
  </si>
  <si>
    <t>Laura Wilson</t>
  </si>
  <si>
    <t>ORD1971</t>
  </si>
  <si>
    <t>Matthew Watts</t>
  </si>
  <si>
    <t>ORD1972</t>
  </si>
  <si>
    <t>Jack Moore</t>
  </si>
  <si>
    <t>ORD1973</t>
  </si>
  <si>
    <t>Dawn Wyatt</t>
  </si>
  <si>
    <t>ORD1974</t>
  </si>
  <si>
    <t>Jacob Hill</t>
  </si>
  <si>
    <t>ORD1975</t>
  </si>
  <si>
    <t>Nicole Gutierrez</t>
  </si>
  <si>
    <t>ORD1976</t>
  </si>
  <si>
    <t>Karen Wood</t>
  </si>
  <si>
    <t>ORD1977</t>
  </si>
  <si>
    <t>Dawn Parker</t>
  </si>
  <si>
    <t>ORD1978</t>
  </si>
  <si>
    <t>Michael Fitzgerald</t>
  </si>
  <si>
    <t>ORD1979</t>
  </si>
  <si>
    <t>Mary Adkins</t>
  </si>
  <si>
    <t>ORD1980</t>
  </si>
  <si>
    <t>Michael Martin</t>
  </si>
  <si>
    <t>ORD1981</t>
  </si>
  <si>
    <t>James Morgan</t>
  </si>
  <si>
    <t>ORD1982</t>
  </si>
  <si>
    <t>Melissa Mann</t>
  </si>
  <si>
    <t>ORD1983</t>
  </si>
  <si>
    <t>Vincent Smith</t>
  </si>
  <si>
    <t>ORD1984</t>
  </si>
  <si>
    <t>Charles Frost</t>
  </si>
  <si>
    <t>ORD1985</t>
  </si>
  <si>
    <t>Austin Walker</t>
  </si>
  <si>
    <t>ORD1986</t>
  </si>
  <si>
    <t>Andrew Cruz</t>
  </si>
  <si>
    <t>ORD1987</t>
  </si>
  <si>
    <t>Miss Kelly Dawson</t>
  </si>
  <si>
    <t>ORD1988</t>
  </si>
  <si>
    <t>Theresa Wilkins</t>
  </si>
  <si>
    <t>ORD1989</t>
  </si>
  <si>
    <t>Jessica Harris</t>
  </si>
  <si>
    <t>ORD1990</t>
  </si>
  <si>
    <t>Regina Mitchell</t>
  </si>
  <si>
    <t>ORD1991</t>
  </si>
  <si>
    <t>Kyle Black</t>
  </si>
  <si>
    <t>ORD1992</t>
  </si>
  <si>
    <t>Christopher Johnson</t>
  </si>
  <si>
    <t>ORD1993</t>
  </si>
  <si>
    <t>Aaron Moore</t>
  </si>
  <si>
    <t>ORD1994</t>
  </si>
  <si>
    <t>Penny Gomez MD</t>
  </si>
  <si>
    <t>ORD1995</t>
  </si>
  <si>
    <t>Kelly Mclaughlin</t>
  </si>
  <si>
    <t>ORD1996</t>
  </si>
  <si>
    <t>Brandon Mitchell</t>
  </si>
  <si>
    <t>ORD1997</t>
  </si>
  <si>
    <t>Suzanne Bailey</t>
  </si>
  <si>
    <t>ORD1998</t>
  </si>
  <si>
    <t>Destiny Obrien</t>
  </si>
  <si>
    <t>ORD1999</t>
  </si>
  <si>
    <t>Timothy Andrews</t>
  </si>
  <si>
    <t>ORD2000</t>
  </si>
  <si>
    <t>Jason Rodriguez</t>
  </si>
  <si>
    <t>ORD2001</t>
  </si>
  <si>
    <t>Edward Arroyo</t>
  </si>
  <si>
    <t>ORD2002</t>
  </si>
  <si>
    <t>Tina Walter</t>
  </si>
  <si>
    <t>ORD2003</t>
  </si>
  <si>
    <t>Laura Benson</t>
  </si>
  <si>
    <t>ORD2004</t>
  </si>
  <si>
    <t>Kristine Carrillo</t>
  </si>
  <si>
    <t>ORD2005</t>
  </si>
  <si>
    <t>Tonya Ellis</t>
  </si>
  <si>
    <t>ORD2006</t>
  </si>
  <si>
    <t>Kevin Johnson</t>
  </si>
  <si>
    <t>ORD2007</t>
  </si>
  <si>
    <t>Austin Schultz</t>
  </si>
  <si>
    <t>ORD2008</t>
  </si>
  <si>
    <t>Megan Hall MD</t>
  </si>
  <si>
    <t>ORD2009</t>
  </si>
  <si>
    <t>Kelli Smith</t>
  </si>
  <si>
    <t>ORD2010</t>
  </si>
  <si>
    <t>Danielle Davis</t>
  </si>
  <si>
    <t>ORD2011</t>
  </si>
  <si>
    <t>Samantha Jones</t>
  </si>
  <si>
    <t>ORD2012</t>
  </si>
  <si>
    <t>Karen Gomez</t>
  </si>
  <si>
    <t>ORD2013</t>
  </si>
  <si>
    <t>Debra Valentine</t>
  </si>
  <si>
    <t>ORD2014</t>
  </si>
  <si>
    <t>Susan Porter</t>
  </si>
  <si>
    <t>ORD2015</t>
  </si>
  <si>
    <t>Nicolas Salas</t>
  </si>
  <si>
    <t>ORD2016</t>
  </si>
  <si>
    <t>Dale Wright</t>
  </si>
  <si>
    <t>ORD2017</t>
  </si>
  <si>
    <t>Brittney Rodriguez</t>
  </si>
  <si>
    <t>ORD2018</t>
  </si>
  <si>
    <t>Megan Alvarado</t>
  </si>
  <si>
    <t>ORD2019</t>
  </si>
  <si>
    <t>Pamela Weaver</t>
  </si>
  <si>
    <t>ORD2020</t>
  </si>
  <si>
    <t>John Oliver</t>
  </si>
  <si>
    <t>ORD2021</t>
  </si>
  <si>
    <t>William Prince PhD</t>
  </si>
  <si>
    <t>ORD2022</t>
  </si>
  <si>
    <t>William Moon IV</t>
  </si>
  <si>
    <t>ORD2023</t>
  </si>
  <si>
    <t>ORD2024</t>
  </si>
  <si>
    <t>Karen Fernandez</t>
  </si>
  <si>
    <t>ORD2025</t>
  </si>
  <si>
    <t>Jennifer Parks</t>
  </si>
  <si>
    <t>ORD2026</t>
  </si>
  <si>
    <t>William Wolfe</t>
  </si>
  <si>
    <t>ORD2027</t>
  </si>
  <si>
    <t>Michael Smith</t>
  </si>
  <si>
    <t>ORD2028</t>
  </si>
  <si>
    <t>Kevin Nguyen</t>
  </si>
  <si>
    <t>ORD2029</t>
  </si>
  <si>
    <t>Debbie Dunn</t>
  </si>
  <si>
    <t>ORD2030</t>
  </si>
  <si>
    <t>John Austin</t>
  </si>
  <si>
    <t>ORD2031</t>
  </si>
  <si>
    <t>Jonathan Clark</t>
  </si>
  <si>
    <t>ORD2032</t>
  </si>
  <si>
    <t>Jacqueline Dickerson</t>
  </si>
  <si>
    <t>ORD2033</t>
  </si>
  <si>
    <t>Christopher Anderson</t>
  </si>
  <si>
    <t>ORD2034</t>
  </si>
  <si>
    <t>Crystal Garcia</t>
  </si>
  <si>
    <t>ORD2035</t>
  </si>
  <si>
    <t>David Reynolds</t>
  </si>
  <si>
    <t>ORD2036</t>
  </si>
  <si>
    <t>Charles Haley</t>
  </si>
  <si>
    <t>ORD2037</t>
  </si>
  <si>
    <t>Robert Thompson</t>
  </si>
  <si>
    <t>ORD2038</t>
  </si>
  <si>
    <t>Dr. Samuel Holmes DDS</t>
  </si>
  <si>
    <t>ORD2039</t>
  </si>
  <si>
    <t>Elizabeth Hart</t>
  </si>
  <si>
    <t>ORD2040</t>
  </si>
  <si>
    <t>Jennifer Vaughn</t>
  </si>
  <si>
    <t>ORD2041</t>
  </si>
  <si>
    <t>Robert Woods</t>
  </si>
  <si>
    <t>ORD2042</t>
  </si>
  <si>
    <t>Joanna Cook</t>
  </si>
  <si>
    <t>ORD2043</t>
  </si>
  <si>
    <t>Justin Frederick</t>
  </si>
  <si>
    <t>ORD2044</t>
  </si>
  <si>
    <t>Alejandro Martinez</t>
  </si>
  <si>
    <t>ORD2045</t>
  </si>
  <si>
    <t>Tracey Gonzalez</t>
  </si>
  <si>
    <t>ORD2046</t>
  </si>
  <si>
    <t>Mariah Thompson</t>
  </si>
  <si>
    <t>ORD2047</t>
  </si>
  <si>
    <t>Heather Nunez</t>
  </si>
  <si>
    <t>ORD2048</t>
  </si>
  <si>
    <t>Dr. Steve James</t>
  </si>
  <si>
    <t>ORD2049</t>
  </si>
  <si>
    <t>Mark Thomas</t>
  </si>
  <si>
    <t>ORD2050</t>
  </si>
  <si>
    <t>Robert Rogers</t>
  </si>
  <si>
    <t>ORD2051</t>
  </si>
  <si>
    <t>Laura Sweeney</t>
  </si>
  <si>
    <t>ORD2052</t>
  </si>
  <si>
    <t>Christopher Perez</t>
  </si>
  <si>
    <t>ORD2053</t>
  </si>
  <si>
    <t>Eddie Adams</t>
  </si>
  <si>
    <t>ORD2054</t>
  </si>
  <si>
    <t>Denise Wallace</t>
  </si>
  <si>
    <t>ORD2055</t>
  </si>
  <si>
    <t>Heidi Matthews</t>
  </si>
  <si>
    <t>ORD2056</t>
  </si>
  <si>
    <t>Jennifer White</t>
  </si>
  <si>
    <t>ORD2057</t>
  </si>
  <si>
    <t>Nicholas Stanley</t>
  </si>
  <si>
    <t>ORD2058</t>
  </si>
  <si>
    <t>Mercedes Miller</t>
  </si>
  <si>
    <t>ORD2059</t>
  </si>
  <si>
    <t>Brian Brown</t>
  </si>
  <si>
    <t>ORD2060</t>
  </si>
  <si>
    <t>Kimberly Johnson</t>
  </si>
  <si>
    <t>ORD2061</t>
  </si>
  <si>
    <t>Phillip Miller</t>
  </si>
  <si>
    <t>ORD2062</t>
  </si>
  <si>
    <t>Christopher Pena</t>
  </si>
  <si>
    <t>ORD2063</t>
  </si>
  <si>
    <t>Ellen Wright</t>
  </si>
  <si>
    <t>ORD2064</t>
  </si>
  <si>
    <t>Mark Anderson</t>
  </si>
  <si>
    <t>ORD2065</t>
  </si>
  <si>
    <t>Alyssa Alvarado</t>
  </si>
  <si>
    <t>ORD2066</t>
  </si>
  <si>
    <t>Erika Alvarez</t>
  </si>
  <si>
    <t>ORD2067</t>
  </si>
  <si>
    <t>Kimberly Nelson</t>
  </si>
  <si>
    <t>ORD2068</t>
  </si>
  <si>
    <t>Wayne Wolfe</t>
  </si>
  <si>
    <t>ORD2069</t>
  </si>
  <si>
    <t>Kyle Welch</t>
  </si>
  <si>
    <t>ORD2070</t>
  </si>
  <si>
    <t>Kristy Mills</t>
  </si>
  <si>
    <t>ORD2071</t>
  </si>
  <si>
    <t>Emily Reed</t>
  </si>
  <si>
    <t>ORD2072</t>
  </si>
  <si>
    <t>Regina Ramos</t>
  </si>
  <si>
    <t>ORD2073</t>
  </si>
  <si>
    <t>David Torres</t>
  </si>
  <si>
    <t>ORD2074</t>
  </si>
  <si>
    <t>Robert Charles</t>
  </si>
  <si>
    <t>ORD2075</t>
  </si>
  <si>
    <t>John Smith</t>
  </si>
  <si>
    <t>ORD2076</t>
  </si>
  <si>
    <t>Theresa Woods</t>
  </si>
  <si>
    <t>ORD2077</t>
  </si>
  <si>
    <t>Jeffrey Carter</t>
  </si>
  <si>
    <t>ORD2078</t>
  </si>
  <si>
    <t>Adam Brooks</t>
  </si>
  <si>
    <t>ORD2079</t>
  </si>
  <si>
    <t>Justin Foster</t>
  </si>
  <si>
    <t>ORD2080</t>
  </si>
  <si>
    <t>Omar Price</t>
  </si>
  <si>
    <t>ORD2081</t>
  </si>
  <si>
    <t>Dennis Henderson</t>
  </si>
  <si>
    <t>ORD2082</t>
  </si>
  <si>
    <t>Phillip Kent</t>
  </si>
  <si>
    <t>ORD2083</t>
  </si>
  <si>
    <t>Melinda Mitchell</t>
  </si>
  <si>
    <t>ORD2084</t>
  </si>
  <si>
    <t>Rhonda Gutierrez</t>
  </si>
  <si>
    <t>ORD2085</t>
  </si>
  <si>
    <t>Catherine Roberts</t>
  </si>
  <si>
    <t>ORD2086</t>
  </si>
  <si>
    <t>Lisa Nelson</t>
  </si>
  <si>
    <t>ORD2087</t>
  </si>
  <si>
    <t>Chelsea Smith</t>
  </si>
  <si>
    <t>ORD2088</t>
  </si>
  <si>
    <t>Joseph Lopez</t>
  </si>
  <si>
    <t>ORD2089</t>
  </si>
  <si>
    <t>Derrick Espinoza</t>
  </si>
  <si>
    <t>ORD2090</t>
  </si>
  <si>
    <t>Crystal Hernandez</t>
  </si>
  <si>
    <t>ORD2091</t>
  </si>
  <si>
    <t>Glenn Collins DDS</t>
  </si>
  <si>
    <t>ORD2092</t>
  </si>
  <si>
    <t>Mrs. Raven Rivera DVM</t>
  </si>
  <si>
    <t>ORD2093</t>
  </si>
  <si>
    <t>Amy Rowe</t>
  </si>
  <si>
    <t>ORD2094</t>
  </si>
  <si>
    <t>John Lee</t>
  </si>
  <si>
    <t>ORD2095</t>
  </si>
  <si>
    <t>Ruth Clayton</t>
  </si>
  <si>
    <t>ORD2096</t>
  </si>
  <si>
    <t>Randy Wright</t>
  </si>
  <si>
    <t>ORD2097</t>
  </si>
  <si>
    <t>Jessica Rojas</t>
  </si>
  <si>
    <t>ORD2098</t>
  </si>
  <si>
    <t>Joel Wise</t>
  </si>
  <si>
    <t>ORD2099</t>
  </si>
  <si>
    <t>Vickie Kennedy</t>
  </si>
  <si>
    <t>ORD2100</t>
  </si>
  <si>
    <t>Emily Morris</t>
  </si>
  <si>
    <t>ORD2101</t>
  </si>
  <si>
    <t>Amanda Pineda</t>
  </si>
  <si>
    <t>ORD2102</t>
  </si>
  <si>
    <t>Dawn Little</t>
  </si>
  <si>
    <t>ORD2103</t>
  </si>
  <si>
    <t>Stephen Boyer</t>
  </si>
  <si>
    <t>ORD2104</t>
  </si>
  <si>
    <t>Brian Chen</t>
  </si>
  <si>
    <t>ORD2105</t>
  </si>
  <si>
    <t>Christopher Hill</t>
  </si>
  <si>
    <t>ORD2106</t>
  </si>
  <si>
    <t>Richard Smith</t>
  </si>
  <si>
    <t>ORD2107</t>
  </si>
  <si>
    <t>Richard Alvarez</t>
  </si>
  <si>
    <t>ORD2108</t>
  </si>
  <si>
    <t>Jacqueline Davis</t>
  </si>
  <si>
    <t>ORD2109</t>
  </si>
  <si>
    <t>Brandon Montgomery</t>
  </si>
  <si>
    <t>ORD2110</t>
  </si>
  <si>
    <t>Yolanda Garrett</t>
  </si>
  <si>
    <t>ORD2111</t>
  </si>
  <si>
    <t>Matthew Miles</t>
  </si>
  <si>
    <t>ORD2112</t>
  </si>
  <si>
    <t>Beth Hall</t>
  </si>
  <si>
    <t>ORD2113</t>
  </si>
  <si>
    <t>Dr. Nicole Trujillo</t>
  </si>
  <si>
    <t>ORD2114</t>
  </si>
  <si>
    <t>Corey Norris</t>
  </si>
  <si>
    <t>ORD2115</t>
  </si>
  <si>
    <t>Chad Roach</t>
  </si>
  <si>
    <t>ORD2116</t>
  </si>
  <si>
    <t>Mr. Edward Terry</t>
  </si>
  <si>
    <t>ORD2117</t>
  </si>
  <si>
    <t>Cody Bailey</t>
  </si>
  <si>
    <t>ORD2118</t>
  </si>
  <si>
    <t>Denise Guerra</t>
  </si>
  <si>
    <t>ORD2119</t>
  </si>
  <si>
    <t>Kristen Jones</t>
  </si>
  <si>
    <t>ORD2120</t>
  </si>
  <si>
    <t>Edward Baker</t>
  </si>
  <si>
    <t>ORD2121</t>
  </si>
  <si>
    <t>Aaron Little</t>
  </si>
  <si>
    <t>ORD2122</t>
  </si>
  <si>
    <t>Cody Smith</t>
  </si>
  <si>
    <t>ORD2123</t>
  </si>
  <si>
    <t>Patty Allen</t>
  </si>
  <si>
    <t>ORD2124</t>
  </si>
  <si>
    <t>Mary Ryan</t>
  </si>
  <si>
    <t>ORD2125</t>
  </si>
  <si>
    <t>Joseph Jimenez</t>
  </si>
  <si>
    <t>ORD2126</t>
  </si>
  <si>
    <t>Lisa Morris</t>
  </si>
  <si>
    <t>ORD2127</t>
  </si>
  <si>
    <t>Ashley Mills</t>
  </si>
  <si>
    <t>ORD2128</t>
  </si>
  <si>
    <t>Russell Anderson</t>
  </si>
  <si>
    <t>ORD2129</t>
  </si>
  <si>
    <t>Christina Washington</t>
  </si>
  <si>
    <t>ORD2130</t>
  </si>
  <si>
    <t>Kenneth Huff</t>
  </si>
  <si>
    <t>ORD2131</t>
  </si>
  <si>
    <t>Kelly Miles</t>
  </si>
  <si>
    <t>ORD2132</t>
  </si>
  <si>
    <t>Jacob Obrien</t>
  </si>
  <si>
    <t>ORD2133</t>
  </si>
  <si>
    <t>Timothy Clark</t>
  </si>
  <si>
    <t>ORD2134</t>
  </si>
  <si>
    <t>Steve Miller PhD</t>
  </si>
  <si>
    <t>ORD2135</t>
  </si>
  <si>
    <t>Justin Hurley</t>
  </si>
  <si>
    <t>ORD2136</t>
  </si>
  <si>
    <t>Jacob Erickson</t>
  </si>
  <si>
    <t>ORD2137</t>
  </si>
  <si>
    <t>Deborah Williams</t>
  </si>
  <si>
    <t>ORD2138</t>
  </si>
  <si>
    <t>Eric Blackburn</t>
  </si>
  <si>
    <t>ORD2139</t>
  </si>
  <si>
    <t>Anne Hardy</t>
  </si>
  <si>
    <t>ORD2140</t>
  </si>
  <si>
    <t>Chelsey Fox</t>
  </si>
  <si>
    <t>ORD2141</t>
  </si>
  <si>
    <t>Mario White</t>
  </si>
  <si>
    <t>ORD2142</t>
  </si>
  <si>
    <t>Jennifer Garcia</t>
  </si>
  <si>
    <t>ORD2143</t>
  </si>
  <si>
    <t>Heather Ellis</t>
  </si>
  <si>
    <t>ORD2144</t>
  </si>
  <si>
    <t>Sonya Jackson</t>
  </si>
  <si>
    <t>ORD2145</t>
  </si>
  <si>
    <t>ORD2146</t>
  </si>
  <si>
    <t>Zachary Ramos</t>
  </si>
  <si>
    <t>ORD2147</t>
  </si>
  <si>
    <t>Ethan Frey</t>
  </si>
  <si>
    <t>ORD2148</t>
  </si>
  <si>
    <t>Jacob Duran</t>
  </si>
  <si>
    <t>ORD2149</t>
  </si>
  <si>
    <t>Nicholas Franklin</t>
  </si>
  <si>
    <t>ORD2150</t>
  </si>
  <si>
    <t>Cindy Cannon</t>
  </si>
  <si>
    <t>ORD2151</t>
  </si>
  <si>
    <t>Dawn Nixon</t>
  </si>
  <si>
    <t>ORD2152</t>
  </si>
  <si>
    <t>James Barber</t>
  </si>
  <si>
    <t>ORD2153</t>
  </si>
  <si>
    <t>Ms. Kelly Holder</t>
  </si>
  <si>
    <t>ORD2154</t>
  </si>
  <si>
    <t>Eric Walker</t>
  </si>
  <si>
    <t>ORD2155</t>
  </si>
  <si>
    <t>Alison Short</t>
  </si>
  <si>
    <t>ORD2156</t>
  </si>
  <si>
    <t>Desiree Spencer</t>
  </si>
  <si>
    <t>ORD2157</t>
  </si>
  <si>
    <t>Tammy Moore</t>
  </si>
  <si>
    <t>ORD2158</t>
  </si>
  <si>
    <t>Henry Taylor</t>
  </si>
  <si>
    <t>ORD2159</t>
  </si>
  <si>
    <t>Kevin Hall</t>
  </si>
  <si>
    <t>ORD2160</t>
  </si>
  <si>
    <t>Anna Ross</t>
  </si>
  <si>
    <t>ORD2161</t>
  </si>
  <si>
    <t>Morgan Cummings</t>
  </si>
  <si>
    <t>ORD2162</t>
  </si>
  <si>
    <t>Carrie Petersen</t>
  </si>
  <si>
    <t>ORD2163</t>
  </si>
  <si>
    <t>Laura Velez</t>
  </si>
  <si>
    <t>ORD2164</t>
  </si>
  <si>
    <t>Elizabeth Cross</t>
  </si>
  <si>
    <t>ORD2165</t>
  </si>
  <si>
    <t>Angela Brown</t>
  </si>
  <si>
    <t>ORD2166</t>
  </si>
  <si>
    <t>Hannah Montoya</t>
  </si>
  <si>
    <t>ORD2167</t>
  </si>
  <si>
    <t>Sean Kane</t>
  </si>
  <si>
    <t>ORD2168</t>
  </si>
  <si>
    <t>Matthew Guzman</t>
  </si>
  <si>
    <t>ORD2169</t>
  </si>
  <si>
    <t>Richard Reyes</t>
  </si>
  <si>
    <t>ORD2170</t>
  </si>
  <si>
    <t>Andrew Fernandez</t>
  </si>
  <si>
    <t>ORD2171</t>
  </si>
  <si>
    <t>Jonathan Walker</t>
  </si>
  <si>
    <t>ORD2172</t>
  </si>
  <si>
    <t>Nicholas Long</t>
  </si>
  <si>
    <t>ORD2173</t>
  </si>
  <si>
    <t>Kurt Wagner</t>
  </si>
  <si>
    <t>ORD2174</t>
  </si>
  <si>
    <t>Dylan Foster</t>
  </si>
  <si>
    <t>ORD2175</t>
  </si>
  <si>
    <t>Bradley Duncan</t>
  </si>
  <si>
    <t>ORD2176</t>
  </si>
  <si>
    <t>James Miller</t>
  </si>
  <si>
    <t>ORD2177</t>
  </si>
  <si>
    <t>Patricia Anderson</t>
  </si>
  <si>
    <t>ORD2178</t>
  </si>
  <si>
    <t>Justin Freeman</t>
  </si>
  <si>
    <t>ORD2179</t>
  </si>
  <si>
    <t>Christina Gilbert</t>
  </si>
  <si>
    <t>ORD2180</t>
  </si>
  <si>
    <t>Danielle Jones</t>
  </si>
  <si>
    <t>ORD2181</t>
  </si>
  <si>
    <t>Erica Glass</t>
  </si>
  <si>
    <t>ORD2182</t>
  </si>
  <si>
    <t>Michael Henderson</t>
  </si>
  <si>
    <t>ORD2183</t>
  </si>
  <si>
    <t>Frank Wheeler</t>
  </si>
  <si>
    <t>ORD2184</t>
  </si>
  <si>
    <t>Eric Huerta</t>
  </si>
  <si>
    <t>ORD2185</t>
  </si>
  <si>
    <t>Wanda Ramos</t>
  </si>
  <si>
    <t>ORD2186</t>
  </si>
  <si>
    <t>Andrew Meyers</t>
  </si>
  <si>
    <t>ORD2187</t>
  </si>
  <si>
    <t>James Todd</t>
  </si>
  <si>
    <t>ORD2188</t>
  </si>
  <si>
    <t>Ashley Brown</t>
  </si>
  <si>
    <t>ORD2189</t>
  </si>
  <si>
    <t>Tammy Melton</t>
  </si>
  <si>
    <t>ORD2190</t>
  </si>
  <si>
    <t>Alexis Benson</t>
  </si>
  <si>
    <t>ORD2191</t>
  </si>
  <si>
    <t>Jerry Johnson</t>
  </si>
  <si>
    <t>ORD2192</t>
  </si>
  <si>
    <t>Joshua Harris</t>
  </si>
  <si>
    <t>ORD2193</t>
  </si>
  <si>
    <t>Deanna Webb</t>
  </si>
  <si>
    <t>ORD2194</t>
  </si>
  <si>
    <t>Brenda Hale</t>
  </si>
  <si>
    <t>ORD2195</t>
  </si>
  <si>
    <t>Kevin Alvarado</t>
  </si>
  <si>
    <t>ORD2196</t>
  </si>
  <si>
    <t>Christopher Campbell</t>
  </si>
  <si>
    <t>ORD2197</t>
  </si>
  <si>
    <t>Lisa Brown</t>
  </si>
  <si>
    <t>ORD2198</t>
  </si>
  <si>
    <t>Alejandra Price</t>
  </si>
  <si>
    <t>ORD2199</t>
  </si>
  <si>
    <t>Samuel Keller</t>
  </si>
  <si>
    <t>ORD2200</t>
  </si>
  <si>
    <t>Alicia Dillon</t>
  </si>
  <si>
    <t>ORD2201</t>
  </si>
  <si>
    <t>Crystal James</t>
  </si>
  <si>
    <t>ORD2202</t>
  </si>
  <si>
    <t>Ariana Stewart</t>
  </si>
  <si>
    <t>ORD2203</t>
  </si>
  <si>
    <t>Kim Lopez</t>
  </si>
  <si>
    <t>ORD2204</t>
  </si>
  <si>
    <t>Judith House</t>
  </si>
  <si>
    <t>ORD2205</t>
  </si>
  <si>
    <t>David Moreno</t>
  </si>
  <si>
    <t>ORD2206</t>
  </si>
  <si>
    <t>James Moore</t>
  </si>
  <si>
    <t>ORD2207</t>
  </si>
  <si>
    <t>Harold Garrett</t>
  </si>
  <si>
    <t>ORD2208</t>
  </si>
  <si>
    <t>William Mason</t>
  </si>
  <si>
    <t>ORD2209</t>
  </si>
  <si>
    <t>Lori Johns</t>
  </si>
  <si>
    <t>ORD2210</t>
  </si>
  <si>
    <t>Robin Johnson</t>
  </si>
  <si>
    <t>ORD2211</t>
  </si>
  <si>
    <t>Diana Hernandez</t>
  </si>
  <si>
    <t>ORD2212</t>
  </si>
  <si>
    <t>ORD2213</t>
  </si>
  <si>
    <t>Tyler Salazar</t>
  </si>
  <si>
    <t>ORD2214</t>
  </si>
  <si>
    <t>Crystal Allen</t>
  </si>
  <si>
    <t>ORD2215</t>
  </si>
  <si>
    <t>Wesley Browning</t>
  </si>
  <si>
    <t>ORD2216</t>
  </si>
  <si>
    <t>Joshua Clark</t>
  </si>
  <si>
    <t>ORD2217</t>
  </si>
  <si>
    <t>Joshua Mcbride</t>
  </si>
  <si>
    <t>ORD2218</t>
  </si>
  <si>
    <t>Ellen Thornton</t>
  </si>
  <si>
    <t>ORD2219</t>
  </si>
  <si>
    <t>Brandy Forbes</t>
  </si>
  <si>
    <t>ORD2220</t>
  </si>
  <si>
    <t>Brianna Fitzpatrick</t>
  </si>
  <si>
    <t>ORD2221</t>
  </si>
  <si>
    <t>Emily Grant</t>
  </si>
  <si>
    <t>ORD2222</t>
  </si>
  <si>
    <t>Bailey Stewart</t>
  </si>
  <si>
    <t>ORD2223</t>
  </si>
  <si>
    <t>Monica Cannon</t>
  </si>
  <si>
    <t>ORD2224</t>
  </si>
  <si>
    <t>Jennifer Jenkins</t>
  </si>
  <si>
    <t>ORD2225</t>
  </si>
  <si>
    <t>Timothy Shannon</t>
  </si>
  <si>
    <t>ORD2226</t>
  </si>
  <si>
    <t>Denise Maxwell</t>
  </si>
  <si>
    <t>ORD2227</t>
  </si>
  <si>
    <t>Cody Farmer</t>
  </si>
  <si>
    <t>ORD2228</t>
  </si>
  <si>
    <t>Debra Bradley</t>
  </si>
  <si>
    <t>ORD2229</t>
  </si>
  <si>
    <t>David Mcdaniel</t>
  </si>
  <si>
    <t>ORD2230</t>
  </si>
  <si>
    <t>Michael Woods</t>
  </si>
  <si>
    <t>ORD2231</t>
  </si>
  <si>
    <t>Lisa Joseph</t>
  </si>
  <si>
    <t>ORD2232</t>
  </si>
  <si>
    <t>Samuel Henry</t>
  </si>
  <si>
    <t>ORD2233</t>
  </si>
  <si>
    <t>Corey Johnson</t>
  </si>
  <si>
    <t>ORD2234</t>
  </si>
  <si>
    <t>Alexis Nelson</t>
  </si>
  <si>
    <t>ORD2235</t>
  </si>
  <si>
    <t>Patrick Mcneil</t>
  </si>
  <si>
    <t>ORD2236</t>
  </si>
  <si>
    <t>Andrea Ho</t>
  </si>
  <si>
    <t>ORD2237</t>
  </si>
  <si>
    <t>Dr. Katherine Nguyen</t>
  </si>
  <si>
    <t>ORD2238</t>
  </si>
  <si>
    <t>David Sullivan</t>
  </si>
  <si>
    <t>ORD2239</t>
  </si>
  <si>
    <t>Nicolas James</t>
  </si>
  <si>
    <t>ORD2240</t>
  </si>
  <si>
    <t>Logan Newton</t>
  </si>
  <si>
    <t>ORD2241</t>
  </si>
  <si>
    <t>Kelly Liu</t>
  </si>
  <si>
    <t>ORD2242</t>
  </si>
  <si>
    <t>Kelly Hayes</t>
  </si>
  <si>
    <t>ORD2243</t>
  </si>
  <si>
    <t>Amanda Forbes</t>
  </si>
  <si>
    <t>ORD2244</t>
  </si>
  <si>
    <t>Jennifer Moss</t>
  </si>
  <si>
    <t>ORD2245</t>
  </si>
  <si>
    <t>Kelli Mccoy</t>
  </si>
  <si>
    <t>ORD2246</t>
  </si>
  <si>
    <t>Eddie Sanders</t>
  </si>
  <si>
    <t>ORD2247</t>
  </si>
  <si>
    <t>Ronald Murray</t>
  </si>
  <si>
    <t>ORD2248</t>
  </si>
  <si>
    <t>Louis Brown</t>
  </si>
  <si>
    <t>ORD2249</t>
  </si>
  <si>
    <t>Brenda Gallegos</t>
  </si>
  <si>
    <t>ORD2250</t>
  </si>
  <si>
    <t>ORD2251</t>
  </si>
  <si>
    <t>Teresa Horton</t>
  </si>
  <si>
    <t>ORD2252</t>
  </si>
  <si>
    <t>Jason Hayes</t>
  </si>
  <si>
    <t>ORD2253</t>
  </si>
  <si>
    <t>Kevin Marquez</t>
  </si>
  <si>
    <t>ORD2254</t>
  </si>
  <si>
    <t>Jesse Wright</t>
  </si>
  <si>
    <t>ORD2255</t>
  </si>
  <si>
    <t>Susan Hogan</t>
  </si>
  <si>
    <t>ORD2256</t>
  </si>
  <si>
    <t>Becky Wilson</t>
  </si>
  <si>
    <t>ORD2257</t>
  </si>
  <si>
    <t>Jack Mills</t>
  </si>
  <si>
    <t>ORD2258</t>
  </si>
  <si>
    <t>Richard Hunt</t>
  </si>
  <si>
    <t>ORD2259</t>
  </si>
  <si>
    <t>Jamie James</t>
  </si>
  <si>
    <t>ORD2260</t>
  </si>
  <si>
    <t>Susan Cunningham</t>
  </si>
  <si>
    <t>ORD2261</t>
  </si>
  <si>
    <t>Brittany Melton</t>
  </si>
  <si>
    <t>ORD2262</t>
  </si>
  <si>
    <t>Michael Barnes</t>
  </si>
  <si>
    <t>ORD2263</t>
  </si>
  <si>
    <t>Randy Griffin</t>
  </si>
  <si>
    <t>ORD2264</t>
  </si>
  <si>
    <t>Autumn Anderson</t>
  </si>
  <si>
    <t>ORD2265</t>
  </si>
  <si>
    <t>Marcus King</t>
  </si>
  <si>
    <t>ORD2266</t>
  </si>
  <si>
    <t>Scott Stephens</t>
  </si>
  <si>
    <t>ORD2267</t>
  </si>
  <si>
    <t>Stephen Young</t>
  </si>
  <si>
    <t>ORD2268</t>
  </si>
  <si>
    <t>Karen Ortiz</t>
  </si>
  <si>
    <t>ORD2269</t>
  </si>
  <si>
    <t>Kyle Sanchez</t>
  </si>
  <si>
    <t>ORD2270</t>
  </si>
  <si>
    <t>Lisa Grant</t>
  </si>
  <si>
    <t>ORD2271</t>
  </si>
  <si>
    <t>Amber Hernandez</t>
  </si>
  <si>
    <t>ORD2272</t>
  </si>
  <si>
    <t>Amanda Nash</t>
  </si>
  <si>
    <t>ORD2273</t>
  </si>
  <si>
    <t>Sara Evans</t>
  </si>
  <si>
    <t>ORD2274</t>
  </si>
  <si>
    <t>Amber Butler</t>
  </si>
  <si>
    <t>ORD2275</t>
  </si>
  <si>
    <t>Michael Carr</t>
  </si>
  <si>
    <t>ORD2276</t>
  </si>
  <si>
    <t>Linda Cobb</t>
  </si>
  <si>
    <t>ORD2277</t>
  </si>
  <si>
    <t>Jesse Riley</t>
  </si>
  <si>
    <t>ORD2278</t>
  </si>
  <si>
    <t>Anna Evans</t>
  </si>
  <si>
    <t>ORD2279</t>
  </si>
  <si>
    <t>James Jones</t>
  </si>
  <si>
    <t>ORD2280</t>
  </si>
  <si>
    <t>Joshua Carter</t>
  </si>
  <si>
    <t>ORD2281</t>
  </si>
  <si>
    <t>Michael Hill</t>
  </si>
  <si>
    <t>ORD2282</t>
  </si>
  <si>
    <t>Kelly Dominguez</t>
  </si>
  <si>
    <t>ORD2283</t>
  </si>
  <si>
    <t>Ashley Blair</t>
  </si>
  <si>
    <t>ORD2284</t>
  </si>
  <si>
    <t>Victoria Webb</t>
  </si>
  <si>
    <t>ORD2285</t>
  </si>
  <si>
    <t>Taylor Andersen</t>
  </si>
  <si>
    <t>ORD2286</t>
  </si>
  <si>
    <t>Lee Stewart</t>
  </si>
  <si>
    <t>ORD2287</t>
  </si>
  <si>
    <t>Whitney Gomez</t>
  </si>
  <si>
    <t>ORD2288</t>
  </si>
  <si>
    <t>Justin Stone</t>
  </si>
  <si>
    <t>ORD2289</t>
  </si>
  <si>
    <t>Katherine White</t>
  </si>
  <si>
    <t>ORD2290</t>
  </si>
  <si>
    <t>Michelle Krause</t>
  </si>
  <si>
    <t>ORD2291</t>
  </si>
  <si>
    <t>Alexander Garrett</t>
  </si>
  <si>
    <t>ORD2292</t>
  </si>
  <si>
    <t>Ryan Marsh</t>
  </si>
  <si>
    <t>ORD2293</t>
  </si>
  <si>
    <t>Mrs. Felicia Castro DDS</t>
  </si>
  <si>
    <t>ORD2294</t>
  </si>
  <si>
    <t>Curtis Campbell</t>
  </si>
  <si>
    <t>ORD2295</t>
  </si>
  <si>
    <t>Elizabeth Hunter</t>
  </si>
  <si>
    <t>ORD2296</t>
  </si>
  <si>
    <t>Aaron Jennings</t>
  </si>
  <si>
    <t>ORD2297</t>
  </si>
  <si>
    <t>Nathaniel Gilbert</t>
  </si>
  <si>
    <t>ORD2298</t>
  </si>
  <si>
    <t>Christopher Rivera</t>
  </si>
  <si>
    <t>ORD2299</t>
  </si>
  <si>
    <t>Michael Hendricks</t>
  </si>
  <si>
    <t>ORD2300</t>
  </si>
  <si>
    <t>Maria Olson</t>
  </si>
  <si>
    <t>ORD2301</t>
  </si>
  <si>
    <t>Stephanie Herrera</t>
  </si>
  <si>
    <t>ORD2302</t>
  </si>
  <si>
    <t>Richard Gutierrez</t>
  </si>
  <si>
    <t>ORD2303</t>
  </si>
  <si>
    <t>Sandy Evans</t>
  </si>
  <si>
    <t>ORD2304</t>
  </si>
  <si>
    <t>Emily Herrera</t>
  </si>
  <si>
    <t>ORD2305</t>
  </si>
  <si>
    <t>Michael Marsh</t>
  </si>
  <si>
    <t>ORD2306</t>
  </si>
  <si>
    <t>Heather Montes</t>
  </si>
  <si>
    <t>ORD2307</t>
  </si>
  <si>
    <t>Andre Terrell</t>
  </si>
  <si>
    <t>ORD2308</t>
  </si>
  <si>
    <t>Sarah Duncan</t>
  </si>
  <si>
    <t>ORD2309</t>
  </si>
  <si>
    <t>Kurt Hancock</t>
  </si>
  <si>
    <t>ORD2310</t>
  </si>
  <si>
    <t>Michele Edwards</t>
  </si>
  <si>
    <t>ORD2311</t>
  </si>
  <si>
    <t>Jason Crawford</t>
  </si>
  <si>
    <t>ORD2312</t>
  </si>
  <si>
    <t>Jesse Sampson</t>
  </si>
  <si>
    <t>ORD2313</t>
  </si>
  <si>
    <t>Eric Rodriguez</t>
  </si>
  <si>
    <t>ORD2314</t>
  </si>
  <si>
    <t>Paula Gentry</t>
  </si>
  <si>
    <t>ORD2315</t>
  </si>
  <si>
    <t>Alexander Webb</t>
  </si>
  <si>
    <t>ORD2316</t>
  </si>
  <si>
    <t>Cheryl Mclean</t>
  </si>
  <si>
    <t>ORD2317</t>
  </si>
  <si>
    <t>Kelly Rowe</t>
  </si>
  <si>
    <t>ORD2318</t>
  </si>
  <si>
    <t>Shane Short</t>
  </si>
  <si>
    <t>ORD2319</t>
  </si>
  <si>
    <t>Megan Anderson</t>
  </si>
  <si>
    <t>ORD2320</t>
  </si>
  <si>
    <t>Julia Reeves</t>
  </si>
  <si>
    <t>ORD2321</t>
  </si>
  <si>
    <t>April Randolph</t>
  </si>
  <si>
    <t>ORD2322</t>
  </si>
  <si>
    <t>Linda Miller</t>
  </si>
  <si>
    <t>ORD2323</t>
  </si>
  <si>
    <t>Angel Meyer</t>
  </si>
  <si>
    <t>ORD2324</t>
  </si>
  <si>
    <t>Emily Lane</t>
  </si>
  <si>
    <t>ORD2325</t>
  </si>
  <si>
    <t>Steven Flores</t>
  </si>
  <si>
    <t>ORD2326</t>
  </si>
  <si>
    <t>Donald Flores</t>
  </si>
  <si>
    <t>ORD2327</t>
  </si>
  <si>
    <t>Bruce Hernandez</t>
  </si>
  <si>
    <t>ORD2328</t>
  </si>
  <si>
    <t>Adrian Dean</t>
  </si>
  <si>
    <t>ORD2329</t>
  </si>
  <si>
    <t>Christine Bell</t>
  </si>
  <si>
    <t>ORD2330</t>
  </si>
  <si>
    <t>Charles Bush</t>
  </si>
  <si>
    <t>ORD2331</t>
  </si>
  <si>
    <t>David Jones</t>
  </si>
  <si>
    <t>ORD2332</t>
  </si>
  <si>
    <t>Gina Wallace</t>
  </si>
  <si>
    <t>ORD2333</t>
  </si>
  <si>
    <t>John Lowe</t>
  </si>
  <si>
    <t>ORD2334</t>
  </si>
  <si>
    <t>Anthony Simmons</t>
  </si>
  <si>
    <t>ORD2335</t>
  </si>
  <si>
    <t>Kyle Watkins</t>
  </si>
  <si>
    <t>ORD2336</t>
  </si>
  <si>
    <t>Melissa Jensen</t>
  </si>
  <si>
    <t>ORD2337</t>
  </si>
  <si>
    <t>Robert Marquez</t>
  </si>
  <si>
    <t>ORD2338</t>
  </si>
  <si>
    <t>Kim Beltran</t>
  </si>
  <si>
    <t>ORD2339</t>
  </si>
  <si>
    <t>Julie Anderson</t>
  </si>
  <si>
    <t>ORD2340</t>
  </si>
  <si>
    <t>Tamara Mcdonald</t>
  </si>
  <si>
    <t>ORD2341</t>
  </si>
  <si>
    <t>Michael Mckinney</t>
  </si>
  <si>
    <t>ORD2342</t>
  </si>
  <si>
    <t>ORD2343</t>
  </si>
  <si>
    <t>Lisa Durham</t>
  </si>
  <si>
    <t>ORD2344</t>
  </si>
  <si>
    <t>Michael Ortega</t>
  </si>
  <si>
    <t>ORD2345</t>
  </si>
  <si>
    <t>Sonya Chavez</t>
  </si>
  <si>
    <t>ORD2346</t>
  </si>
  <si>
    <t>John Bell</t>
  </si>
  <si>
    <t>ORD2347</t>
  </si>
  <si>
    <t>Christopher Tate</t>
  </si>
  <si>
    <t>ORD2348</t>
  </si>
  <si>
    <t>Bethany Garcia</t>
  </si>
  <si>
    <t>ORD2349</t>
  </si>
  <si>
    <t>Rebecca Nguyen</t>
  </si>
  <si>
    <t>ORD2350</t>
  </si>
  <si>
    <t>Rebecca Patel</t>
  </si>
  <si>
    <t>ORD2351</t>
  </si>
  <si>
    <t>Jason Oliver</t>
  </si>
  <si>
    <t>ORD2352</t>
  </si>
  <si>
    <t>Valerie Reyes</t>
  </si>
  <si>
    <t>ORD2353</t>
  </si>
  <si>
    <t>Robert Garza</t>
  </si>
  <si>
    <t>ORD2354</t>
  </si>
  <si>
    <t>Jessica Cobb</t>
  </si>
  <si>
    <t>ORD2355</t>
  </si>
  <si>
    <t>Cynthia Bates</t>
  </si>
  <si>
    <t>ORD2356</t>
  </si>
  <si>
    <t>ORD2357</t>
  </si>
  <si>
    <t>Mr. Joel Peters</t>
  </si>
  <si>
    <t>ORD2358</t>
  </si>
  <si>
    <t>Casey Blanchard</t>
  </si>
  <si>
    <t>ORD2359</t>
  </si>
  <si>
    <t>Brian Cervantes</t>
  </si>
  <si>
    <t>ORD2360</t>
  </si>
  <si>
    <t>Jamie Snyder</t>
  </si>
  <si>
    <t>ORD2361</t>
  </si>
  <si>
    <t>Ann Montoya</t>
  </si>
  <si>
    <t>ORD2362</t>
  </si>
  <si>
    <t>Stephanie Fields</t>
  </si>
  <si>
    <t>ORD2363</t>
  </si>
  <si>
    <t>Charles Hernandez</t>
  </si>
  <si>
    <t>ORD2364</t>
  </si>
  <si>
    <t>Jean Lane</t>
  </si>
  <si>
    <t>ORD2365</t>
  </si>
  <si>
    <t>Michael Stewart</t>
  </si>
  <si>
    <t>ORD2366</t>
  </si>
  <si>
    <t>Susan Torres</t>
  </si>
  <si>
    <t>ORD2367</t>
  </si>
  <si>
    <t>Jessica Haas</t>
  </si>
  <si>
    <t>ORD2368</t>
  </si>
  <si>
    <t>Brandon Smith</t>
  </si>
  <si>
    <t>ORD2369</t>
  </si>
  <si>
    <t>Mrs. Bethany Phillips</t>
  </si>
  <si>
    <t>ORD2370</t>
  </si>
  <si>
    <t>Joshua Brown</t>
  </si>
  <si>
    <t>ORD2371</t>
  </si>
  <si>
    <t>Samantha Howard</t>
  </si>
  <si>
    <t>ORD2372</t>
  </si>
  <si>
    <t>Sharon Young</t>
  </si>
  <si>
    <t>ORD2373</t>
  </si>
  <si>
    <t>Jennifer Flores</t>
  </si>
  <si>
    <t>ORD2374</t>
  </si>
  <si>
    <t>James Gardner</t>
  </si>
  <si>
    <t>ORD2375</t>
  </si>
  <si>
    <t>Karen Lopez</t>
  </si>
  <si>
    <t>ORD2376</t>
  </si>
  <si>
    <t>Tim Larsen</t>
  </si>
  <si>
    <t>ORD2377</t>
  </si>
  <si>
    <t>Zachary Santiago</t>
  </si>
  <si>
    <t>ORD2378</t>
  </si>
  <si>
    <t>Benjamin Smith</t>
  </si>
  <si>
    <t>ORD2379</t>
  </si>
  <si>
    <t>Katelyn Kim</t>
  </si>
  <si>
    <t>ORD2380</t>
  </si>
  <si>
    <t>Angela May MD</t>
  </si>
  <si>
    <t>ORD2381</t>
  </si>
  <si>
    <t>Richard Munoz</t>
  </si>
  <si>
    <t>ORD2382</t>
  </si>
  <si>
    <t>Christopher Hicks</t>
  </si>
  <si>
    <t>ORD2383</t>
  </si>
  <si>
    <t>Joanna Kelly</t>
  </si>
  <si>
    <t>ORD2384</t>
  </si>
  <si>
    <t>Larry Lane</t>
  </si>
  <si>
    <t>ORD2385</t>
  </si>
  <si>
    <t>Cynthia Shaw</t>
  </si>
  <si>
    <t>ORD2386</t>
  </si>
  <si>
    <t>Joshua Richardson</t>
  </si>
  <si>
    <t>ORD2387</t>
  </si>
  <si>
    <t>Laura Bush</t>
  </si>
  <si>
    <t>ORD2388</t>
  </si>
  <si>
    <t>John Vaughn</t>
  </si>
  <si>
    <t>ORD2389</t>
  </si>
  <si>
    <t>Nicholas Terrell</t>
  </si>
  <si>
    <t>ORD2390</t>
  </si>
  <si>
    <t>Dr. Julie Miller</t>
  </si>
  <si>
    <t>ORD2391</t>
  </si>
  <si>
    <t>Ann Kennedy</t>
  </si>
  <si>
    <t>ORD2392</t>
  </si>
  <si>
    <t>Toni Miller</t>
  </si>
  <si>
    <t>ORD2393</t>
  </si>
  <si>
    <t>Rebecca Edwards</t>
  </si>
  <si>
    <t>ORD2394</t>
  </si>
  <si>
    <t>Greg Osborne</t>
  </si>
  <si>
    <t>ORD2395</t>
  </si>
  <si>
    <t>Jose Harrison</t>
  </si>
  <si>
    <t>ORD2396</t>
  </si>
  <si>
    <t>Jennifer Yu</t>
  </si>
  <si>
    <t>ORD2397</t>
  </si>
  <si>
    <t>Donna Johnson</t>
  </si>
  <si>
    <t>ORD2398</t>
  </si>
  <si>
    <t>Nicole Acosta</t>
  </si>
  <si>
    <t>ORD2399</t>
  </si>
  <si>
    <t>Amy Kennedy</t>
  </si>
  <si>
    <t>ORD2400</t>
  </si>
  <si>
    <t>Anthony Mooney</t>
  </si>
  <si>
    <t>ORD2401</t>
  </si>
  <si>
    <t>Lori Mitchell</t>
  </si>
  <si>
    <t>ORD2402</t>
  </si>
  <si>
    <t>Jonathan York</t>
  </si>
  <si>
    <t>ORD2403</t>
  </si>
  <si>
    <t>Casey Campbell</t>
  </si>
  <si>
    <t>ORD2404</t>
  </si>
  <si>
    <t>Alexis Rodriguez</t>
  </si>
  <si>
    <t>ORD2405</t>
  </si>
  <si>
    <t>Kevin Hernandez</t>
  </si>
  <si>
    <t>ORD2406</t>
  </si>
  <si>
    <t>Robert Green</t>
  </si>
  <si>
    <t>ORD2407</t>
  </si>
  <si>
    <t>Kari Lloyd</t>
  </si>
  <si>
    <t>ORD2408</t>
  </si>
  <si>
    <t>Grace Miller</t>
  </si>
  <si>
    <t>ORD2409</t>
  </si>
  <si>
    <t>Timothy Moore</t>
  </si>
  <si>
    <t>ORD2410</t>
  </si>
  <si>
    <t>Wyatt Townsend II</t>
  </si>
  <si>
    <t>ORD2411</t>
  </si>
  <si>
    <t>Mark Clark</t>
  </si>
  <si>
    <t>ORD2412</t>
  </si>
  <si>
    <t>Haley May</t>
  </si>
  <si>
    <t>ORD2413</t>
  </si>
  <si>
    <t>Audrey Jackson</t>
  </si>
  <si>
    <t>ORD2414</t>
  </si>
  <si>
    <t>Eric Reese</t>
  </si>
  <si>
    <t>ORD2415</t>
  </si>
  <si>
    <t>Kim James</t>
  </si>
  <si>
    <t>ORD2416</t>
  </si>
  <si>
    <t>Karen Thomas</t>
  </si>
  <si>
    <t>ORD2417</t>
  </si>
  <si>
    <t>Alexandra Ho</t>
  </si>
  <si>
    <t>ORD2418</t>
  </si>
  <si>
    <t>Michael Nixon</t>
  </si>
  <si>
    <t>ORD2419</t>
  </si>
  <si>
    <t>Amanda Hardin</t>
  </si>
  <si>
    <t>ORD2420</t>
  </si>
  <si>
    <t>Tina Reynolds</t>
  </si>
  <si>
    <t>ORD2421</t>
  </si>
  <si>
    <t>Shannon Rogers</t>
  </si>
  <si>
    <t>ORD2422</t>
  </si>
  <si>
    <t>Brett Pena</t>
  </si>
  <si>
    <t>ORD2423</t>
  </si>
  <si>
    <t>Raymond Curry</t>
  </si>
  <si>
    <t>ORD2424</t>
  </si>
  <si>
    <t>Leah Lee</t>
  </si>
  <si>
    <t>ORD2425</t>
  </si>
  <si>
    <t>Michael White</t>
  </si>
  <si>
    <t>ORD2426</t>
  </si>
  <si>
    <t>Megan Decker</t>
  </si>
  <si>
    <t>ORD2427</t>
  </si>
  <si>
    <t>Brent Garcia</t>
  </si>
  <si>
    <t>ORD2428</t>
  </si>
  <si>
    <t>Daniel Campbell</t>
  </si>
  <si>
    <t>ORD2429</t>
  </si>
  <si>
    <t>Alexander Davis</t>
  </si>
  <si>
    <t>ORD2430</t>
  </si>
  <si>
    <t>Mary Houston</t>
  </si>
  <si>
    <t>ORD2431</t>
  </si>
  <si>
    <t>Margaret Erickson</t>
  </si>
  <si>
    <t>ORD2432</t>
  </si>
  <si>
    <t>Scott Anderson</t>
  </si>
  <si>
    <t>ORD2433</t>
  </si>
  <si>
    <t>Stephanie Knight</t>
  </si>
  <si>
    <t>ORD2434</t>
  </si>
  <si>
    <t>Stephanie Dominguez</t>
  </si>
  <si>
    <t>ORD2435</t>
  </si>
  <si>
    <t>John Mayer</t>
  </si>
  <si>
    <t>ORD2436</t>
  </si>
  <si>
    <t>Tammy Hill</t>
  </si>
  <si>
    <t>ORD2437</t>
  </si>
  <si>
    <t>Steven Carrillo</t>
  </si>
  <si>
    <t>ORD2438</t>
  </si>
  <si>
    <t>ORD2439</t>
  </si>
  <si>
    <t>Janet Cook</t>
  </si>
  <si>
    <t>ORD2440</t>
  </si>
  <si>
    <t>Tyler Baker</t>
  </si>
  <si>
    <t>ORD2441</t>
  </si>
  <si>
    <t>John Mcfarland</t>
  </si>
  <si>
    <t>ORD2442</t>
  </si>
  <si>
    <t>Cassandra Vasquez</t>
  </si>
  <si>
    <t>ORD2443</t>
  </si>
  <si>
    <t>Randy Robinson</t>
  </si>
  <si>
    <t>ORD2444</t>
  </si>
  <si>
    <t>Susan Baldwin</t>
  </si>
  <si>
    <t>ORD2445</t>
  </si>
  <si>
    <t>Benjamin Duncan</t>
  </si>
  <si>
    <t>ORD2446</t>
  </si>
  <si>
    <t>Jeremy Mosley</t>
  </si>
  <si>
    <t>ORD2447</t>
  </si>
  <si>
    <t>Martin Fitzpatrick</t>
  </si>
  <si>
    <t>ORD2448</t>
  </si>
  <si>
    <t>Deborah Graves</t>
  </si>
  <si>
    <t>ORD2449</t>
  </si>
  <si>
    <t>Laura Robertson</t>
  </si>
  <si>
    <t>ORD2450</t>
  </si>
  <si>
    <t>Katherine Graham</t>
  </si>
  <si>
    <t>ORD2451</t>
  </si>
  <si>
    <t>Priscilla Floyd</t>
  </si>
  <si>
    <t>ORD2452</t>
  </si>
  <si>
    <t>April Finley</t>
  </si>
  <si>
    <t>ORD2453</t>
  </si>
  <si>
    <t>Karen Bradley</t>
  </si>
  <si>
    <t>ORD2454</t>
  </si>
  <si>
    <t>Heather Maldonado</t>
  </si>
  <si>
    <t>ORD2455</t>
  </si>
  <si>
    <t>Mark Benjamin</t>
  </si>
  <si>
    <t>ORD2456</t>
  </si>
  <si>
    <t>Joseph Woodward</t>
  </si>
  <si>
    <t>ORD2457</t>
  </si>
  <si>
    <t>Joe Miranda</t>
  </si>
  <si>
    <t>ORD2458</t>
  </si>
  <si>
    <t>Cassandra Williams</t>
  </si>
  <si>
    <t>ORD2459</t>
  </si>
  <si>
    <t>Connor Dominguez</t>
  </si>
  <si>
    <t>ORD2460</t>
  </si>
  <si>
    <t>Lydia Howard</t>
  </si>
  <si>
    <t>ORD2461</t>
  </si>
  <si>
    <t>Mark Moss</t>
  </si>
  <si>
    <t>ORD2462</t>
  </si>
  <si>
    <t>Corey Cortez</t>
  </si>
  <si>
    <t>ORD2463</t>
  </si>
  <si>
    <t>Katherine Brown</t>
  </si>
  <si>
    <t>ORD2464</t>
  </si>
  <si>
    <t>Elizabeth Ferguson</t>
  </si>
  <si>
    <t>ORD2465</t>
  </si>
  <si>
    <t>Joann Forbes</t>
  </si>
  <si>
    <t>ORD2466</t>
  </si>
  <si>
    <t>Anthony French</t>
  </si>
  <si>
    <t>ORD2467</t>
  </si>
  <si>
    <t>Bruce Roman</t>
  </si>
  <si>
    <t>ORD2468</t>
  </si>
  <si>
    <t>Judy Gregory</t>
  </si>
  <si>
    <t>ORD2469</t>
  </si>
  <si>
    <t>Brittany Riley</t>
  </si>
  <si>
    <t>ORD2470</t>
  </si>
  <si>
    <t>Amanda Thomas</t>
  </si>
  <si>
    <t>ORD2471</t>
  </si>
  <si>
    <t>Kaitlin Hardin</t>
  </si>
  <si>
    <t>ORD2472</t>
  </si>
  <si>
    <t>Michael Anderson</t>
  </si>
  <si>
    <t>ORD2473</t>
  </si>
  <si>
    <t>Anthony Parker</t>
  </si>
  <si>
    <t>ORD2474</t>
  </si>
  <si>
    <t>Joy Jackson</t>
  </si>
  <si>
    <t>ORD2475</t>
  </si>
  <si>
    <t>Sabrina Rodriguez</t>
  </si>
  <si>
    <t>ORD2476</t>
  </si>
  <si>
    <t>Robert Walker PhD</t>
  </si>
  <si>
    <t>ORD2477</t>
  </si>
  <si>
    <t>Robert Hendrix</t>
  </si>
  <si>
    <t>ORD2478</t>
  </si>
  <si>
    <t>Erika Daugherty</t>
  </si>
  <si>
    <t>ORD2479</t>
  </si>
  <si>
    <t>Brenda Copeland</t>
  </si>
  <si>
    <t>ORD2480</t>
  </si>
  <si>
    <t>Pamela Watkins</t>
  </si>
  <si>
    <t>ORD2481</t>
  </si>
  <si>
    <t>Bryan Thomas</t>
  </si>
  <si>
    <t>ORD2482</t>
  </si>
  <si>
    <t>Michael Tran</t>
  </si>
  <si>
    <t>ORD2483</t>
  </si>
  <si>
    <t>Timothy Williams</t>
  </si>
  <si>
    <t>ORD2484</t>
  </si>
  <si>
    <t>Ryan Salazar</t>
  </si>
  <si>
    <t>ORD2485</t>
  </si>
  <si>
    <t>Alexis Tucker</t>
  </si>
  <si>
    <t>ORD2486</t>
  </si>
  <si>
    <t>Christopher Davis</t>
  </si>
  <si>
    <t>ORD2487</t>
  </si>
  <si>
    <t>Stacie Butler</t>
  </si>
  <si>
    <t>ORD2488</t>
  </si>
  <si>
    <t>Patricia Schwartz</t>
  </si>
  <si>
    <t>ORD2489</t>
  </si>
  <si>
    <t>Mark Mills</t>
  </si>
  <si>
    <t>ORD2490</t>
  </si>
  <si>
    <t>Todd Bishop</t>
  </si>
  <si>
    <t>ORD2491</t>
  </si>
  <si>
    <t>Christopher Porter</t>
  </si>
  <si>
    <t>ORD2492</t>
  </si>
  <si>
    <t>Lori Patton</t>
  </si>
  <si>
    <t>ORD2493</t>
  </si>
  <si>
    <t>Aaron Young</t>
  </si>
  <si>
    <t>ORD2494</t>
  </si>
  <si>
    <t>Joseph Davis</t>
  </si>
  <si>
    <t>ORD2495</t>
  </si>
  <si>
    <t>Philip Fernandez</t>
  </si>
  <si>
    <t>ORD2496</t>
  </si>
  <si>
    <t>Randy Hopkins</t>
  </si>
  <si>
    <t>ORD2497</t>
  </si>
  <si>
    <t>Cory Hogan</t>
  </si>
  <si>
    <t>ORD2498</t>
  </si>
  <si>
    <t>Tracy Wells</t>
  </si>
  <si>
    <t>ORD2499</t>
  </si>
  <si>
    <t>Michael Williams</t>
  </si>
  <si>
    <t>ORD2500</t>
  </si>
  <si>
    <t>Dominique Hamilton</t>
  </si>
  <si>
    <t>ORD2501</t>
  </si>
  <si>
    <t>Robert Chang</t>
  </si>
  <si>
    <t>ORD2502</t>
  </si>
  <si>
    <t>Patrick Buckley</t>
  </si>
  <si>
    <t>ORD2503</t>
  </si>
  <si>
    <t>Richard Washington</t>
  </si>
  <si>
    <t>ORD2504</t>
  </si>
  <si>
    <t>Steven Griffith</t>
  </si>
  <si>
    <t>ORD2505</t>
  </si>
  <si>
    <t>Erika Gonzalez</t>
  </si>
  <si>
    <t>ORD2506</t>
  </si>
  <si>
    <t>Erika Maxwell</t>
  </si>
  <si>
    <t>ORD2507</t>
  </si>
  <si>
    <t>Brent Rojas</t>
  </si>
  <si>
    <t>ORD2508</t>
  </si>
  <si>
    <t>Jaime Walker</t>
  </si>
  <si>
    <t>ORD2509</t>
  </si>
  <si>
    <t>John Zamora</t>
  </si>
  <si>
    <t>ORD2510</t>
  </si>
  <si>
    <t>Timothy Gibson</t>
  </si>
  <si>
    <t>ORD2511</t>
  </si>
  <si>
    <t>Chad Cortez</t>
  </si>
  <si>
    <t>ORD2512</t>
  </si>
  <si>
    <t>Vanessa Harris</t>
  </si>
  <si>
    <t>ORD2513</t>
  </si>
  <si>
    <t>ORD2514</t>
  </si>
  <si>
    <t>Samuel Ellis</t>
  </si>
  <si>
    <t>ORD2515</t>
  </si>
  <si>
    <t>Greg Tanner</t>
  </si>
  <si>
    <t>ORD2516</t>
  </si>
  <si>
    <t>Rachel Little</t>
  </si>
  <si>
    <t>ORD2517</t>
  </si>
  <si>
    <t>Carolyn Cordova</t>
  </si>
  <si>
    <t>ORD2518</t>
  </si>
  <si>
    <t>Angelica Vincent</t>
  </si>
  <si>
    <t>ORD2519</t>
  </si>
  <si>
    <t>Zachary Vargas PhD</t>
  </si>
  <si>
    <t>ORD2520</t>
  </si>
  <si>
    <t>Nicholas Fitzgerald</t>
  </si>
  <si>
    <t>ORD2521</t>
  </si>
  <si>
    <t>Garrett Riley</t>
  </si>
  <si>
    <t>ORD2522</t>
  </si>
  <si>
    <t>Leslie Hernandez</t>
  </si>
  <si>
    <t>ORD2523</t>
  </si>
  <si>
    <t>Abigail Baird</t>
  </si>
  <si>
    <t>ORD2524</t>
  </si>
  <si>
    <t>John Mack</t>
  </si>
  <si>
    <t>ORD2525</t>
  </si>
  <si>
    <t>Joseph Mendoza</t>
  </si>
  <si>
    <t>ORD2526</t>
  </si>
  <si>
    <t>Samantha Chavez</t>
  </si>
  <si>
    <t>ORD2527</t>
  </si>
  <si>
    <t>Justin Smith</t>
  </si>
  <si>
    <t>ORD2528</t>
  </si>
  <si>
    <t>Tiffany Anderson</t>
  </si>
  <si>
    <t>ORD2529</t>
  </si>
  <si>
    <t>Matthew Davis</t>
  </si>
  <si>
    <t>ORD2530</t>
  </si>
  <si>
    <t>Eric Warner</t>
  </si>
  <si>
    <t>ORD2531</t>
  </si>
  <si>
    <t>Nicole Johnson</t>
  </si>
  <si>
    <t>ORD2532</t>
  </si>
  <si>
    <t>Raymond Sawyer</t>
  </si>
  <si>
    <t>ORD2533</t>
  </si>
  <si>
    <t>Richard Wood</t>
  </si>
  <si>
    <t>ORD2534</t>
  </si>
  <si>
    <t>Mark Dalton</t>
  </si>
  <si>
    <t>ORD2535</t>
  </si>
  <si>
    <t>Steven Cook</t>
  </si>
  <si>
    <t>ORD2536</t>
  </si>
  <si>
    <t>Jeffery Nelson</t>
  </si>
  <si>
    <t>ORD2537</t>
  </si>
  <si>
    <t>Kimberly Norton</t>
  </si>
  <si>
    <t>ORD2538</t>
  </si>
  <si>
    <t>Angela Gilmore</t>
  </si>
  <si>
    <t>ORD2539</t>
  </si>
  <si>
    <t>Amy Dougherty</t>
  </si>
  <si>
    <t>ORD2540</t>
  </si>
  <si>
    <t>Stacy Rodriguez</t>
  </si>
  <si>
    <t>ORD2541</t>
  </si>
  <si>
    <t>Manuel Diaz</t>
  </si>
  <si>
    <t>ORD2542</t>
  </si>
  <si>
    <t>Justin Jones</t>
  </si>
  <si>
    <t>ORD2543</t>
  </si>
  <si>
    <t>Christine Zavala</t>
  </si>
  <si>
    <t>ORD2544</t>
  </si>
  <si>
    <t>Brian Mendoza</t>
  </si>
  <si>
    <t>ORD2545</t>
  </si>
  <si>
    <t>Lauren Haley</t>
  </si>
  <si>
    <t>ORD2546</t>
  </si>
  <si>
    <t>Patrick Perez</t>
  </si>
  <si>
    <t>ORD2547</t>
  </si>
  <si>
    <t>Derek Frazier</t>
  </si>
  <si>
    <t>ORD2548</t>
  </si>
  <si>
    <t>Arthur Reed</t>
  </si>
  <si>
    <t>ORD2549</t>
  </si>
  <si>
    <t>Mr. Bryan Mckinney</t>
  </si>
  <si>
    <t>ORD2550</t>
  </si>
  <si>
    <t>Kim Carter</t>
  </si>
  <si>
    <t>ORD2551</t>
  </si>
  <si>
    <t>Rebecca Dougherty</t>
  </si>
  <si>
    <t>ORD2552</t>
  </si>
  <si>
    <t>Teresa Jones</t>
  </si>
  <si>
    <t>ORD2553</t>
  </si>
  <si>
    <t>Judith Miller</t>
  </si>
  <si>
    <t>ORD2554</t>
  </si>
  <si>
    <t>ORD2555</t>
  </si>
  <si>
    <t>Donald Terry</t>
  </si>
  <si>
    <t>ORD2556</t>
  </si>
  <si>
    <t>Shaun Meyer DDS</t>
  </si>
  <si>
    <t>ORD2557</t>
  </si>
  <si>
    <t>Wayne Weaver</t>
  </si>
  <si>
    <t>ORD2558</t>
  </si>
  <si>
    <t>Gregory Wallace</t>
  </si>
  <si>
    <t>ORD2559</t>
  </si>
  <si>
    <t>Dorothy Brown</t>
  </si>
  <si>
    <t>ORD2560</t>
  </si>
  <si>
    <t>Crystal Meza</t>
  </si>
  <si>
    <t>ORD2561</t>
  </si>
  <si>
    <t>Jennifer Cooper</t>
  </si>
  <si>
    <t>ORD2562</t>
  </si>
  <si>
    <t>Erin Watkins</t>
  </si>
  <si>
    <t>ORD2563</t>
  </si>
  <si>
    <t>Sarah Wallace</t>
  </si>
  <si>
    <t>ORD2564</t>
  </si>
  <si>
    <t>Carlos Clarke</t>
  </si>
  <si>
    <t>ORD2565</t>
  </si>
  <si>
    <t>David Washington</t>
  </si>
  <si>
    <t>ORD2566</t>
  </si>
  <si>
    <t>Patricia Williams</t>
  </si>
  <si>
    <t>ORD2567</t>
  </si>
  <si>
    <t>Jesus Jackson</t>
  </si>
  <si>
    <t>ORD2568</t>
  </si>
  <si>
    <t>Michelle Mitchell</t>
  </si>
  <si>
    <t>ORD2569</t>
  </si>
  <si>
    <t>Sara Schwartz</t>
  </si>
  <si>
    <t>ORD2570</t>
  </si>
  <si>
    <t>Brittany Young</t>
  </si>
  <si>
    <t>ORD2571</t>
  </si>
  <si>
    <t>Eugene Martinez</t>
  </si>
  <si>
    <t>ORD2572</t>
  </si>
  <si>
    <t>Cody Hart</t>
  </si>
  <si>
    <t>ORD2573</t>
  </si>
  <si>
    <t>Evan Cooper</t>
  </si>
  <si>
    <t>ORD2574</t>
  </si>
  <si>
    <t>Joshua Martin</t>
  </si>
  <si>
    <t>ORD2575</t>
  </si>
  <si>
    <t>Thomas Sullivan</t>
  </si>
  <si>
    <t>ORD2576</t>
  </si>
  <si>
    <t>Mr. Jimmy Flores Jr.</t>
  </si>
  <si>
    <t>ORD2577</t>
  </si>
  <si>
    <t>Vanessa Rivera</t>
  </si>
  <si>
    <t>ORD2578</t>
  </si>
  <si>
    <t>Kara Roberts</t>
  </si>
  <si>
    <t>ORD2579</t>
  </si>
  <si>
    <t>Veronica Berry</t>
  </si>
  <si>
    <t>ORD2580</t>
  </si>
  <si>
    <t>Keith Meadows</t>
  </si>
  <si>
    <t>ORD2581</t>
  </si>
  <si>
    <t>Michael Dennis</t>
  </si>
  <si>
    <t>ORD2582</t>
  </si>
  <si>
    <t>Brenda Pierce</t>
  </si>
  <si>
    <t>ORD2583</t>
  </si>
  <si>
    <t>James Randall</t>
  </si>
  <si>
    <t>ORD2584</t>
  </si>
  <si>
    <t>ORD2585</t>
  </si>
  <si>
    <t>Lauren Walker</t>
  </si>
  <si>
    <t>ORD2586</t>
  </si>
  <si>
    <t>Diana Johnson</t>
  </si>
  <si>
    <t>ORD2587</t>
  </si>
  <si>
    <t>Jill Powers</t>
  </si>
  <si>
    <t>ORD2588</t>
  </si>
  <si>
    <t>Jorge Lee</t>
  </si>
  <si>
    <t>ORD2589</t>
  </si>
  <si>
    <t>Larry Harding</t>
  </si>
  <si>
    <t>ORD2590</t>
  </si>
  <si>
    <t>Heather Hernandez</t>
  </si>
  <si>
    <t>ORD2591</t>
  </si>
  <si>
    <t>Jaclyn Watson</t>
  </si>
  <si>
    <t>ORD2592</t>
  </si>
  <si>
    <t>Gregory Madden</t>
  </si>
  <si>
    <t>ORD2593</t>
  </si>
  <si>
    <t>Anita Luna</t>
  </si>
  <si>
    <t>ORD2594</t>
  </si>
  <si>
    <t>Willie Lara</t>
  </si>
  <si>
    <t>ORD2595</t>
  </si>
  <si>
    <t>Robert Waller</t>
  </si>
  <si>
    <t>ORD2596</t>
  </si>
  <si>
    <t>Steven Taylor</t>
  </si>
  <si>
    <t>ORD2597</t>
  </si>
  <si>
    <t>Angelica Clark</t>
  </si>
  <si>
    <t>ORD2598</t>
  </si>
  <si>
    <t>Sean Hatfield</t>
  </si>
  <si>
    <t>ORD2599</t>
  </si>
  <si>
    <t>Tyler Avila</t>
  </si>
  <si>
    <t>ORD2600</t>
  </si>
  <si>
    <t>Jason Rocha</t>
  </si>
  <si>
    <t>ORD2601</t>
  </si>
  <si>
    <t>Justin Page</t>
  </si>
  <si>
    <t>ORD2602</t>
  </si>
  <si>
    <t>Breanna Lopez</t>
  </si>
  <si>
    <t>ORD2603</t>
  </si>
  <si>
    <t>Julian Williams</t>
  </si>
  <si>
    <t>ORD2604</t>
  </si>
  <si>
    <t>Sandra Torres</t>
  </si>
  <si>
    <t>ORD2605</t>
  </si>
  <si>
    <t>Julie Johnson</t>
  </si>
  <si>
    <t>ORD2606</t>
  </si>
  <si>
    <t>Dennis Blanchard</t>
  </si>
  <si>
    <t>ORD2607</t>
  </si>
  <si>
    <t>Kaitlyn Valdez</t>
  </si>
  <si>
    <t>ORD2608</t>
  </si>
  <si>
    <t>Jennifer Vasquez</t>
  </si>
  <si>
    <t>ORD2609</t>
  </si>
  <si>
    <t>Danielle Wilson</t>
  </si>
  <si>
    <t>ORD2610</t>
  </si>
  <si>
    <t>Zachary Jones</t>
  </si>
  <si>
    <t>ORD2611</t>
  </si>
  <si>
    <t>Lauren Cunningham</t>
  </si>
  <si>
    <t>ORD2612</t>
  </si>
  <si>
    <t>Lori Alvarez</t>
  </si>
  <si>
    <t>ORD2613</t>
  </si>
  <si>
    <t>Barbara Hunt</t>
  </si>
  <si>
    <t>ORD2614</t>
  </si>
  <si>
    <t>Sarah Martin</t>
  </si>
  <si>
    <t>ORD2615</t>
  </si>
  <si>
    <t>Francisco Johns</t>
  </si>
  <si>
    <t>ORD2616</t>
  </si>
  <si>
    <t>Christopher Nelson</t>
  </si>
  <si>
    <t>ORD2617</t>
  </si>
  <si>
    <t>Thomas Kelly</t>
  </si>
  <si>
    <t>ORD2618</t>
  </si>
  <si>
    <t>Joseph Mayer</t>
  </si>
  <si>
    <t>ORD2619</t>
  </si>
  <si>
    <t>Pamela White</t>
  </si>
  <si>
    <t>ORD2620</t>
  </si>
  <si>
    <t>Paul Stephens</t>
  </si>
  <si>
    <t>ORD2621</t>
  </si>
  <si>
    <t>Samantha Cohen</t>
  </si>
  <si>
    <t>ORD2622</t>
  </si>
  <si>
    <t>Michael Barker</t>
  </si>
  <si>
    <t>ORD2623</t>
  </si>
  <si>
    <t>Kevin Morrow</t>
  </si>
  <si>
    <t>ORD2624</t>
  </si>
  <si>
    <t>Joseph Watson</t>
  </si>
  <si>
    <t>ORD2625</t>
  </si>
  <si>
    <t>Mr. Thomas Garcia</t>
  </si>
  <si>
    <t>ORD2626</t>
  </si>
  <si>
    <t>Daniel Lopez</t>
  </si>
  <si>
    <t>ORD2627</t>
  </si>
  <si>
    <t>Lisa Guerra</t>
  </si>
  <si>
    <t>ORD2628</t>
  </si>
  <si>
    <t>Kim Arnold</t>
  </si>
  <si>
    <t>ORD2629</t>
  </si>
  <si>
    <t>Ashley Stevens</t>
  </si>
  <si>
    <t>ORD2630</t>
  </si>
  <si>
    <t>Robert Mclean</t>
  </si>
  <si>
    <t>ORD2631</t>
  </si>
  <si>
    <t>Eric Cox</t>
  </si>
  <si>
    <t>ORD2632</t>
  </si>
  <si>
    <t>Stacy Harper</t>
  </si>
  <si>
    <t>ORD2633</t>
  </si>
  <si>
    <t>Gloria Mckinney</t>
  </si>
  <si>
    <t>ORD2634</t>
  </si>
  <si>
    <t>Robert Walker</t>
  </si>
  <si>
    <t>Technology</t>
  </si>
  <si>
    <t>ORD2635</t>
  </si>
  <si>
    <t>Brenda Perez</t>
  </si>
  <si>
    <t>ORD2636</t>
  </si>
  <si>
    <t>Carlos Miller</t>
  </si>
  <si>
    <t>ORD2637</t>
  </si>
  <si>
    <t>ORD2638</t>
  </si>
  <si>
    <t>Nicole Williams</t>
  </si>
  <si>
    <t>ORD2639</t>
  </si>
  <si>
    <t>Ricky Palmer</t>
  </si>
  <si>
    <t>ORD2640</t>
  </si>
  <si>
    <t>Bryan King</t>
  </si>
  <si>
    <t>ORD2641</t>
  </si>
  <si>
    <t>Michael Webster</t>
  </si>
  <si>
    <t>ORD2642</t>
  </si>
  <si>
    <t>Tamara Harris</t>
  </si>
  <si>
    <t>ORD2643</t>
  </si>
  <si>
    <t>Cathy Bell</t>
  </si>
  <si>
    <t>ORD2644</t>
  </si>
  <si>
    <t>Ryan Mcmahon</t>
  </si>
  <si>
    <t>ORD2645</t>
  </si>
  <si>
    <t>ORD2646</t>
  </si>
  <si>
    <t>Monica Allen</t>
  </si>
  <si>
    <t>ORD2647</t>
  </si>
  <si>
    <t>Annette Lane</t>
  </si>
  <si>
    <t>ORD2648</t>
  </si>
  <si>
    <t>Daniel Lee</t>
  </si>
  <si>
    <t>ORD2649</t>
  </si>
  <si>
    <t>Steven Medina</t>
  </si>
  <si>
    <t>ORD2650</t>
  </si>
  <si>
    <t>Annette Lewis</t>
  </si>
  <si>
    <t>ORD2651</t>
  </si>
  <si>
    <t>Michelle Richardson</t>
  </si>
  <si>
    <t>ORD2652</t>
  </si>
  <si>
    <t>Jessica Rosario</t>
  </si>
  <si>
    <t>ORD2653</t>
  </si>
  <si>
    <t>Henry Gray</t>
  </si>
  <si>
    <t>ORD2654</t>
  </si>
  <si>
    <t>Darren Rodriguez</t>
  </si>
  <si>
    <t>ORD2655</t>
  </si>
  <si>
    <t>Mrs. Ashley Taylor</t>
  </si>
  <si>
    <t>ORD2656</t>
  </si>
  <si>
    <t>Michele Hawkins</t>
  </si>
  <si>
    <t>ORD2657</t>
  </si>
  <si>
    <t>Garrett Wilson</t>
  </si>
  <si>
    <t>ORD2658</t>
  </si>
  <si>
    <t>Kyle Collins</t>
  </si>
  <si>
    <t>ORD2659</t>
  </si>
  <si>
    <t>Jill Spencer</t>
  </si>
  <si>
    <t>ORD2660</t>
  </si>
  <si>
    <t>Scott Lopez</t>
  </si>
  <si>
    <t>ORD2661</t>
  </si>
  <si>
    <t>Ryan Alvarez</t>
  </si>
  <si>
    <t>ORD2662</t>
  </si>
  <si>
    <t>Cassie Lutz</t>
  </si>
  <si>
    <t>ORD2663</t>
  </si>
  <si>
    <t>Brian Kim DDS</t>
  </si>
  <si>
    <t>ORD2664</t>
  </si>
  <si>
    <t>Charles Morales</t>
  </si>
  <si>
    <t>ORD2665</t>
  </si>
  <si>
    <t>Ashley Schaefer</t>
  </si>
  <si>
    <t>ORD2666</t>
  </si>
  <si>
    <t>Amy Hester</t>
  </si>
  <si>
    <t>ORD2667</t>
  </si>
  <si>
    <t>Kurt Ewing</t>
  </si>
  <si>
    <t>ORD2668</t>
  </si>
  <si>
    <t>Ryan Hardy</t>
  </si>
  <si>
    <t>ORD2669</t>
  </si>
  <si>
    <t>Micheal Perkins</t>
  </si>
  <si>
    <t>ORD2670</t>
  </si>
  <si>
    <t>Richard Schneider</t>
  </si>
  <si>
    <t>ORD2671</t>
  </si>
  <si>
    <t>John Morrison</t>
  </si>
  <si>
    <t>ORD2672</t>
  </si>
  <si>
    <t>John Ramirez</t>
  </si>
  <si>
    <t>ORD2673</t>
  </si>
  <si>
    <t>Ashley King</t>
  </si>
  <si>
    <t>ORD2674</t>
  </si>
  <si>
    <t>Mark Taylor Jr.</t>
  </si>
  <si>
    <t>ORD2675</t>
  </si>
  <si>
    <t>Barry Gregory</t>
  </si>
  <si>
    <t>ORD2676</t>
  </si>
  <si>
    <t>Janet Shelton</t>
  </si>
  <si>
    <t>ORD2677</t>
  </si>
  <si>
    <t>Marco Davis</t>
  </si>
  <si>
    <t>ORD2678</t>
  </si>
  <si>
    <t>Paul Saunders</t>
  </si>
  <si>
    <t>ORD2679</t>
  </si>
  <si>
    <t>Christina Bates</t>
  </si>
  <si>
    <t>ORD2680</t>
  </si>
  <si>
    <t>Dennis Cooper PhD</t>
  </si>
  <si>
    <t>ORD2681</t>
  </si>
  <si>
    <t>Tiffany Johnson</t>
  </si>
  <si>
    <t>ORD2682</t>
  </si>
  <si>
    <t>Thomas Reyes</t>
  </si>
  <si>
    <t>ORD2683</t>
  </si>
  <si>
    <t>James Stevens</t>
  </si>
  <si>
    <t>ORD2684</t>
  </si>
  <si>
    <t>Justin Dalton</t>
  </si>
  <si>
    <t>ORD2685</t>
  </si>
  <si>
    <t>ORD2686</t>
  </si>
  <si>
    <t>Mike Freeman</t>
  </si>
  <si>
    <t>ORD2687</t>
  </si>
  <si>
    <t>Michael Keller</t>
  </si>
  <si>
    <t>ORD2688</t>
  </si>
  <si>
    <t>Laura Alvarez</t>
  </si>
  <si>
    <t>ORD2689</t>
  </si>
  <si>
    <t>Katie Myers</t>
  </si>
  <si>
    <t>ORD2690</t>
  </si>
  <si>
    <t>Wesley Jensen MD</t>
  </si>
  <si>
    <t>ORD2691</t>
  </si>
  <si>
    <t>ORD2692</t>
  </si>
  <si>
    <t>Russell Bailey</t>
  </si>
  <si>
    <t>ORD2693</t>
  </si>
  <si>
    <t>Alyssa Vance</t>
  </si>
  <si>
    <t>ORD2694</t>
  </si>
  <si>
    <t>Brent Reed</t>
  </si>
  <si>
    <t>ORD2695</t>
  </si>
  <si>
    <t>Gregory Stanley</t>
  </si>
  <si>
    <t>ORD2696</t>
  </si>
  <si>
    <t>Matthew Watkins</t>
  </si>
  <si>
    <t>ORD2697</t>
  </si>
  <si>
    <t>Ana Torres</t>
  </si>
  <si>
    <t>ORD2698</t>
  </si>
  <si>
    <t>Alejandro Nguyen</t>
  </si>
  <si>
    <t>ORD2699</t>
  </si>
  <si>
    <t>Scott Bradley</t>
  </si>
  <si>
    <t>ORD2700</t>
  </si>
  <si>
    <t>Deborah Dominguez</t>
  </si>
  <si>
    <t>ORD2701</t>
  </si>
  <si>
    <t>Victoria Gray</t>
  </si>
  <si>
    <t>ORD2702</t>
  </si>
  <si>
    <t>Kenneth Stokes</t>
  </si>
  <si>
    <t>ORD2703</t>
  </si>
  <si>
    <t>Michael Rogers</t>
  </si>
  <si>
    <t>ORD2704</t>
  </si>
  <si>
    <t>Pamela Morgan</t>
  </si>
  <si>
    <t>ORD2705</t>
  </si>
  <si>
    <t>Heidi Graham</t>
  </si>
  <si>
    <t>ORD2706</t>
  </si>
  <si>
    <t>Ryan Cobb PhD</t>
  </si>
  <si>
    <t>ORD2707</t>
  </si>
  <si>
    <t>Donna Williams</t>
  </si>
  <si>
    <t>ORD2708</t>
  </si>
  <si>
    <t>Jennifer Perez PhD</t>
  </si>
  <si>
    <t>ORD2709</t>
  </si>
  <si>
    <t>Ryan Davis</t>
  </si>
  <si>
    <t>ORD2710</t>
  </si>
  <si>
    <t>Austin Solis</t>
  </si>
  <si>
    <t>ORD2711</t>
  </si>
  <si>
    <t>Daniel Flynn</t>
  </si>
  <si>
    <t>ORD2712</t>
  </si>
  <si>
    <t>Elizabeth Brock</t>
  </si>
  <si>
    <t>ORD2713</t>
  </si>
  <si>
    <t>Joshua Gonzalez</t>
  </si>
  <si>
    <t>ORD2714</t>
  </si>
  <si>
    <t>Mario Chavez</t>
  </si>
  <si>
    <t>ORD2715</t>
  </si>
  <si>
    <t>Catherine Smith</t>
  </si>
  <si>
    <t>ORD2716</t>
  </si>
  <si>
    <t>Shari Ray</t>
  </si>
  <si>
    <t>ORD2717</t>
  </si>
  <si>
    <t>Victor Harmon</t>
  </si>
  <si>
    <t>ORD2718</t>
  </si>
  <si>
    <t>Timothy Patel</t>
  </si>
  <si>
    <t>ORD2719</t>
  </si>
  <si>
    <t>Patricia Hamilton</t>
  </si>
  <si>
    <t>ORD2720</t>
  </si>
  <si>
    <t>Lori Boyd</t>
  </si>
  <si>
    <t>ORD2721</t>
  </si>
  <si>
    <t>ORD2722</t>
  </si>
  <si>
    <t>Elizabeth Graham</t>
  </si>
  <si>
    <t>ORD2723</t>
  </si>
  <si>
    <t>Ronald Brown</t>
  </si>
  <si>
    <t>ORD2724</t>
  </si>
  <si>
    <t>Jason Colon</t>
  </si>
  <si>
    <t>ORD2725</t>
  </si>
  <si>
    <t>Dawn Burke</t>
  </si>
  <si>
    <t>ORD2726</t>
  </si>
  <si>
    <t>Brian Lee</t>
  </si>
  <si>
    <t>ORD2727</t>
  </si>
  <si>
    <t>Ronald Marshall</t>
  </si>
  <si>
    <t>ORD2728</t>
  </si>
  <si>
    <t>Jessica Lucas</t>
  </si>
  <si>
    <t>ORD2729</t>
  </si>
  <si>
    <t>Christopher Taylor</t>
  </si>
  <si>
    <t>ORD2730</t>
  </si>
  <si>
    <t>Robert Hopkins</t>
  </si>
  <si>
    <t>ORD2731</t>
  </si>
  <si>
    <t>Samuel Stuart</t>
  </si>
  <si>
    <t>ORD2732</t>
  </si>
  <si>
    <t>Mr. Scott Miller</t>
  </si>
  <si>
    <t>ORD2733</t>
  </si>
  <si>
    <t>Sharon Lester</t>
  </si>
  <si>
    <t>ORD2734</t>
  </si>
  <si>
    <t>Jack Sandoval</t>
  </si>
  <si>
    <t>ORD2735</t>
  </si>
  <si>
    <t>Tony Ramsey</t>
  </si>
  <si>
    <t>ORD2736</t>
  </si>
  <si>
    <t>Brian Navarro</t>
  </si>
  <si>
    <t>ORD2737</t>
  </si>
  <si>
    <t>Kelly Calderon</t>
  </si>
  <si>
    <t>ORD2738</t>
  </si>
  <si>
    <t>Tara King</t>
  </si>
  <si>
    <t>ORD2739</t>
  </si>
  <si>
    <t>Cynthia Martinez</t>
  </si>
  <si>
    <t>ORD2740</t>
  </si>
  <si>
    <t>Erin Silva</t>
  </si>
  <si>
    <t>ORD2741</t>
  </si>
  <si>
    <t>Paul Young</t>
  </si>
  <si>
    <t>ORD2742</t>
  </si>
  <si>
    <t>Charles Thompson</t>
  </si>
  <si>
    <t>ORD2743</t>
  </si>
  <si>
    <t>Jessica King</t>
  </si>
  <si>
    <t>ORD2744</t>
  </si>
  <si>
    <t>Katherine Brooks</t>
  </si>
  <si>
    <t>ORD2745</t>
  </si>
  <si>
    <t>Emily Coleman</t>
  </si>
  <si>
    <t>ORD2746</t>
  </si>
  <si>
    <t>Tracey Suarez</t>
  </si>
  <si>
    <t>ORD2747</t>
  </si>
  <si>
    <t>Heidi Baldwin</t>
  </si>
  <si>
    <t>ORD2748</t>
  </si>
  <si>
    <t>Alisha Rasmussen</t>
  </si>
  <si>
    <t>ORD2749</t>
  </si>
  <si>
    <t>Sarah Bates</t>
  </si>
  <si>
    <t>ORD2750</t>
  </si>
  <si>
    <t>Melissa Mccormick</t>
  </si>
  <si>
    <t>ORD2751</t>
  </si>
  <si>
    <t>Juan Parker</t>
  </si>
  <si>
    <t>ORD2752</t>
  </si>
  <si>
    <t>Heidi Burnett</t>
  </si>
  <si>
    <t>ORD2753</t>
  </si>
  <si>
    <t>Sean Mathews</t>
  </si>
  <si>
    <t>ORD2754</t>
  </si>
  <si>
    <t>Theodore Long</t>
  </si>
  <si>
    <t>ORD2755</t>
  </si>
  <si>
    <t>Dawn Davis</t>
  </si>
  <si>
    <t>ORD2756</t>
  </si>
  <si>
    <t>Cynthia Clark</t>
  </si>
  <si>
    <t>ORD2757</t>
  </si>
  <si>
    <t>Sydney Welch</t>
  </si>
  <si>
    <t>ORD2758</t>
  </si>
  <si>
    <t>Pamela Sullivan</t>
  </si>
  <si>
    <t>ORD2759</t>
  </si>
  <si>
    <t>Sean Morrow</t>
  </si>
  <si>
    <t>ORD2760</t>
  </si>
  <si>
    <t>Kaitlin Gutierrez</t>
  </si>
  <si>
    <t>ORD2761</t>
  </si>
  <si>
    <t>Michelle Mcdowell</t>
  </si>
  <si>
    <t>ORD2762</t>
  </si>
  <si>
    <t>Samantha Hale</t>
  </si>
  <si>
    <t>ORD2763</t>
  </si>
  <si>
    <t>Heather Guzman</t>
  </si>
  <si>
    <t>ORD2764</t>
  </si>
  <si>
    <t>Nancy Chavez</t>
  </si>
  <si>
    <t>ORD2765</t>
  </si>
  <si>
    <t>Anthony May</t>
  </si>
  <si>
    <t>ORD2766</t>
  </si>
  <si>
    <t>Rachel Taylor</t>
  </si>
  <si>
    <t>ORD2767</t>
  </si>
  <si>
    <t>Mark Edwards</t>
  </si>
  <si>
    <t>ORD2768</t>
  </si>
  <si>
    <t>Christopher Black</t>
  </si>
  <si>
    <t>ORD2769</t>
  </si>
  <si>
    <t>Sandra Hines</t>
  </si>
  <si>
    <t>ORD2770</t>
  </si>
  <si>
    <t>Melissa Sparks</t>
  </si>
  <si>
    <t>ORD2771</t>
  </si>
  <si>
    <t>John Moss</t>
  </si>
  <si>
    <t>ORD2772</t>
  </si>
  <si>
    <t>Michael Serrano</t>
  </si>
  <si>
    <t>ORD2773</t>
  </si>
  <si>
    <t>Christina Perry</t>
  </si>
  <si>
    <t>ORD2774</t>
  </si>
  <si>
    <t>Shawn Duffy</t>
  </si>
  <si>
    <t>ORD2775</t>
  </si>
  <si>
    <t>Courtney Vaughan</t>
  </si>
  <si>
    <t>ORD2776</t>
  </si>
  <si>
    <t>Maria Sims</t>
  </si>
  <si>
    <t>ORD2777</t>
  </si>
  <si>
    <t>Valerie Gonzalez</t>
  </si>
  <si>
    <t>ORD2778</t>
  </si>
  <si>
    <t>Caroline Morales</t>
  </si>
  <si>
    <t>ORD2779</t>
  </si>
  <si>
    <t>ORD2780</t>
  </si>
  <si>
    <t>Travis Wilson</t>
  </si>
  <si>
    <t>ORD2781</t>
  </si>
  <si>
    <t>Jessica Mora</t>
  </si>
  <si>
    <t>ORD2782</t>
  </si>
  <si>
    <t>Michael Wilson</t>
  </si>
  <si>
    <t>ORD2783</t>
  </si>
  <si>
    <t>Cheryl Atkins</t>
  </si>
  <si>
    <t>ORD2784</t>
  </si>
  <si>
    <t>Donna Snyder</t>
  </si>
  <si>
    <t>ORD2785</t>
  </si>
  <si>
    <t>Scott Greene</t>
  </si>
  <si>
    <t>ORD2786</t>
  </si>
  <si>
    <t>Diane Byrd MD</t>
  </si>
  <si>
    <t>ORD2787</t>
  </si>
  <si>
    <t>Charles Roberts</t>
  </si>
  <si>
    <t>ORD2788</t>
  </si>
  <si>
    <t>Luke Solomon</t>
  </si>
  <si>
    <t>ORD2789</t>
  </si>
  <si>
    <t>Michael Ellis</t>
  </si>
  <si>
    <t>ORD2790</t>
  </si>
  <si>
    <t>Casey Morris</t>
  </si>
  <si>
    <t>ORD2791</t>
  </si>
  <si>
    <t>Melissa Reeves</t>
  </si>
  <si>
    <t>ORD2792</t>
  </si>
  <si>
    <t>Nancy Scott</t>
  </si>
  <si>
    <t>ORD2793</t>
  </si>
  <si>
    <t>Anthony Cook</t>
  </si>
  <si>
    <t>ORD2794</t>
  </si>
  <si>
    <t>Terry Barajas</t>
  </si>
  <si>
    <t>ORD2795</t>
  </si>
  <si>
    <t>Tracy George</t>
  </si>
  <si>
    <t>ORD2796</t>
  </si>
  <si>
    <t>Amber King</t>
  </si>
  <si>
    <t>ORD2797</t>
  </si>
  <si>
    <t>Elizabeth Foster</t>
  </si>
  <si>
    <t>ORD2798</t>
  </si>
  <si>
    <t>Walter Hansen</t>
  </si>
  <si>
    <t>ORD2799</t>
  </si>
  <si>
    <t>Debbie Gordon</t>
  </si>
  <si>
    <t>ORD2800</t>
  </si>
  <si>
    <t>Sherry Anderson</t>
  </si>
  <si>
    <t>ORD2801</t>
  </si>
  <si>
    <t>Joseph Thomas</t>
  </si>
  <si>
    <t>ORD2802</t>
  </si>
  <si>
    <t>Andrew Anderson</t>
  </si>
  <si>
    <t>ORD2803</t>
  </si>
  <si>
    <t>Sandy Adkins</t>
  </si>
  <si>
    <t>ORD2804</t>
  </si>
  <si>
    <t>ORD2805</t>
  </si>
  <si>
    <t>Pam Baker</t>
  </si>
  <si>
    <t>ORD2806</t>
  </si>
  <si>
    <t>Steven Stewart</t>
  </si>
  <si>
    <t>ORD2807</t>
  </si>
  <si>
    <t>Pamela Hernandez DVM</t>
  </si>
  <si>
    <t>ORD2808</t>
  </si>
  <si>
    <t>Rebecca Brown</t>
  </si>
  <si>
    <t>ORD2809</t>
  </si>
  <si>
    <t>David Johnson</t>
  </si>
  <si>
    <t>ORD2810</t>
  </si>
  <si>
    <t>Michael Graham</t>
  </si>
  <si>
    <t>ORD2811</t>
  </si>
  <si>
    <t>Tammy Williams MD</t>
  </si>
  <si>
    <t>ORD2812</t>
  </si>
  <si>
    <t>Karina Vasquez</t>
  </si>
  <si>
    <t>ORD2813</t>
  </si>
  <si>
    <t>Sharon Martinez</t>
  </si>
  <si>
    <t>ORD2814</t>
  </si>
  <si>
    <t>Sean White</t>
  </si>
  <si>
    <t>ORD2815</t>
  </si>
  <si>
    <t>Jordan Nelson</t>
  </si>
  <si>
    <t>ORD2816</t>
  </si>
  <si>
    <t>Laurie Silva</t>
  </si>
  <si>
    <t>ORD2817</t>
  </si>
  <si>
    <t>Kelly Duncan</t>
  </si>
  <si>
    <t>ORD2818</t>
  </si>
  <si>
    <t>Billy Tate</t>
  </si>
  <si>
    <t>ORD2819</t>
  </si>
  <si>
    <t>Stacy Johnson</t>
  </si>
  <si>
    <t>ORD2820</t>
  </si>
  <si>
    <t>Melanie Long</t>
  </si>
  <si>
    <t>ORD2821</t>
  </si>
  <si>
    <t>Tiffany Hood</t>
  </si>
  <si>
    <t>ORD2822</t>
  </si>
  <si>
    <t>Brad Rivas</t>
  </si>
  <si>
    <t>ORD2823</t>
  </si>
  <si>
    <t>Jordan Moses</t>
  </si>
  <si>
    <t>ORD2824</t>
  </si>
  <si>
    <t>Abigail Booker</t>
  </si>
  <si>
    <t>ORD2825</t>
  </si>
  <si>
    <t>Tiffany Nguyen</t>
  </si>
  <si>
    <t>ORD2826</t>
  </si>
  <si>
    <t>Morgan Bernard</t>
  </si>
  <si>
    <t>ORD2827</t>
  </si>
  <si>
    <t>Christine Williams</t>
  </si>
  <si>
    <t>ORD2828</t>
  </si>
  <si>
    <t>Erica Brown</t>
  </si>
  <si>
    <t>ORD2829</t>
  </si>
  <si>
    <t>Trevor James</t>
  </si>
  <si>
    <t>ORD2830</t>
  </si>
  <si>
    <t>Christopher Hanna</t>
  </si>
  <si>
    <t>ORD2831</t>
  </si>
  <si>
    <t>Ann Phelps</t>
  </si>
  <si>
    <t>ORD2832</t>
  </si>
  <si>
    <t>Richard Mitchell</t>
  </si>
  <si>
    <t>ORD2833</t>
  </si>
  <si>
    <t>Martha Martinez</t>
  </si>
  <si>
    <t>ORD2834</t>
  </si>
  <si>
    <t>Jeffrey Drake MD</t>
  </si>
  <si>
    <t>ORD2835</t>
  </si>
  <si>
    <t>Bonnie Wade</t>
  </si>
  <si>
    <t>ORD2836</t>
  </si>
  <si>
    <t>Kayla Burns</t>
  </si>
  <si>
    <t>ORD2837</t>
  </si>
  <si>
    <t>Karen Hart</t>
  </si>
  <si>
    <t>ORD2838</t>
  </si>
  <si>
    <t>Peter Shepherd</t>
  </si>
  <si>
    <t>ORD2839</t>
  </si>
  <si>
    <t>Jessica Simmons</t>
  </si>
  <si>
    <t>ORD2840</t>
  </si>
  <si>
    <t>Glenn Ford</t>
  </si>
  <si>
    <t>ORD2841</t>
  </si>
  <si>
    <t>Michael Moore</t>
  </si>
  <si>
    <t>ORD2842</t>
  </si>
  <si>
    <t>Mark Warren IV</t>
  </si>
  <si>
    <t>ORD2843</t>
  </si>
  <si>
    <t>Terry Woods</t>
  </si>
  <si>
    <t>ORD2844</t>
  </si>
  <si>
    <t>Carl Leach</t>
  </si>
  <si>
    <t>ORD2845</t>
  </si>
  <si>
    <t>Kelly Phillips</t>
  </si>
  <si>
    <t>ORD2846</t>
  </si>
  <si>
    <t>Billy Williams</t>
  </si>
  <si>
    <t>ORD2847</t>
  </si>
  <si>
    <t>Jeffery Davis</t>
  </si>
  <si>
    <t>ORD2848</t>
  </si>
  <si>
    <t>Laura King</t>
  </si>
  <si>
    <t>ORD2849</t>
  </si>
  <si>
    <t>Brad Gordon</t>
  </si>
  <si>
    <t>ORD2850</t>
  </si>
  <si>
    <t>Matthew White</t>
  </si>
  <si>
    <t>ORD2851</t>
  </si>
  <si>
    <t>ORD2852</t>
  </si>
  <si>
    <t>Elizabeth Matthews</t>
  </si>
  <si>
    <t>ORD2853</t>
  </si>
  <si>
    <t>Michael Hanson</t>
  </si>
  <si>
    <t>ORD2854</t>
  </si>
  <si>
    <t>Vincent Savage</t>
  </si>
  <si>
    <t>ORD2855</t>
  </si>
  <si>
    <t>Cody Burgess</t>
  </si>
  <si>
    <t>ORD2856</t>
  </si>
  <si>
    <t>Shelby Rodriguez</t>
  </si>
  <si>
    <t>ORD2857</t>
  </si>
  <si>
    <t>Abigail Wilson</t>
  </si>
  <si>
    <t>ORD2858</t>
  </si>
  <si>
    <t>John Holt</t>
  </si>
  <si>
    <t>ORD2859</t>
  </si>
  <si>
    <t>Tracy Guzman</t>
  </si>
  <si>
    <t>ORD2860</t>
  </si>
  <si>
    <t>Mr. William Ward</t>
  </si>
  <si>
    <t>ORD2861</t>
  </si>
  <si>
    <t>Melissa Foster</t>
  </si>
  <si>
    <t>ORD2862</t>
  </si>
  <si>
    <t>Calvin Smith</t>
  </si>
  <si>
    <t>ORD2863</t>
  </si>
  <si>
    <t>Alan Waller</t>
  </si>
  <si>
    <t>ORD2864</t>
  </si>
  <si>
    <t>Christine Wong</t>
  </si>
  <si>
    <t>ORD2865</t>
  </si>
  <si>
    <t>Jessica Garrett</t>
  </si>
  <si>
    <t>ORD2866</t>
  </si>
  <si>
    <t>Cheryl Turner</t>
  </si>
  <si>
    <t>ORD2867</t>
  </si>
  <si>
    <t>John Johnson</t>
  </si>
  <si>
    <t>ORD2868</t>
  </si>
  <si>
    <t>Christian Park</t>
  </si>
  <si>
    <t>ORD2869</t>
  </si>
  <si>
    <t>Kaitlyn Heath</t>
  </si>
  <si>
    <t>ORD2870</t>
  </si>
  <si>
    <t>Christina Hudson</t>
  </si>
  <si>
    <t>ORD2871</t>
  </si>
  <si>
    <t>Amber Smith</t>
  </si>
  <si>
    <t>ORD2872</t>
  </si>
  <si>
    <t>Michelle Petty</t>
  </si>
  <si>
    <t>ORD2873</t>
  </si>
  <si>
    <t>Nancy Larson</t>
  </si>
  <si>
    <t>ORD2874</t>
  </si>
  <si>
    <t>Donna Freeman</t>
  </si>
  <si>
    <t>ORD2875</t>
  </si>
  <si>
    <t>Mr. Logan Gregory</t>
  </si>
  <si>
    <t>ORD2876</t>
  </si>
  <si>
    <t>Katherine Klein</t>
  </si>
  <si>
    <t>ORD2877</t>
  </si>
  <si>
    <t>Jennifer Stewart</t>
  </si>
  <si>
    <t>ORD2878</t>
  </si>
  <si>
    <t>Steven Butler</t>
  </si>
  <si>
    <t>ORD2879</t>
  </si>
  <si>
    <t>Johnny Mcmillan</t>
  </si>
  <si>
    <t>ORD2880</t>
  </si>
  <si>
    <t>ORD2881</t>
  </si>
  <si>
    <t>Corey Cooper</t>
  </si>
  <si>
    <t>ORD2882</t>
  </si>
  <si>
    <t>Daniel Stout</t>
  </si>
  <si>
    <t>ORD2883</t>
  </si>
  <si>
    <t>Lance Kirby</t>
  </si>
  <si>
    <t>ORD2884</t>
  </si>
  <si>
    <t>Bonnie Carter</t>
  </si>
  <si>
    <t>ORD2885</t>
  </si>
  <si>
    <t>Toni Whitaker</t>
  </si>
  <si>
    <t>ORD2886</t>
  </si>
  <si>
    <t>Morgan Flynn</t>
  </si>
  <si>
    <t>ORD2887</t>
  </si>
  <si>
    <t>Sarah Howell</t>
  </si>
  <si>
    <t>ORD2888</t>
  </si>
  <si>
    <t>Paul Estrada</t>
  </si>
  <si>
    <t>ORD2889</t>
  </si>
  <si>
    <t>Curtis Obrien</t>
  </si>
  <si>
    <t>ORD2890</t>
  </si>
  <si>
    <t>Jason Chaney</t>
  </si>
  <si>
    <t>ORD2891</t>
  </si>
  <si>
    <t>Daniel Williams</t>
  </si>
  <si>
    <t>ORD2892</t>
  </si>
  <si>
    <t>Stanley Kelly</t>
  </si>
  <si>
    <t>ORD2893</t>
  </si>
  <si>
    <t>Ronald Kline</t>
  </si>
  <si>
    <t>ORD2894</t>
  </si>
  <si>
    <t>Arthur Jordan</t>
  </si>
  <si>
    <t>ORD2895</t>
  </si>
  <si>
    <t>Barbara Walker</t>
  </si>
  <si>
    <t>ORD2896</t>
  </si>
  <si>
    <t>Gerald Kelly</t>
  </si>
  <si>
    <t>ORD2897</t>
  </si>
  <si>
    <t>Shawn Adams</t>
  </si>
  <si>
    <t>ORD2898</t>
  </si>
  <si>
    <t>Michael Robertson</t>
  </si>
  <si>
    <t>ORD2899</t>
  </si>
  <si>
    <t>Michelle House</t>
  </si>
  <si>
    <t>ORD2900</t>
  </si>
  <si>
    <t>Jim Skinner</t>
  </si>
  <si>
    <t>ORD2901</t>
  </si>
  <si>
    <t>Brian Bishop</t>
  </si>
  <si>
    <t>ORD2902</t>
  </si>
  <si>
    <t>Theresa Colon</t>
  </si>
  <si>
    <t>ORD2903</t>
  </si>
  <si>
    <t>Brian Soto</t>
  </si>
  <si>
    <t>ORD2904</t>
  </si>
  <si>
    <t>Susan Moore</t>
  </si>
  <si>
    <t>ORD2905</t>
  </si>
  <si>
    <t>Jeremy Hunter</t>
  </si>
  <si>
    <t>ORD2906</t>
  </si>
  <si>
    <t>Annette Holland</t>
  </si>
  <si>
    <t>ORD2907</t>
  </si>
  <si>
    <t>Chad Allison</t>
  </si>
  <si>
    <t>ORD2908</t>
  </si>
  <si>
    <t>Jason Mack</t>
  </si>
  <si>
    <t>ORD2909</t>
  </si>
  <si>
    <t>Robert Peterson</t>
  </si>
  <si>
    <t>ORD2910</t>
  </si>
  <si>
    <t>Angela Watson</t>
  </si>
  <si>
    <t>ORD2911</t>
  </si>
  <si>
    <t>Heather Ortega</t>
  </si>
  <si>
    <t>ORD2912</t>
  </si>
  <si>
    <t>Paul Fisher</t>
  </si>
  <si>
    <t>ORD2913</t>
  </si>
  <si>
    <t>Robert Gutierrez</t>
  </si>
  <si>
    <t>ORD2914</t>
  </si>
  <si>
    <t>Jimmy Phelps</t>
  </si>
  <si>
    <t>ORD2915</t>
  </si>
  <si>
    <t>Heidi Johnson</t>
  </si>
  <si>
    <t>ORD2916</t>
  </si>
  <si>
    <t>Adam Drake</t>
  </si>
  <si>
    <t>ORD2917</t>
  </si>
  <si>
    <t>Angela Edwards</t>
  </si>
  <si>
    <t>ORD2918</t>
  </si>
  <si>
    <t>Mrs. Amy Malone</t>
  </si>
  <si>
    <t>ORD2919</t>
  </si>
  <si>
    <t>Margaret Orr</t>
  </si>
  <si>
    <t>ORD2920</t>
  </si>
  <si>
    <t>Mark Reeves</t>
  </si>
  <si>
    <t>ORD2921</t>
  </si>
  <si>
    <t>ORD2922</t>
  </si>
  <si>
    <t>Michael Spencer</t>
  </si>
  <si>
    <t>ORD2923</t>
  </si>
  <si>
    <t>Patrick Blankenship</t>
  </si>
  <si>
    <t>ORD2924</t>
  </si>
  <si>
    <t>Douglas Rose</t>
  </si>
  <si>
    <t>ORD2925</t>
  </si>
  <si>
    <t>Melody Griffin</t>
  </si>
  <si>
    <t>ORD2926</t>
  </si>
  <si>
    <t>Joshua Kramer</t>
  </si>
  <si>
    <t>ORD2927</t>
  </si>
  <si>
    <t>Melissa Barron</t>
  </si>
  <si>
    <t>ORD2928</t>
  </si>
  <si>
    <t>Jennifer Gonzalez</t>
  </si>
  <si>
    <t>ORD2929</t>
  </si>
  <si>
    <t>Andrew Cook</t>
  </si>
  <si>
    <t>ORD2930</t>
  </si>
  <si>
    <t>Natalie Martinez</t>
  </si>
  <si>
    <t>ORD2931</t>
  </si>
  <si>
    <t>Diane Davis DDS</t>
  </si>
  <si>
    <t>ORD2932</t>
  </si>
  <si>
    <t>Nicole Moore</t>
  </si>
  <si>
    <t>ORD2933</t>
  </si>
  <si>
    <t>Robert Vargas</t>
  </si>
  <si>
    <t>ORD2934</t>
  </si>
  <si>
    <t>Raymond Barber</t>
  </si>
  <si>
    <t>ORD2935</t>
  </si>
  <si>
    <t>Mrs. Amy Watson</t>
  </si>
  <si>
    <t>ORD2936</t>
  </si>
  <si>
    <t>ORD2937</t>
  </si>
  <si>
    <t>Belinda Evans</t>
  </si>
  <si>
    <t>ORD2938</t>
  </si>
  <si>
    <t>Jody Bird</t>
  </si>
  <si>
    <t>ORD2939</t>
  </si>
  <si>
    <t>Virginia Cunningham</t>
  </si>
  <si>
    <t>ORD2940</t>
  </si>
  <si>
    <t>Lori Ferguson</t>
  </si>
  <si>
    <t>ORD2941</t>
  </si>
  <si>
    <t>Hayley Mitchell</t>
  </si>
  <si>
    <t>ORD2942</t>
  </si>
  <si>
    <t>Michelle Chambers</t>
  </si>
  <si>
    <t>ORD2943</t>
  </si>
  <si>
    <t>Kelly Wright</t>
  </si>
  <si>
    <t>ORD2944</t>
  </si>
  <si>
    <t>Kevin Carson</t>
  </si>
  <si>
    <t>ORD2945</t>
  </si>
  <si>
    <t>Brent Dawson</t>
  </si>
  <si>
    <t>ORD2946</t>
  </si>
  <si>
    <t>ORD2947</t>
  </si>
  <si>
    <t>Karen Griffin</t>
  </si>
  <si>
    <t>ORD2948</t>
  </si>
  <si>
    <t>Joseph Chapman</t>
  </si>
  <si>
    <t>ORD2949</t>
  </si>
  <si>
    <t>Jennifer Baker</t>
  </si>
  <si>
    <t>ORD2950</t>
  </si>
  <si>
    <t>Mr. Jeremiah Galvan MD</t>
  </si>
  <si>
    <t>ORD2951</t>
  </si>
  <si>
    <t>Samantha Thomas</t>
  </si>
  <si>
    <t>ORD2952</t>
  </si>
  <si>
    <t>ORD2953</t>
  </si>
  <si>
    <t>Sharon Wilson</t>
  </si>
  <si>
    <t>ORD2954</t>
  </si>
  <si>
    <t>John Francis</t>
  </si>
  <si>
    <t>ORD2955</t>
  </si>
  <si>
    <t>Jaclyn Crane</t>
  </si>
  <si>
    <t>ORD2956</t>
  </si>
  <si>
    <t>Jennifer Martinez</t>
  </si>
  <si>
    <t>ORD2957</t>
  </si>
  <si>
    <t>Amanda Hernandez</t>
  </si>
  <si>
    <t>ORD2958</t>
  </si>
  <si>
    <t>William Turner</t>
  </si>
  <si>
    <t>ORD2959</t>
  </si>
  <si>
    <t>Dr. Charles Lawrence</t>
  </si>
  <si>
    <t>ORD2960</t>
  </si>
  <si>
    <t>Steven Small</t>
  </si>
  <si>
    <t>ORD2961</t>
  </si>
  <si>
    <t>Robert Burns</t>
  </si>
  <si>
    <t>ORD2962</t>
  </si>
  <si>
    <t>Gregory Harrell</t>
  </si>
  <si>
    <t>ORD2963</t>
  </si>
  <si>
    <t>ORD2964</t>
  </si>
  <si>
    <t>Rachael Alvarez</t>
  </si>
  <si>
    <t>ORD2965</t>
  </si>
  <si>
    <t>Lisa Gill</t>
  </si>
  <si>
    <t>ORD2966</t>
  </si>
  <si>
    <t>Julia Cole</t>
  </si>
  <si>
    <t>ORD2967</t>
  </si>
  <si>
    <t>Sean Nguyen</t>
  </si>
  <si>
    <t>ORD2968</t>
  </si>
  <si>
    <t>Mary Ortiz</t>
  </si>
  <si>
    <t>ORD2969</t>
  </si>
  <si>
    <t>James Weaver</t>
  </si>
  <si>
    <t>ORD2970</t>
  </si>
  <si>
    <t>Stacy Fitzgerald</t>
  </si>
  <si>
    <t>ORD2971</t>
  </si>
  <si>
    <t>Sharon Mann</t>
  </si>
  <si>
    <t>ORD2972</t>
  </si>
  <si>
    <t>Rebecca Zimmerman</t>
  </si>
  <si>
    <t>ORD2973</t>
  </si>
  <si>
    <t>Becky Hansen</t>
  </si>
  <si>
    <t>ORD2974</t>
  </si>
  <si>
    <t>Luke Ray</t>
  </si>
  <si>
    <t>ORD2975</t>
  </si>
  <si>
    <t>Kelly Lopez</t>
  </si>
  <si>
    <t>ORD2976</t>
  </si>
  <si>
    <t>Steven Martinez</t>
  </si>
  <si>
    <t>ORD2977</t>
  </si>
  <si>
    <t>ORD2978</t>
  </si>
  <si>
    <t>Danielle Thornton</t>
  </si>
  <si>
    <t>ORD2979</t>
  </si>
  <si>
    <t>Jill Roman</t>
  </si>
  <si>
    <t>ORD2980</t>
  </si>
  <si>
    <t>Jennifer Williams</t>
  </si>
  <si>
    <t>ORD2981</t>
  </si>
  <si>
    <t>Allison Kim</t>
  </si>
  <si>
    <t>ORD2982</t>
  </si>
  <si>
    <t>Scott Stewart</t>
  </si>
  <si>
    <t>ORD2983</t>
  </si>
  <si>
    <t>Brian Garcia</t>
  </si>
  <si>
    <t>ORD2984</t>
  </si>
  <si>
    <t>Charles Scott</t>
  </si>
  <si>
    <t>ORD2985</t>
  </si>
  <si>
    <t>Eric Russell</t>
  </si>
  <si>
    <t>ORD2986</t>
  </si>
  <si>
    <t>Lucas Nguyen</t>
  </si>
  <si>
    <t>ORD2987</t>
  </si>
  <si>
    <t>Anthony Price</t>
  </si>
  <si>
    <t>ORD2988</t>
  </si>
  <si>
    <t>Jason Nguyen</t>
  </si>
  <si>
    <t>ORD2989</t>
  </si>
  <si>
    <t>Ronald Martinez</t>
  </si>
  <si>
    <t>ORD2990</t>
  </si>
  <si>
    <t>Paul Willis</t>
  </si>
  <si>
    <t>ORD2991</t>
  </si>
  <si>
    <t>Paul Cruz Jr.</t>
  </si>
  <si>
    <t>ORD2992</t>
  </si>
  <si>
    <t>John Russell</t>
  </si>
  <si>
    <t>ORD2993</t>
  </si>
  <si>
    <t>Mr. David Mercado</t>
  </si>
  <si>
    <t>ORD2994</t>
  </si>
  <si>
    <t>Victor Leonard</t>
  </si>
  <si>
    <t>ORD2995</t>
  </si>
  <si>
    <t>Justin Glover</t>
  </si>
  <si>
    <t>ORD2996</t>
  </si>
  <si>
    <t>Jason Miller</t>
  </si>
  <si>
    <t>ORD2997</t>
  </si>
  <si>
    <t>Christina Faulkner</t>
  </si>
  <si>
    <t>ORD2998</t>
  </si>
  <si>
    <t>William Casey</t>
  </si>
  <si>
    <t>ORD2999</t>
  </si>
  <si>
    <t>Jessica Buck</t>
  </si>
  <si>
    <t>Office Supplies</t>
  </si>
  <si>
    <t>Avery 506</t>
  </si>
  <si>
    <t>Wilson Jones Hanging View Binder, White, 1"</t>
  </si>
  <si>
    <t>Bevis Round Conference Table Top, X-Base</t>
  </si>
  <si>
    <t>Keytronic 105-Key Spanish Keyboard</t>
  </si>
  <si>
    <t>Universal Premium White Copier/Laser Paper (20Lb. and 87 Bright)</t>
  </si>
  <si>
    <t>Barrel Sharpener</t>
  </si>
  <si>
    <t>Xerox 1936</t>
  </si>
  <si>
    <t>Serrated Blade or Curved Handle Hand Letter Openers</t>
  </si>
  <si>
    <t>GBC ProClick™ 150 Presentation Binding System</t>
  </si>
  <si>
    <t>SAFCO Arco Folding Chair</t>
  </si>
  <si>
    <t>Howard Miller 16" Diameter Gallery Wall Clock</t>
  </si>
  <si>
    <t>Staples SlimLine Pencil Sharpener</t>
  </si>
  <si>
    <t>Lock-Up Easel 'Spel-Binder'</t>
  </si>
  <si>
    <t>Premium Writing Pencils, Soft, #2 by Central Association for the Blind</t>
  </si>
  <si>
    <t>M70</t>
  </si>
  <si>
    <t>Avery 494</t>
  </si>
  <si>
    <t>Executive Impressions 13" Chairman Wall Clock</t>
  </si>
  <si>
    <t>Safco Industrial Wire Shelving</t>
  </si>
  <si>
    <t>StarTAC 3000</t>
  </si>
  <si>
    <t>Ampad #10 Peel &amp; Seel® Holiday Envelopes</t>
  </si>
  <si>
    <t>Fellowes PB500 Electric Punch Plastic Comb Binding Machine with Manual Bind</t>
  </si>
  <si>
    <t>Crate-A-Files™</t>
  </si>
  <si>
    <t>Bell Sonecor JB700 Caller ID</t>
  </si>
  <si>
    <t>Eldon Expressions Punched Metal &amp; Wood Desk Accessories, Black &amp; Cherry</t>
  </si>
  <si>
    <t>Tenex 46" x 60" Computer Anti-Static Chairmat, Rectangular Shaped</t>
  </si>
  <si>
    <t>SANFORD Liquid Accent™ Tank-Style Highlighters</t>
  </si>
  <si>
    <t>Global Troy™ Executive Leather Low-Back Tilter</t>
  </si>
  <si>
    <t>DAX Two-Tone Rosewood/Black Document Frame, Desktop, 5 x 7</t>
  </si>
  <si>
    <t>Howard Miller 12-3/4 Diameter Accuwave DS ™ Wall Clock</t>
  </si>
  <si>
    <t>Newell 321</t>
  </si>
  <si>
    <t>Newell 351</t>
  </si>
  <si>
    <t>OIC Colored Binder Clips, Assorted Sizes</t>
  </si>
  <si>
    <t>Grip Seal Envelopes</t>
  </si>
  <si>
    <t>Tyvek ® Top-Opening Peel &amp; Seel ® Envelopes, Gray</t>
  </si>
  <si>
    <t>Staples Gold Paper Clips</t>
  </si>
  <si>
    <t>StarTAC 7797</t>
  </si>
  <si>
    <t>DAX Natural Wood-Tone Poster Frame</t>
  </si>
  <si>
    <t>Hewlett Packard 6S Scientific Calculator</t>
  </si>
  <si>
    <t>Advantus Plastic Paper Clips</t>
  </si>
  <si>
    <t>Xerox 194</t>
  </si>
  <si>
    <t>Newell 323</t>
  </si>
  <si>
    <t>Eldon Image Series Black Desk Accessories</t>
  </si>
  <si>
    <t>Hunt Boston® Vacuum Mount KS Pencil Sharpener</t>
  </si>
  <si>
    <t>Canon P1-DHIII Palm Printing Calculator</t>
  </si>
  <si>
    <t>TimeportP7382</t>
  </si>
  <si>
    <t>Storex DuraTech Recycled Plastic Frosted Binders</t>
  </si>
  <si>
    <t>Newell 338</t>
  </si>
  <si>
    <t>AT&amp;T 2230 Dual Handset Phone With Caller ID/Call Waiting</t>
  </si>
  <si>
    <t>6160</t>
  </si>
  <si>
    <t>Okidata Pacemark 4410N Wide Format Dot Matrix Printer</t>
  </si>
  <si>
    <t>Xerox 1903</t>
  </si>
  <si>
    <t>Durable Pressboard Binders</t>
  </si>
  <si>
    <t>Newell 310</t>
  </si>
  <si>
    <t>Xerox 193</t>
  </si>
  <si>
    <t>Snap-A-Way® Black Print Carbonless Speed Message, No Reply Area, Duplicate</t>
  </si>
  <si>
    <t>Avery 501</t>
  </si>
  <si>
    <t>5165</t>
  </si>
  <si>
    <t>Dual Level, Single-Width Filing Carts</t>
  </si>
  <si>
    <t>Hon 4070 Series Pagoda™ Armless Upholstered Stacking Chairs</t>
  </si>
  <si>
    <t>Hon Valutask™ Swivel Chairs</t>
  </si>
  <si>
    <t>Global High-Back Leather Tilter, Burgundy</t>
  </si>
  <si>
    <t>Hon 94000 Series Round Tables</t>
  </si>
  <si>
    <t>6" Cubicle Wall Clock, Black</t>
  </si>
  <si>
    <t>GBC DocuBind TL300 Electric Binding System</t>
  </si>
  <si>
    <t>Fellowes Super Stor/Drawer® Files</t>
  </si>
  <si>
    <t>Avery 493</t>
  </si>
  <si>
    <t>Prismacolor Color Pencil Set</t>
  </si>
  <si>
    <t>Array® Memo Cubes</t>
  </si>
  <si>
    <t>2180</t>
  </si>
  <si>
    <t>REDIFORM Incoming/Outgoing Call Register, 11" X 8 1/2", 100 Messages</t>
  </si>
  <si>
    <t>Xerox 1897</t>
  </si>
  <si>
    <t>Acme® 8" Straight Scissors</t>
  </si>
  <si>
    <t>Office Star - Mid Back Dual function Ergonomic High Back Chair with 2-Way Adjustable Arms</t>
  </si>
  <si>
    <t>Belkin 107-key enhanced keyboard, USB/PS/2 interface</t>
  </si>
  <si>
    <t>5185</t>
  </si>
  <si>
    <t>Belkin 105-Key Black Keyboard</t>
  </si>
  <si>
    <t>Atlantic Metals Mobile 5-Shelf Bookcases, Custom Colors</t>
  </si>
  <si>
    <t>Avery Durable Binders</t>
  </si>
  <si>
    <t>Dixon Prang® Watercolor Pencils, 10-Color Set with Brush</t>
  </si>
  <si>
    <t>EcoTones® Memo Sheets</t>
  </si>
  <si>
    <t>Fuji Slim Jewel Case CD-R</t>
  </si>
  <si>
    <t>Avery 51</t>
  </si>
  <si>
    <t>6185</t>
  </si>
  <si>
    <t>Acme® Office Executive Series Stainless Steel Trimmers</t>
  </si>
  <si>
    <t>Eldon Regeneration Recycled Desk Accessories, Smoke</t>
  </si>
  <si>
    <t>#10-4 1/8" x 9 1/2" Premium Diagonal Seam Envelopes</t>
  </si>
  <si>
    <t>Xerox 1939</t>
  </si>
  <si>
    <t>Fiskars® Softgrip Scissors</t>
  </si>
  <si>
    <t>Xerox 1964</t>
  </si>
  <si>
    <t>Wirebound Message Books, 2 7/8" x 5", 3 Forms per Page</t>
  </si>
  <si>
    <t>Laminate Occasional Tables</t>
  </si>
  <si>
    <t>Tenex B1-RE Series Chair Mats for Low Pile Carpets</t>
  </si>
  <si>
    <t>Global Ergonomic Managers Chair</t>
  </si>
  <si>
    <t>PC Concepts 116 Key Quantum 3000 Keyboard</t>
  </si>
  <si>
    <t>Wausau Papers Astrobrights® Colored Envelopes</t>
  </si>
  <si>
    <t>Newell 335</t>
  </si>
  <si>
    <t>Eldon Cleatmat Plus™ Chair Mats for High Pile Carpets</t>
  </si>
  <si>
    <t>StarTAC Analog</t>
  </si>
  <si>
    <t>Microsoft Natural Keyboard Elite</t>
  </si>
  <si>
    <t>T60</t>
  </si>
  <si>
    <t>Belkin 6 Outlet Metallic Surge Strip</t>
  </si>
  <si>
    <t>Bush Westfield Collection Bookcases, Fully Assembled</t>
  </si>
  <si>
    <t>Xerox 1952</t>
  </si>
  <si>
    <t>Okidata ML320 Series Turbo Dot Matrix Printers</t>
  </si>
  <si>
    <t>Fellowes Mobile Numeric Keypad, Graphite</t>
  </si>
  <si>
    <t>Polycom ViaVideo™ Desktop Video Communications Unit</t>
  </si>
  <si>
    <t>Staples Wirebound Steno Books, 6" x 9", 12/Pack</t>
  </si>
  <si>
    <t>Staples® General Use 3-Ring Binders</t>
  </si>
  <si>
    <t>Zoom V.92 USB External Faxmodem</t>
  </si>
  <si>
    <t>Riverleaf Stik-Withit® Designer Note Cubes®</t>
  </si>
  <si>
    <t>Avery Arch Ring Binders</t>
  </si>
  <si>
    <t>APC 7 Outlet Network SurgeArrest Surge Protector</t>
  </si>
  <si>
    <t>Fellowes 17-key keypad for PS/2 interface</t>
  </si>
  <si>
    <t>StarTAC ST7762</t>
  </si>
  <si>
    <t>Panasonic KX-P2130 Dot Matrix Printer</t>
  </si>
  <si>
    <t>Wilson Jones® Four-Pocket Poly Binders</t>
  </si>
  <si>
    <t>Xerox 1996</t>
  </si>
  <si>
    <t>Acco® Hot Clips™ Clips to Go</t>
  </si>
  <si>
    <t>Xerox 1933</t>
  </si>
  <si>
    <t>Imation 3.5" Unformatted DS/HD Diskettes, 10/Box</t>
  </si>
  <si>
    <t>Super Bands, 12/Pack</t>
  </si>
  <si>
    <t>3M Organizer Strips</t>
  </si>
  <si>
    <t>Seth Thomas 8 1/2" Cubicle Clock</t>
  </si>
  <si>
    <t>Newell 309</t>
  </si>
  <si>
    <t>252</t>
  </si>
  <si>
    <t>Kleencut® Forged Office Shears by Acme United Corporation</t>
  </si>
  <si>
    <t>Hewlett-Packard 2600DN Business Color Inkjet Printer</t>
  </si>
  <si>
    <t>Global Push Button Manager's Chair, Indigo</t>
  </si>
  <si>
    <t>Fellowes Black Plastic Comb Bindings</t>
  </si>
  <si>
    <t>Eldon Expressions™ Desk Accessory, Wood Pencil Holder, Oak</t>
  </si>
  <si>
    <t>Sanyo 2.5 Cubic Foot Mid-Size Office Refrigerators</t>
  </si>
  <si>
    <t>Memorex 4.7GB DVD+R, 3/Pack</t>
  </si>
  <si>
    <t>Eldon Spacemaker® Box, Quick-Snap Lid, Clear</t>
  </si>
  <si>
    <t>Okidata ML390 Turbo Dot Matrix Printers</t>
  </si>
  <si>
    <t>Xerox Blank Computer Paper</t>
  </si>
  <si>
    <t>Bevis Round Bullnose 29" High Table Top</t>
  </si>
  <si>
    <t>Storex Dura Pro™ Binders</t>
  </si>
  <si>
    <t>270c</t>
  </si>
  <si>
    <t>BPI Conference Tables</t>
  </si>
  <si>
    <t>Avery 514</t>
  </si>
  <si>
    <t>DIXON Oriole® Pencils</t>
  </si>
  <si>
    <t>StarTAC Series</t>
  </si>
  <si>
    <t>Global Adaptabilities™ Conference Tables</t>
  </si>
  <si>
    <t>Acme® Elite Stainless Steel Scissors</t>
  </si>
  <si>
    <t>Maxell Pro 80 Minute CD-R, 10/Pack</t>
  </si>
  <si>
    <t>Newell 340</t>
  </si>
  <si>
    <t>Hon iLevel™ Computer Training Table</t>
  </si>
  <si>
    <t>Xerox 214</t>
  </si>
  <si>
    <t>Tennsco Commercial Shelving</t>
  </si>
  <si>
    <t>Staples Brown Kraft Recycled Clasp Envelopes</t>
  </si>
  <si>
    <t>Eldon Executive Woodline II Cherry Finish Desk Accessories</t>
  </si>
  <si>
    <t>Tenex Antistatic Computer Chair Mats</t>
  </si>
  <si>
    <t>Xerox 1922</t>
  </si>
  <si>
    <t>Hewlett-Packard Deskjet 940 REFURBISHED Color Inkjet Printer</t>
  </si>
  <si>
    <t>Recycled Premium Regency Composition Covers</t>
  </si>
  <si>
    <t>Brites Rubber Bands, 1 1/2 oz. Box</t>
  </si>
  <si>
    <t>Accessory36</t>
  </si>
  <si>
    <t>ACCOHIDE® Binder by Acco</t>
  </si>
  <si>
    <t>O'Sullivan Elevations Bookcase, Cherry Finish</t>
  </si>
  <si>
    <t>Memorex 4.7GB DVD+RW, 3/Pack</t>
  </si>
  <si>
    <t>MicroTAC 650</t>
  </si>
  <si>
    <t>Imation 3.5", DISKETTE 44766 HGHLD3.52HD/FM, 10/Pack</t>
  </si>
  <si>
    <t>80 Minute Slim Jewel Case CD-R , 10/Pack - Staples</t>
  </si>
  <si>
    <t>Accessory34</t>
  </si>
  <si>
    <t>High Speed Automatic Electric Letter Opener</t>
  </si>
  <si>
    <t>Eldon® Expressions™ Wood Desk Accessories, Oak</t>
  </si>
  <si>
    <t>Decoflex Hanging Personal Folder File, Blue</t>
  </si>
  <si>
    <t>Acco Keyboard-In-A-Box®</t>
  </si>
  <si>
    <t>Eldon® 200 Class™ Desk Accessories, Burgundy</t>
  </si>
  <si>
    <t>Hoover Commercial Soft Guard Upright Vacuum And Disposable Filtration Bags</t>
  </si>
  <si>
    <t>Master Giant Foot® Doorstop, Safety Yellow</t>
  </si>
  <si>
    <t>Avery Hi-Liter GlideStik Fluorescent Highlighter, Yellow Ink</t>
  </si>
  <si>
    <t>Anderson Hickey Conga Table Tops &amp; Accessories</t>
  </si>
  <si>
    <t>GE 48" Fluorescent Tube, Cool White Energy Saver, 34 Watts, 30/Box</t>
  </si>
  <si>
    <t>Maxell 3.5" DS/HD IBM-Formatted Diskettes, 10/Pack</t>
  </si>
  <si>
    <t>Xerox 1898</t>
  </si>
  <si>
    <t>Bevis 36 x 72 Conference Tables</t>
  </si>
  <si>
    <t>Sanyo Counter Height Refrigerator with Crisper, 3.6 Cubic Foot, Stainless Steel/Black</t>
  </si>
  <si>
    <t>Executive Impressions 13" Clairmont Wall Clock</t>
  </si>
  <si>
    <t>1726 Digital Answering Machine</t>
  </si>
  <si>
    <t>O'Sullivan Living Dimensions 3-Shelf Bookcases</t>
  </si>
  <si>
    <t>Xerox 1971</t>
  </si>
  <si>
    <t>Accessory4</t>
  </si>
  <si>
    <t>3M Office Air Cleaner</t>
  </si>
  <si>
    <t>Deluxe Rollaway Locking File with Drawer</t>
  </si>
  <si>
    <t>Pressboard Data Binder, Crimson, 12" X 8 1/2"</t>
  </si>
  <si>
    <t>8860</t>
  </si>
  <si>
    <t>GBC Instant Index™ System for Binding Systems</t>
  </si>
  <si>
    <t>Xerox 4200 Series MultiUse Premium Copy Paper (20Lb. and 84 Bright)</t>
  </si>
  <si>
    <t>T18</t>
  </si>
  <si>
    <t>Fellowes EZ Multi-Media Keyboard</t>
  </si>
  <si>
    <t>Telescoping Adjustable Floor Lamp</t>
  </si>
  <si>
    <t>Filing/Storage Totes and Swivel Casters</t>
  </si>
  <si>
    <t>Logitech Access Keyboard</t>
  </si>
  <si>
    <t>Xerox 1929</t>
  </si>
  <si>
    <t>Rediform S.O.S. Phone Message Books</t>
  </si>
  <si>
    <t>Binding Machine Supplies</t>
  </si>
  <si>
    <t>Hot File® 7-Pocket, Floor Stand</t>
  </si>
  <si>
    <t>Polycom Soundstation EX Audio-Conferencing Telephone, Black</t>
  </si>
  <si>
    <t>Accessory20</t>
  </si>
  <si>
    <t>Manila Recycled Extra-Heavyweight Clasp Envelopes, 6" x 9"</t>
  </si>
  <si>
    <t>14-7/8 x 11 Blue Bar Computer Printout Paper</t>
  </si>
  <si>
    <t>Newell 333</t>
  </si>
  <si>
    <t>Office Star - Contemporary Task Swivel chair with 2-way adjustable arms, Plum</t>
  </si>
  <si>
    <t>2160i</t>
  </si>
  <si>
    <t>210 Trimline Phone, White</t>
  </si>
  <si>
    <t>Vinyl Sectional Post Binders</t>
  </si>
  <si>
    <t>Seth Thomas 14" Putty-Colored Wall Clock</t>
  </si>
  <si>
    <t>Tenex Personal Self-Stacking Standard File Box, Black/Gray</t>
  </si>
  <si>
    <t>Economy Rollaway Files</t>
  </si>
  <si>
    <t>Panasonic KX-P3200 Dot Matrix Printer</t>
  </si>
  <si>
    <t>Tensor "Hersey Kiss" Styled Floor Lamp</t>
  </si>
  <si>
    <t>Holmes Odor Grabber</t>
  </si>
  <si>
    <t>Xerox 188</t>
  </si>
  <si>
    <t>Motorola SB4200 Cable Modem</t>
  </si>
  <si>
    <t>Staples 6 Outlet Surge</t>
  </si>
  <si>
    <t>Cardinal Poly Pocket Divider Pockets for Ring Binders</t>
  </si>
  <si>
    <t>Canon PC1060 Personal Laser Copier</t>
  </si>
  <si>
    <t>Avery 49</t>
  </si>
  <si>
    <t>Accessory25</t>
  </si>
  <si>
    <t>Newell 343</t>
  </si>
  <si>
    <t>Okidata ML395C Color Dot Matrix Printer</t>
  </si>
  <si>
    <t>Southworth 25% Cotton Linen-Finish Paper &amp; Envelopes</t>
  </si>
  <si>
    <t>Xerox 21</t>
  </si>
  <si>
    <t>Advantus Rolling Storage Box</t>
  </si>
  <si>
    <t>Imation 3.5 IBM Formatted Diskettes, 10/Box</t>
  </si>
  <si>
    <t>Adesso Programmable 142-Key Keyboard</t>
  </si>
  <si>
    <t>Xerox 1908</t>
  </si>
  <si>
    <t>Talkabout T8367</t>
  </si>
  <si>
    <t>Tennsco Lockers, Gray</t>
  </si>
  <si>
    <t>SAFCO Folding Chair Trolley</t>
  </si>
  <si>
    <t>Xerox 1910</t>
  </si>
  <si>
    <t>C-Line Peel &amp; Stick Add-On Filing Pockets, 8-3/4 x 5-1/8, 10/Pack</t>
  </si>
  <si>
    <t>Nu-Dell Executive Frame</t>
  </si>
  <si>
    <t>Canon MP41DH Printing Calculator</t>
  </si>
  <si>
    <t>Wirebound Message Book, 4 per Page</t>
  </si>
  <si>
    <t>Lexmark 4227 Plus Dot Matrix Printer</t>
  </si>
  <si>
    <t>Xerox 1978</t>
  </si>
  <si>
    <t>GBC Pre-Punched Binding Paper, Plastic, White, 8-1/2" x 11"</t>
  </si>
  <si>
    <t>GBC Recycled Regency Composition Covers</t>
  </si>
  <si>
    <t>Accessory29</t>
  </si>
  <si>
    <t>Soundgear Copyboard Conference Phone, Optional Battery</t>
  </si>
  <si>
    <t>DAX Wood Document Frame.</t>
  </si>
  <si>
    <t>BoxOffice By Design Rectangular and Half-Moon Meeting Room Tables</t>
  </si>
  <si>
    <t>Sharp 1540cs Digital Laser Copier</t>
  </si>
  <si>
    <t>2160</t>
  </si>
  <si>
    <t>White GlueTop Scratch Pads</t>
  </si>
  <si>
    <t>Adams Phone Message Book, 200 Message Capacity, 8 1/16” x 11”</t>
  </si>
  <si>
    <t>Fellowes Neat Ideas® Storage Cubes</t>
  </si>
  <si>
    <t>Hon 2090 “Pillow Soft” Series Mid Back Swivel/Tilt Chairs</t>
  </si>
  <si>
    <t>Tripp Lite Isotel 8 Ultra 8 Outlet Metal Surge</t>
  </si>
  <si>
    <t>Catalog Binders with Expanding Posts</t>
  </si>
  <si>
    <t>ACCOHIDE® 3-Ring Binder, Blue, 1"</t>
  </si>
  <si>
    <t>Hoover Portapower™ Portable Vacuum</t>
  </si>
  <si>
    <t>Multimedia Mailers</t>
  </si>
  <si>
    <t>Peel &amp; Seel® Recycled Catalog Envelopes, Brown</t>
  </si>
  <si>
    <t>Accessory6</t>
  </si>
  <si>
    <t>Tenex File Box, Personal Filing Tote with Lid, Black</t>
  </si>
  <si>
    <t>Acme Hot Forged Carbon Steel Scissors with Nickel-Plated Handles, 3 7/8" Cut, 8"L</t>
  </si>
  <si>
    <t>Avery 4027 File Folder Labels for Dot Matrix Printers, 5000 Labels per Box, White</t>
  </si>
  <si>
    <t>9-3/4 Diameter Round Wall Clock</t>
  </si>
  <si>
    <t>80 Minute CD-R Spindle, 100/Pack - Staples</t>
  </si>
  <si>
    <t>3M Hangers With Command Adhesive</t>
  </si>
  <si>
    <t>Adams Telephone Message Book w/Frequently-Called Numbers Space, 400 Messages per Book</t>
  </si>
  <si>
    <t>Bretford “Just In Time” Height-Adjustable Multi-Task Work Tables</t>
  </si>
  <si>
    <t>Xerox 1976</t>
  </si>
  <si>
    <t>Xerox 210</t>
  </si>
  <si>
    <t>Accessory27</t>
  </si>
  <si>
    <t>Park Ridge™ Embossed Executive Business Envelopes</t>
  </si>
  <si>
    <t>Iris® 3-Drawer Stacking Bin, Black</t>
  </si>
  <si>
    <t>Acco PRESSTEX® Data Binder with Storage Hooks, Dark Blue, 14 7/8" X 11"</t>
  </si>
  <si>
    <t>1/4 Fold Party Design Invitations &amp; White Envelopes, 24 8-1/2" X 11" Cards, 25 Env./Pack</t>
  </si>
  <si>
    <t>Coloredge Poster Frame</t>
  </si>
  <si>
    <t>T28 WORLD</t>
  </si>
  <si>
    <t>Xerox 212</t>
  </si>
  <si>
    <t>Smead Adjustable Mobile File Trolley with Lockable Top</t>
  </si>
  <si>
    <t>Eldon® Wave Desk Accessories</t>
  </si>
  <si>
    <t>Sauder Facets Collection Locker/File Cabinet, Sky Alder Finish</t>
  </si>
  <si>
    <t>Rush Hierlooms Collection Rich Wood Bookcases</t>
  </si>
  <si>
    <t>6120</t>
  </si>
  <si>
    <t>KH 688</t>
  </si>
  <si>
    <t>Chromcraft Rectangular Conference Tables</t>
  </si>
  <si>
    <t>Howard Miller 13-3/4" Diameter Brushed Chrome Round Wall Clock</t>
  </si>
  <si>
    <t>Staples Bulldog Clip</t>
  </si>
  <si>
    <t>Riverside Palais Royal Lawyers Bookcase, Royale Cherry Finish</t>
  </si>
  <si>
    <t>Electrix 20W Halogen Replacement Bulb for Zoom-In Desk Lamp</t>
  </si>
  <si>
    <t>Wilson Jones Suede Grain Vinyl Binders</t>
  </si>
  <si>
    <t>Computer Printout Paper with Letter-Trim Perforations</t>
  </si>
  <si>
    <t>DAX Clear Channel Poster Frame</t>
  </si>
  <si>
    <t>Executive Impressions 14" Two-Color Numerals Wall Clock</t>
  </si>
  <si>
    <t>Newell® 3-Hole Punched Plastic Slotted Magazine Holders for Binders</t>
  </si>
  <si>
    <t>Avery 498</t>
  </si>
  <si>
    <t>Xerox 1891</t>
  </si>
  <si>
    <t>Sanford Colorific Colored Pencils, 12/Box</t>
  </si>
  <si>
    <t>R380</t>
  </si>
  <si>
    <t>Hoover Replacement Belts For Soft Guard™ &amp; Commercial Ltweight Upright Vacs, 2/Pk</t>
  </si>
  <si>
    <t>Ibico Ibimaster 300 Manual Binding System</t>
  </si>
  <si>
    <t>Executive Impressions 12" Wall Clock</t>
  </si>
  <si>
    <t>Tennsco Snap-Together Open Shelving Units, Starter Sets and Add-On Units</t>
  </si>
  <si>
    <t>Avery® Durable Slant Ring Binders With Label Holder</t>
  </si>
  <si>
    <t>BASF Silver 74 Minute CD-R</t>
  </si>
  <si>
    <t>Xerox 200</t>
  </si>
  <si>
    <t>DMI Eclipse Executive Suite Bookcases</t>
  </si>
  <si>
    <t>Wilson Jones 14 Line Acrylic Coated Pressboard Data Binders</t>
  </si>
  <si>
    <t>Bush Heritage Pine Collection 5-Shelf Bookcase, Albany Pine Finish, *Special Order</t>
  </si>
  <si>
    <t>i470</t>
  </si>
  <si>
    <t>Bush® Cubix Conference Tables, Fully Assembled</t>
  </si>
  <si>
    <t>Imation Neon Mac Format Diskettes, 10/Pack</t>
  </si>
  <si>
    <t>Deflect-o EconoMat Nonstudded, No Bevel Mat</t>
  </si>
  <si>
    <t>Keytronic Designer 104- Key Black Keyboard</t>
  </si>
  <si>
    <t>Holmes Replacement Filter for HEPA Air Cleaner, Large Room</t>
  </si>
  <si>
    <t>Xerox 1954</t>
  </si>
  <si>
    <t>Staples Pen Style Liquid Stix; Assorted (yellow, pink, green, blue, orange), 5/Pack</t>
  </si>
  <si>
    <t>Staples Vinyl Coated Paper Clips, 800/Box</t>
  </si>
  <si>
    <t>*Staples* vLetter Openers, 2/Pack</t>
  </si>
  <si>
    <t>Imation 3.5, DISKETTE 44766 HGHLD3.52HD/FM, 10/Pack</t>
  </si>
  <si>
    <t>Hewlett-Packard 4.7GB DVD+R Discs</t>
  </si>
  <si>
    <t>Fellowes Stor/Drawer® Steel Plus™ Storage Drawers</t>
  </si>
  <si>
    <t>Eldon Expressions Punched Metal &amp; Wood Desk Accessories, Pewter &amp; Cherry</t>
  </si>
  <si>
    <t>Prang Drawing Pencil Set</t>
  </si>
  <si>
    <t>Array® Parchment Paper, Assorted Colors</t>
  </si>
  <si>
    <t>SC7868i</t>
  </si>
  <si>
    <t>Tennsco Regal Shelving Units</t>
  </si>
  <si>
    <t>Office Star - Professional Matrix Back Chair with 2-to-1 Synchro Tilt and Mesh Fabric Seat</t>
  </si>
  <si>
    <t>Xerox 1937</t>
  </si>
  <si>
    <t>Hon Metal Bookcases, Putty</t>
  </si>
  <si>
    <t>Belkin MediaBoard 104- Keyboard</t>
  </si>
  <si>
    <t>Belkin 8 Outlet SurgeMaster II Gold Surge Protector</t>
  </si>
  <si>
    <t>Wilson Jones Impact Binders</t>
  </si>
  <si>
    <t>Verbatim DVD-R, 4.7GB, Spindle, WE, Blank, Ink Jet/Thermal, 20/Spindle</t>
  </si>
  <si>
    <t>Fellowes Super Stor/Drawer®</t>
  </si>
  <si>
    <t>Avery 479</t>
  </si>
  <si>
    <t>Telephone Message Books with Fax/Mobile Section, 5 1/2" x 3 3/16"</t>
  </si>
  <si>
    <t>Epson C82 Color Inkjet Printer</t>
  </si>
  <si>
    <t>Snap-A-Way® Black Print Carbonless Ruled Speed Letter, Triplicate</t>
  </si>
  <si>
    <t>Accessory39</t>
  </si>
  <si>
    <t>5170i</t>
  </si>
  <si>
    <t>Memorex 4.7GB DVD-RAM, 3/Pack</t>
  </si>
  <si>
    <t>Acco 6 Outlet Guardian Premium Surge Suppressor</t>
  </si>
  <si>
    <t>Brother DCP1000 Digital 3 in 1 Multifunction Machine</t>
  </si>
  <si>
    <t>Eureka Disposable Bags for Sanitaire® Vibra Groomer I® Upright Vac</t>
  </si>
  <si>
    <t>Sharp EL501VB Scientific Calculator, Battery Operated, 10-Digit Display, Hard Case</t>
  </si>
  <si>
    <t>Home/Office Personal File Carts</t>
  </si>
  <si>
    <t>Southworth 25% Cotton Antique Laid Paper &amp; Envelopes</t>
  </si>
  <si>
    <t>Xerox 1993</t>
  </si>
  <si>
    <t>Avery Printable Repositionable Plastic Tabs</t>
  </si>
  <si>
    <t>Dixon Ticonderoga Core-Lock Colored Pencils</t>
  </si>
  <si>
    <t>Space Solutions Commercial Steel Shelving</t>
  </si>
  <si>
    <t>Xerox 204</t>
  </si>
  <si>
    <t>Novimex Swivel Fabric Task Chair</t>
  </si>
  <si>
    <t>Eldon Portable Mobile Manager</t>
  </si>
  <si>
    <t>Accessory35</t>
  </si>
  <si>
    <t>Microsoft Natural Multimedia Keyboard</t>
  </si>
  <si>
    <t>Xerox 23</t>
  </si>
  <si>
    <t>VTech VT20-2481 2.4GHz Two-Line Phone System w/Answering Machine</t>
  </si>
  <si>
    <t>Avery Hi-Liter® Smear-Safe Highlighters</t>
  </si>
  <si>
    <t>Eldon Expressions Mahogany Wood Desk Collection</t>
  </si>
  <si>
    <t>Atlantic Metals Mobile 3-Shelf Bookcases, Custom Colors</t>
  </si>
  <si>
    <t>Adams Phone Message Book, Professional, 400 Message Capacity, 5 3/6” x 11”</t>
  </si>
  <si>
    <t>Boston 16765 Mini Stand Up Battery Pencil Sharpener</t>
  </si>
  <si>
    <t>Zebra Zazzle Fluorescent Highlighters</t>
  </si>
  <si>
    <t>Dana Fluorescent Magnifying Lamp, White, 36"</t>
  </si>
  <si>
    <t>Holmes Cool Mist Humidifier for the Whole House with 8-Gallon Output per Day, Extended Life Filter</t>
  </si>
  <si>
    <t>Bagged Rubber Bands</t>
  </si>
  <si>
    <t>2300 Heavy-Duty Transfer File Systems by Perma</t>
  </si>
  <si>
    <t>Accessory41</t>
  </si>
  <si>
    <t>Xerox 1985</t>
  </si>
  <si>
    <t>Deflect-o SuperTray™ Unbreakable Stackable Tray, Letter, Black</t>
  </si>
  <si>
    <t>Carina 42"Hx23 3/4"W Media Storage Unit</t>
  </si>
  <si>
    <t>Xerox 224</t>
  </si>
  <si>
    <t>SAFCO PlanMaster Heigh-Adjustable Drafting Table Base, 43w x 30d x 30-37h, Black</t>
  </si>
  <si>
    <t>Xerox 231</t>
  </si>
  <si>
    <t>Eureka Sanitaire ® Multi-Pro Heavy-Duty Upright, Disposable Bags</t>
  </si>
  <si>
    <t>CF 688</t>
  </si>
  <si>
    <t>Staples Standard Envelopes</t>
  </si>
  <si>
    <t>Global Stack Chair without Arms, Black</t>
  </si>
  <si>
    <t>Metal Folding Chairs, Beige, 4/Carton</t>
  </si>
  <si>
    <t>232</t>
  </si>
  <si>
    <t>Document Clip Frames</t>
  </si>
  <si>
    <t>Newell 337</t>
  </si>
  <si>
    <t>OIC Thumb-Tacks</t>
  </si>
  <si>
    <t>DS/HD IBM Formatted Diskettes, 200/Pack - Staples</t>
  </si>
  <si>
    <t>Lexmark Z55se Color Inkjet Printer</t>
  </si>
  <si>
    <t>Round Specialty Laser Printer Labels</t>
  </si>
  <si>
    <t>Avery Hanging File Binders</t>
  </si>
  <si>
    <t>12 Colored Short Pencils</t>
  </si>
  <si>
    <t>Rediform Wirebound "Phone Memo" Message Book, 11 x 5-3/4</t>
  </si>
  <si>
    <t>Advantus 10-Drawer Portable Organizer, Chrome Metal Frame, Smoke Drawers</t>
  </si>
  <si>
    <t>Steel Personal Filing/Posting Tote</t>
  </si>
  <si>
    <t>O'Sullivan 3-Shelf Heavy-Duty Bookcases</t>
  </si>
  <si>
    <t>Fellowes Twister Kit, Gray/Clear, 3/pkg</t>
  </si>
  <si>
    <t>5180</t>
  </si>
  <si>
    <t>Advantus Push Pins</t>
  </si>
  <si>
    <t>Rush Hierlooms Collection 1" Thick Stackable Bookcases</t>
  </si>
  <si>
    <t>Adams Telephone Message Books, 5 1/4” x 11”</t>
  </si>
  <si>
    <t>Xerox 1983</t>
  </si>
  <si>
    <t>StarTAC 7760</t>
  </si>
  <si>
    <t>GBC Wire Binding Strips</t>
  </si>
  <si>
    <t>Eldon ClusterMat Chair Mat with Cordless Antistatic Protection</t>
  </si>
  <si>
    <t>Avery Trapezoid Ring Binder, 3" Capacity, Black, 1040 sheets</t>
  </si>
  <si>
    <t>Epson DFX5000+ Dot Matrix Printer</t>
  </si>
  <si>
    <t>Newell 320</t>
  </si>
  <si>
    <t>Self-Adhesive Address Labels for Typewriters by Universal</t>
  </si>
  <si>
    <t>Turquoise Lead Holder with Pocket Clip</t>
  </si>
  <si>
    <t>Panasonic KX-P1150 Dot Matrix Printer</t>
  </si>
  <si>
    <t>Global Commerce™ Series High-Back Swivel/Tilt Chairs</t>
  </si>
  <si>
    <t>Hoover Replacement Belt for Commercial Guardsman Heavy-Duty Upright Vacuum</t>
  </si>
  <si>
    <t>Companion Letter/Legal File, Black</t>
  </si>
  <si>
    <t>Gyration Ultra Professional Cordless Optical Suite</t>
  </si>
  <si>
    <t>Bretford CR8500 Series Meeting Room Furniture</t>
  </si>
  <si>
    <t>Fellowes Command Center 5-outlet power strip</t>
  </si>
  <si>
    <t>Verbatim DVD-RAM, 9.4GB, Rewritable, Type 1, DS, DataLife Plus</t>
  </si>
  <si>
    <t>Linden® 12" Wall Clock With Oak Frame</t>
  </si>
  <si>
    <t>Xerox 1893</t>
  </si>
  <si>
    <t>Self-Adhesive Removable Labels</t>
  </si>
  <si>
    <t>Chromcraft Bull-Nose Wood Oval Conference Tables &amp; Bases</t>
  </si>
  <si>
    <t>KF 788</t>
  </si>
  <si>
    <t>Heavy-Duty E-Z-D® Binders</t>
  </si>
  <si>
    <t>Boston 1645 Deluxe Heavier-Duty Electric Pencil Sharpener</t>
  </si>
  <si>
    <t>Xerox 213</t>
  </si>
  <si>
    <t>Jet-Pak Recycled Peel 'N' Seal Padded Mailers</t>
  </si>
  <si>
    <t>Personal Creations™ Ink Jet Cards and Labels</t>
  </si>
  <si>
    <t>Panasonic KX-P3626 Dot Matrix Printer</t>
  </si>
  <si>
    <t>Ibico Recycled Linen-Style Covers</t>
  </si>
  <si>
    <t>i500plus</t>
  </si>
  <si>
    <t>Imation 3.5" IBM-Formatted Diskettes, 10/Pack</t>
  </si>
  <si>
    <t>Keytronic French Keyboard</t>
  </si>
  <si>
    <t>Canon MP25DIII Desktop Whisper-Quiet Printing Calculator</t>
  </si>
  <si>
    <t>SANFORD Major Accent™ Highlighters</t>
  </si>
  <si>
    <t>Micro Innovations Micro Digital Wireless Keyboard and Mouse, Gray</t>
  </si>
  <si>
    <t>i2000</t>
  </si>
  <si>
    <t>US Robotics 56K V.92 External Faxmodem</t>
  </si>
  <si>
    <t>Fellowes Smart Design 104-Key Enhanced Keyboard, PS/2 Adapter, Platinum</t>
  </si>
  <si>
    <t>Avery 48</t>
  </si>
  <si>
    <t>Luxo Professional Fluorescent Magnifier Lamp with Clamp-Mount Base</t>
  </si>
  <si>
    <t>Electrix Halogen Magnifier Lamp</t>
  </si>
  <si>
    <t>Xerox 1923</t>
  </si>
  <si>
    <t>Wilson Jones Custom Binder Spines &amp; Labels</t>
  </si>
  <si>
    <t>Xerox 1883</t>
  </si>
  <si>
    <t>Accessory37</t>
  </si>
  <si>
    <t>Balt Split Level Computer Training Table</t>
  </si>
  <si>
    <t>Avery Flip-Chart Easel Binder, Black</t>
  </si>
  <si>
    <t>Seth Thomas 13 1/2" Wall Clock</t>
  </si>
  <si>
    <t>Xerox 1982</t>
  </si>
  <si>
    <t>Boston 16701 Slimline Battery Pencil Sharpener</t>
  </si>
  <si>
    <t>Global Leather &amp; Oak Executive Chair, Burgundy</t>
  </si>
  <si>
    <t>Fellowes Internet Keyboard, Platinum</t>
  </si>
  <si>
    <t>GBC Laser Imprintable Binding System Covers, Desert Sand</t>
  </si>
  <si>
    <t>Eldon® Gobal File Keepers</t>
  </si>
  <si>
    <t>Acme® Forged Steel Scissors with Black Enamel Handles</t>
  </si>
  <si>
    <t>Hon Olson Stacker Stools</t>
  </si>
  <si>
    <t>Westinghouse Clip-On Gooseneck Lamps</t>
  </si>
  <si>
    <t>Epson DFX-8500 Dot Matrix Printer</t>
  </si>
  <si>
    <t>Southworth 25% Cotton Premium Laser Paper and Envelopes</t>
  </si>
  <si>
    <t>Timeport L7089</t>
  </si>
  <si>
    <t>Angle-D Binders with Locking Rings, Label Holders</t>
  </si>
  <si>
    <t>Plymouth Boxed Rubber Bands by Plymouth</t>
  </si>
  <si>
    <t>Important Message Pads, 50 4-1/4 x 5-1/2 Forms per Pad</t>
  </si>
  <si>
    <t>Canon Imageclass D680 Copier / Fax</t>
  </si>
  <si>
    <t>HP Office Recycled Paper (20Lb. and 87 Bright)</t>
  </si>
  <si>
    <t>#10- 4 1/8" x 9 1/2" Security-Tint Envelopes</t>
  </si>
  <si>
    <t>Logitech Internet Navigator Keyboard</t>
  </si>
  <si>
    <t>Epson LQ-570e Dot Matrix Printer</t>
  </si>
  <si>
    <t>Hoover WindTunnel™ Plus Canister Vacuum</t>
  </si>
  <si>
    <t>Black Print Carbonless Snap-Off® Rapid Letter, 8 1/2" x 7"</t>
  </si>
  <si>
    <t>Staples #10 Laser &amp; Inkjet Envelopes, 4 1/8" x 9 1/2", 100/Box</t>
  </si>
  <si>
    <t>5125</t>
  </si>
  <si>
    <t>Global Leather Executive Chair</t>
  </si>
  <si>
    <t>Targus USB Numeric Keypad</t>
  </si>
  <si>
    <t>Accessory9</t>
  </si>
  <si>
    <t>Polycom ViewStation™ ISDN Videoconferencing Unit</t>
  </si>
  <si>
    <t>Harmony HEPA Quiet Air Purifiers</t>
  </si>
  <si>
    <t>Hewlett-Packard Deskjet 1220Cse Color Inkjet Printer</t>
  </si>
  <si>
    <t>Staples Plastic Wall Frames</t>
  </si>
  <si>
    <t>Ibico Laser Imprintable Binding System Covers</t>
  </si>
  <si>
    <t>Dixon Ticonderoga Core-Lock Colored Pencils, 48-Color Set</t>
  </si>
  <si>
    <t>Hon 4700 Series Mobuis™ Mid-Back Task Chairs with Adjustable Arms</t>
  </si>
  <si>
    <t>Avery 497</t>
  </si>
  <si>
    <t>Pressboard Covers with Storage Hooks, 9 1/2" x 11", Light Blue</t>
  </si>
  <si>
    <t>Canon imageCLASS 2200 Advanced Copier</t>
  </si>
  <si>
    <t>Verbatim DVD-RAM, 5.2GB, Rewritable, Type 1, DS</t>
  </si>
  <si>
    <t>Newell 312</t>
  </si>
  <si>
    <t>GBC VeloBinder Electric Binding Machine</t>
  </si>
  <si>
    <t>Polycom VoiceStation 100</t>
  </si>
  <si>
    <t>Phone 918</t>
  </si>
  <si>
    <t>Fellowes PB300 Plastic Comb Binding Machine</t>
  </si>
  <si>
    <t>Hewlett-Packard Deskjet 6122 Color Inkjet Printer</t>
  </si>
  <si>
    <t>G.E. Halogen Desk Lamp Bulbs</t>
  </si>
  <si>
    <t>Hayes Optima 56K V.90 Internal Voice Modem</t>
  </si>
  <si>
    <t>Avery Binder Labels</t>
  </si>
  <si>
    <t>Hon Every-Day® Chair Series Swivel Task Chairs</t>
  </si>
  <si>
    <t>IBM Multi-Purpose Copy Paper, 8 1/2 x 11", Case</t>
  </si>
  <si>
    <t>Bionaire Personal Warm Mist Humidifier/Vaporizer</t>
  </si>
  <si>
    <t>Sauder Forest Hills Library, Woodland Oak Finish</t>
  </si>
  <si>
    <t>Bush Advantage Collection® Round Conference Table</t>
  </si>
  <si>
    <t>Economy Binders</t>
  </si>
  <si>
    <t>Carina Double Wide Media Storage Towers in Natural &amp; Black</t>
  </si>
  <si>
    <t>Advantus Map Pennant Flags and Round Head Tacks</t>
  </si>
  <si>
    <t>Hewlett-Packard Deskjet 5550 Color Inkjet Printer</t>
  </si>
  <si>
    <t>Letter Slitter</t>
  </si>
  <si>
    <t>Colored Envelopes</t>
  </si>
  <si>
    <t>Xerox 1928</t>
  </si>
  <si>
    <t>Sharp EL500L Fraction Calculator</t>
  </si>
  <si>
    <t>Imation 3.5" DS/HD IBM Formatted Diskettes, 10/Pack</t>
  </si>
  <si>
    <t>Hand-Finished Solid Wood Document Frame</t>
  </si>
  <si>
    <t>Wilson Jones Ledger-Size, Piano-Hinge Binder, 2", Blue</t>
  </si>
  <si>
    <t>Safco Contoured Stacking Chairs</t>
  </si>
  <si>
    <t>Canon PC-428 Personal Copier</t>
  </si>
  <si>
    <t>Fellowes High-Stak® Drawer Files</t>
  </si>
  <si>
    <t>3390</t>
  </si>
  <si>
    <t>Avery 507</t>
  </si>
  <si>
    <t>Deflect-o Glass Clear Studded Chair Mats</t>
  </si>
  <si>
    <t>Acco Pressboard Covers with Storage Hooks, 14 7/8" x 11", Light Blue</t>
  </si>
  <si>
    <t>Accessory24</t>
  </si>
  <si>
    <t>Perma STOR-ALL™ Hanging File Box, 13 1/8"W x 12 1/4"D x 10 1/2"H</t>
  </si>
  <si>
    <t>Fluorescent Highlighters by Dixon</t>
  </si>
  <si>
    <t>IBM 80 Minute CD-R Spindle, 50/Pack</t>
  </si>
  <si>
    <t>Staples Metal Binder Clips</t>
  </si>
  <si>
    <t>Advantus Panel Wall Certificate Holder - 8.5x11</t>
  </si>
  <si>
    <t>LX 677</t>
  </si>
  <si>
    <t>Avery 491</t>
  </si>
  <si>
    <t>Avery White Multi-Purpose Labels</t>
  </si>
  <si>
    <t>Epson C62 Color Inkjet Printer</t>
  </si>
  <si>
    <t>Nu-Dell Leatherette Frames</t>
  </si>
  <si>
    <t>Xerox 1894</t>
  </si>
  <si>
    <t>Mead 1st Gear 2" Zipper Binder, Asst. Colors</t>
  </si>
  <si>
    <t>Advantus Push Pins, Aluminum Head</t>
  </si>
  <si>
    <t>Xerox 1947</t>
  </si>
  <si>
    <t>Presstex Flexible Ring Binders</t>
  </si>
  <si>
    <t>Acco Smartsocket® Color-Coded Six-Outlet AC Adapter Model Surge Protectors</t>
  </si>
  <si>
    <t>Eldon Pizzaz™ Desk Accessories</t>
  </si>
  <si>
    <t>X-Rack™ File for Hanging Folders</t>
  </si>
  <si>
    <t>Wirebound Message Forms, Four 2 3/4 x 5 Forms per Page, Pink Paper</t>
  </si>
  <si>
    <t>Recycled Eldon Regeneration Jumbo File</t>
  </si>
  <si>
    <t>g520</t>
  </si>
  <si>
    <t>Avery Hi-Liter® Fluorescent Desk Style Markers</t>
  </si>
  <si>
    <t>Maxell DVD-RAM Discs</t>
  </si>
  <si>
    <t>*Staples* Highlighting Markers</t>
  </si>
  <si>
    <t>#10- 4 1/8" x 9 1/2" Recycled Envelopes</t>
  </si>
  <si>
    <t>Global Leather and Oak Executive Chair, Black</t>
  </si>
  <si>
    <t>Tennsco Lockers, Sand</t>
  </si>
  <si>
    <t>Kensington 7 Outlet MasterPiece Power Center</t>
  </si>
  <si>
    <t>Howard Miller 13" Diameter Goldtone Round Wall Clock</t>
  </si>
  <si>
    <t>Lifetime Advantage™ Folding Chairs, 4/Carton</t>
  </si>
  <si>
    <t>GBC Binding covers</t>
  </si>
  <si>
    <t>Eldon Antistatic Chair Mats for Low to Medium Pile Carpets</t>
  </si>
  <si>
    <t>GBC DocuBind 200 Manual Binding Machine</t>
  </si>
  <si>
    <t>Fellowes Mighty 8 Compact Surge Protector</t>
  </si>
  <si>
    <t>Memorex Slim 80 Minute CD-R, 10/Pack</t>
  </si>
  <si>
    <t>Recycled Desk Saver Line "While You Were Out" Book, 5 1/2" X 4"</t>
  </si>
  <si>
    <t>Fellowes Staxonsteel® Drawer Files</t>
  </si>
  <si>
    <t>Ibico Covers for Plastic or Wire Binding Elements</t>
  </si>
  <si>
    <t>Hanging Personal Folder File</t>
  </si>
  <si>
    <t>Tennsco Double-Tier Lockers</t>
  </si>
  <si>
    <t>Peel &amp; Stick Add-On Corner Pockets</t>
  </si>
  <si>
    <t>Avery 487</t>
  </si>
  <si>
    <t>Quartet Omega® Colored Chalk, 12/Pack</t>
  </si>
  <si>
    <t>StarTAC 8000</t>
  </si>
  <si>
    <t>Avery Legal 4-Ring Binder</t>
  </si>
  <si>
    <t>Xerox 1888</t>
  </si>
  <si>
    <t>Boston School Pro Electric Pencil Sharpener, 1670</t>
  </si>
  <si>
    <t>GBC DocuBind 300 Electric Binding Machine</t>
  </si>
  <si>
    <t>Avery 508</t>
  </si>
  <si>
    <t>Canon Image Class D660 Copier</t>
  </si>
  <si>
    <t>Portfile® Personal File Boxes</t>
  </si>
  <si>
    <t>Bretford CR4500 Series Slim Rectangular Table</t>
  </si>
  <si>
    <t>Staples Premium Bright 1-Part Blank Computer Paper</t>
  </si>
  <si>
    <t>Staples Surge Protector 6 outlet</t>
  </si>
  <si>
    <t>Avery 482</t>
  </si>
  <si>
    <t>Euro Pro Shark Stick Mini Vacuum</t>
  </si>
  <si>
    <t>Hon GuestStacker Chair</t>
  </si>
  <si>
    <t>Staples 1 Part Blank Computer Paper</t>
  </si>
  <si>
    <t>Fellowes Basic 104-Key Keyboard, Platinum</t>
  </si>
  <si>
    <t>Eldon Expressions™ Desk Accessory, Wood Photo Frame, Mahogany</t>
  </si>
  <si>
    <t>Avery Durable Poly Binders</t>
  </si>
  <si>
    <t>DAX Solid Wood Frames</t>
  </si>
  <si>
    <t>Newell 329</t>
  </si>
  <si>
    <t>Stockwell Push Pins</t>
  </si>
  <si>
    <t>Avery Reinforcements for Hole-Punch Pages</t>
  </si>
  <si>
    <t>GBC Clear Cover, 8-1/2 x 11, unpunched, 25 covers per pack</t>
  </si>
  <si>
    <t>Acme® Preferred Stainless Steel Scissors</t>
  </si>
  <si>
    <t>TDK 4.7GB DVD-R Spindle, 15/Pack</t>
  </si>
  <si>
    <t>Martin-Yale Premier Letter Opener</t>
  </si>
  <si>
    <t>600 Series Non-Flip</t>
  </si>
  <si>
    <t>GBC Prepunched Paper, 19-Hole, for Binding Systems, 24-lb</t>
  </si>
  <si>
    <t>Xerox 1882</t>
  </si>
  <si>
    <t>Letter/Legal File Tote with Clear Snap-On Lid, Black Granite</t>
  </si>
  <si>
    <t>Hon 2111 Invitation™ Series Corner Table</t>
  </si>
  <si>
    <t>Trav-L-File Heavy-Duty Shuttle II, Black</t>
  </si>
  <si>
    <t>BOSTON® Ranger® #55 Pencil Sharpener, Black</t>
  </si>
  <si>
    <t>Hewlett-Packard Deskjet 3820 Color Inkjet Printer</t>
  </si>
  <si>
    <t>Newell 336</t>
  </si>
  <si>
    <t>3M Polarizing Task Lamp with Clamp Arm, Light Gray</t>
  </si>
  <si>
    <t>Eaton Premium Continuous-Feed Paper, 25% Cotton, Letter Size, White, 1000 Shts/Box</t>
  </si>
  <si>
    <t>Tenex Contemporary Contur Chairmats for Low and Medium Pile Carpet, Computer, 39" x 49"</t>
  </si>
  <si>
    <t>Belkin Premiere Surge Master II 8-outlet surge protector</t>
  </si>
  <si>
    <t>Sony MFD2HD Formatted Diskettes, 10/Pack</t>
  </si>
  <si>
    <t>Avery 485</t>
  </si>
  <si>
    <t>i270</t>
  </si>
  <si>
    <t>Telephone Message Books with Fax/Mobile Section, 4 1/4" x 6"</t>
  </si>
  <si>
    <t>Imation DVD-RAM discs</t>
  </si>
  <si>
    <t>Letter Size Cart</t>
  </si>
  <si>
    <t>GBC DocuBind TL200 Manual Binding Machine</t>
  </si>
  <si>
    <t>Staples Colored Interoffice Envelopes</t>
  </si>
  <si>
    <t>Electrix Fluorescent Magnifier Lamps &amp; Weighted Base</t>
  </si>
  <si>
    <t>Eldon® 200 Class™ Desk Accessories</t>
  </si>
  <si>
    <t>Staples Copy Paper (20Lb. and 84 Bright)</t>
  </si>
  <si>
    <t>Tennsco Industrial Shelving</t>
  </si>
  <si>
    <t>636</t>
  </si>
  <si>
    <t>Acme Design Line 8" Stainless Steel Bent Scissors w/Champagne Handles, 3-1/8" Cut</t>
  </si>
  <si>
    <t>#10 White Business Envelopes,4 1/8 x 9 1/2</t>
  </si>
  <si>
    <t>Fellowes Personal Hanging Folder Files, Navy</t>
  </si>
  <si>
    <t>Ibico Presentation Index for Binding Systems</t>
  </si>
  <si>
    <t>Xerox 207</t>
  </si>
  <si>
    <t>Avery Premier Heavy-Duty Binder with Round Locking Rings</t>
  </si>
  <si>
    <t>Hunt BOSTON® Vista® Battery-Operated Pencil Sharpener, Black</t>
  </si>
  <si>
    <t>TI 36X Solar Scientific Calculator</t>
  </si>
  <si>
    <t>Eldon Simplefile® Box Office®</t>
  </si>
  <si>
    <t>US Robotics 56K V.92 Internal PCI Faxmodem</t>
  </si>
  <si>
    <t>Super Decoflex Portable Personal File</t>
  </si>
  <si>
    <t>Xerox 197</t>
  </si>
  <si>
    <t>Advantus Employee of the Month Certificate Frame, 11 x 13-1/2</t>
  </si>
  <si>
    <t>Newell 308</t>
  </si>
  <si>
    <t>Xerox 1880</t>
  </si>
  <si>
    <t>Accessory28</t>
  </si>
  <si>
    <t>Avery 05222 Permanent Self-Adhesive File Folder Labels for Typewriters, on Rolls, White, 250/Roll</t>
  </si>
  <si>
    <t>Tenex Traditional Chairmats for Medium Pile Carpet, Standard Lip, 36" x 48"</t>
  </si>
  <si>
    <t>Accessory17</t>
  </si>
  <si>
    <t>AT&amp;T Black Trimline Phone, Model 210</t>
  </si>
  <si>
    <t>600 Series Flip</t>
  </si>
  <si>
    <t>8890</t>
  </si>
  <si>
    <t>12-1/2 Diameter Round Wall Clock</t>
  </si>
  <si>
    <t>Regeneration Desk Collection</t>
  </si>
  <si>
    <t>Avery Binding System Hidden Tab™ Executive Style Index Sets</t>
  </si>
  <si>
    <t>Master Caster Door Stop, Brown</t>
  </si>
  <si>
    <t>Newell 342</t>
  </si>
  <si>
    <t>Micro Innovations Media Access Pro Keyboard</t>
  </si>
  <si>
    <t>Lexmark Z54se Color Inkjet Printer</t>
  </si>
  <si>
    <t>Staples Battery-Operated Desktop Pencil Sharpener</t>
  </si>
  <si>
    <t>Xerox 1896</t>
  </si>
  <si>
    <t>3M Polarizing Light Filter Sleeves</t>
  </si>
  <si>
    <t>Gould Plastics 9-Pocket Panel Bin, 18-3/8w x 5-1/4d x 20-1/2h, Black</t>
  </si>
  <si>
    <t>Wirebound Message Books, Four 2 3/4" x 5" Forms per Page, 600 Sets per Book</t>
  </si>
  <si>
    <t>Newell 315</t>
  </si>
  <si>
    <t>Bush Westfield Collection Bookcases, Dark Cherry Finish, Fully Assembled</t>
  </si>
  <si>
    <t>Self-Adhesive Ring Binder Labels</t>
  </si>
  <si>
    <t>Tyvek® Side-Opening Peel &amp; Seel® Expanding Envelopes</t>
  </si>
  <si>
    <t>Xerox 1991</t>
  </si>
  <si>
    <t>Epson LQ-870 Dot Matrix Printer</t>
  </si>
  <si>
    <t>Space Solutions™ Industrial Galvanized Steel Shelving.</t>
  </si>
  <si>
    <t>Chromcraft 48" x 96" Racetrack Double Pedestal Table</t>
  </si>
  <si>
    <t>Quality Park Security Envelopes</t>
  </si>
  <si>
    <t>Ibico EB-19 Dual Function Manual Binding System</t>
  </si>
  <si>
    <t>TI 30X Scientific Calculator</t>
  </si>
  <si>
    <t>Executive Impressions 13-1/2" Indoor/Outdoor Wall Clock</t>
  </si>
  <si>
    <t>Executive Impressions 14" Contract Wall Clock</t>
  </si>
  <si>
    <t>Avery® 3 1/2" Diskette Storage Pages, 10/Pack</t>
  </si>
  <si>
    <t>Ibico EPK-21 Electric Binding System</t>
  </si>
  <si>
    <t>Office Star - Ergonomic Mid Back Chair with 2-Way Adjustable Arms</t>
  </si>
  <si>
    <t>Belkin F9M820V08 8 Outlet Surge</t>
  </si>
  <si>
    <t>Bravo II™ Megaboss® 12-Amp Hard Body Upright, Replacement Belts, 2 Belts per Pack</t>
  </si>
  <si>
    <t>Rubbermaid ClusterMat Chairmats, Mat Size- 66" x 60", Lip 20" x 11" -90 Degree Angle</t>
  </si>
  <si>
    <t>Honeywell Quietcare HEPA Air Cleaner</t>
  </si>
  <si>
    <t>Bush Advantage Collection® Racetrack Conference Table</t>
  </si>
  <si>
    <t>Xerox 1986</t>
  </si>
  <si>
    <t>Belkin ErgoBoard™ Keyboard</t>
  </si>
  <si>
    <t>Career Cubicle Clock, 8 1/4", Black</t>
  </si>
  <si>
    <t>Hammermill Color Copier Paper (28Lb. and 96 Bright)</t>
  </si>
  <si>
    <t>Kensington 6 Outlet Guardian Standard Surge Protector</t>
  </si>
  <si>
    <t>Eldon Jumbo ProFile™ Portable File Boxes Graphite/Black</t>
  </si>
  <si>
    <t>36X48 HARDFLOOR CHAIRMAT</t>
  </si>
  <si>
    <t>White Dual Perf Computer Printout Paper, 2700 Sheets, 1 Part, Heavyweight, 20 lbs., 14 7/8 x 11</t>
  </si>
  <si>
    <t>Sanford Pocket Accent® Highlighters</t>
  </si>
  <si>
    <t>Xerox 1938</t>
  </si>
  <si>
    <t>GBC Standard Therm-A-Bind Covers</t>
  </si>
  <si>
    <t>Xerox 1950</t>
  </si>
  <si>
    <t>Xerox 220</t>
  </si>
  <si>
    <t>O'Sullivan Living Dimensions 2-Shelf Bookcases</t>
  </si>
  <si>
    <t>Canon BP1200DH 12-Digit Bubble Jet Printing Calculator</t>
  </si>
  <si>
    <t>688</t>
  </si>
  <si>
    <t>Revere Boxed Rubber Bands by Revere</t>
  </si>
  <si>
    <t>Xerox 199</t>
  </si>
  <si>
    <t>Bretford Rectangular Conference Table Tops</t>
  </si>
  <si>
    <t>Newell 326</t>
  </si>
  <si>
    <t>Lumber Crayons</t>
  </si>
  <si>
    <t>Atlantic Metals Mobile 2-Shelf Bookcases, Custom Colors</t>
  </si>
  <si>
    <t>Imation 5.2GB DVD-RAM</t>
  </si>
  <si>
    <t>Avery 481</t>
  </si>
  <si>
    <t>Speediset Carbonless Redi-Letter® 7" x 8 1/2"</t>
  </si>
  <si>
    <t>Ultra Door Pull Handle</t>
  </si>
  <si>
    <t>Xerox 1920</t>
  </si>
  <si>
    <t>Binder Clips by OIC</t>
  </si>
  <si>
    <t>Fellowes Superior 10 Outlet Split Surge Protector</t>
  </si>
  <si>
    <t>Hewlett Packard LaserJet 3310 Copier</t>
  </si>
  <si>
    <t>Unpadded Memo Slips</t>
  </si>
  <si>
    <t>Ultra Commercial Grade Dual Valve Door Closer</t>
  </si>
  <si>
    <t>Xerox 1994</t>
  </si>
  <si>
    <t>Sanford Liquid Accent Highlighters</t>
  </si>
  <si>
    <t>*Staples* Packaging Labels</t>
  </si>
  <si>
    <t>Bevis Steel Folding Chairs</t>
  </si>
  <si>
    <t>Hon Pagoda™ Stacking Chairs</t>
  </si>
  <si>
    <t>StarTAC 6500</t>
  </si>
  <si>
    <t>Lexmark Z25 Color Inkjet Printer</t>
  </si>
  <si>
    <t>Xerox 1974</t>
  </si>
  <si>
    <t>Bush Mission Pointe Library</t>
  </si>
  <si>
    <t>SouthWestern Bell FA970 Digital Answering Machine with Time/Day Stamp</t>
  </si>
  <si>
    <t>Boston 16801 Nautilus™ Battery Pencil Sharpener</t>
  </si>
  <si>
    <t>Multi-Use Personal File Cart and Caster Set, Three Stacking Bins</t>
  </si>
  <si>
    <t>Hon Deluxe Fabric Upholstered Stacking Chairs, Rounded Back</t>
  </si>
  <si>
    <t>Binder Posts</t>
  </si>
  <si>
    <t>Eldon Cleatmat® Chair Mats for Medium Pile Carpets</t>
  </si>
  <si>
    <t>Xerox 1979</t>
  </si>
  <si>
    <t>Hon Non-Folding Utility Tables</t>
  </si>
  <si>
    <t>Acco PRESSTEX® Data Binder with Storage Hooks, Dark Blue, 9 1/2" X 11"</t>
  </si>
  <si>
    <t>Newell 339</t>
  </si>
  <si>
    <t>Brown Kraft Recycled Envelopes</t>
  </si>
  <si>
    <t>Stanley Bostitch Contemporary Electric Pencil Sharpeners</t>
  </si>
  <si>
    <t>282</t>
  </si>
  <si>
    <t>Fellowes Strictly Business® Drawer File, Letter/Legal Size</t>
  </si>
  <si>
    <t>Gyration Ultra Cordless Optical Suite</t>
  </si>
  <si>
    <t>Boston 1799 Powerhouse™ Electric Pencil Sharpener</t>
  </si>
  <si>
    <t>Tensor Computer Mounted Lamp</t>
  </si>
  <si>
    <t>3285</t>
  </si>
  <si>
    <t>Office Star Flex Back Scooter Chair with Aluminum Finish Frame</t>
  </si>
  <si>
    <t>Xerox 1917</t>
  </si>
  <si>
    <t>Tripp Lite Isotel 6 Outlet Surge Protector with Fax/Modem Protection</t>
  </si>
  <si>
    <t>Novimex Turbo Task Chair</t>
  </si>
  <si>
    <t>HP Office Paper (20Lb. and 87 Bright)</t>
  </si>
  <si>
    <t>Accessory15</t>
  </si>
  <si>
    <t>Kensington 7 Outlet MasterPiece Power Center with Fax/Phone Line Protection</t>
  </si>
  <si>
    <t>Acco Four Pocket Poly Ring Binder with Label Holder, Smoke, 1"</t>
  </si>
  <si>
    <t>Holmes Replacement Filter for HEPA Air Cleaner, Medium Room</t>
  </si>
  <si>
    <t>V70</t>
  </si>
  <si>
    <t>Acme Galleria® Hot Forged Steel Scissors with Colored Handles</t>
  </si>
  <si>
    <t>Belkin 325VA UPS Surge Protector, 6'</t>
  </si>
  <si>
    <t>Westinghouse Floor Lamp with Metal Mesh Shade, Black</t>
  </si>
  <si>
    <t>Desktop 3-Pocket Hot File®</t>
  </si>
  <si>
    <t>Holmes HEPA Air Purifier</t>
  </si>
  <si>
    <t>Logitech Cordless Navigator Duo</t>
  </si>
  <si>
    <t>Global Enterprise Series Seating High-Back Swivel/Tilt Chairs</t>
  </si>
  <si>
    <t>Bevis Round Conference Table Top &amp; Single Column Base</t>
  </si>
  <si>
    <t>Holmes Replacement Filter for HEPA Air Cleaner, Very Large Room, HEPA Filter</t>
  </si>
  <si>
    <t>Boston 1730 StandUp Electric Pencil Sharpener</t>
  </si>
  <si>
    <t>Newell 318</t>
  </si>
  <si>
    <t>Rubber Band Ball</t>
  </si>
  <si>
    <t>Wilson Jones DublLock® D-Ring Binders</t>
  </si>
  <si>
    <t>Global Leather Highback Executive Chair with Pneumatic Height Adjustment, Black</t>
  </si>
  <si>
    <t>T65</t>
  </si>
  <si>
    <t>Lesro Sheffield Collection Coffee Table, End Table, Center Table, Corner Table</t>
  </si>
  <si>
    <t>Post-it® “Important Message” Note Pad, Neon Colors, 50 Sheets/Pad</t>
  </si>
  <si>
    <t>DAX Cubicle Frames - 8x10</t>
  </si>
  <si>
    <t>Eldon Shelf Savers™ Cubes and Bins</t>
  </si>
  <si>
    <t>GBC Therma-A-Bind 250T Electric Binding System</t>
  </si>
  <si>
    <t>Imation Primaris 3.5" 2HD Unformatted Diskettes, 10/Pack</t>
  </si>
  <si>
    <t>Tyvek ® Top-Opening Peel &amp; Seel Envelopes, Plain White</t>
  </si>
  <si>
    <t>Xerox 216</t>
  </si>
  <si>
    <t>Fellowes Binding Cases</t>
  </si>
  <si>
    <t>Sanford EarthWrite® Recycled Pencils, Medium Soft, #2</t>
  </si>
  <si>
    <t>Canon PC1080F Personal Copier</t>
  </si>
  <si>
    <t>Holmes Harmony HEPA Air Purifier for 17 x 20 Room</t>
  </si>
  <si>
    <t>XtraLife® ClearVue™ Slant-D® Ring Binders by Cardinal</t>
  </si>
  <si>
    <t>Global Airflow Leather Mesh Back Chair, Black</t>
  </si>
  <si>
    <t>Logitech Cordless Elite Duo</t>
  </si>
  <si>
    <t>7160</t>
  </si>
  <si>
    <t>GBC Standard Plastic Binding Systems Combs</t>
  </si>
  <si>
    <t>Binney &amp; Smith inkTank™ Erasable Pocket Highlighter, Chisel Tip, Yellow</t>
  </si>
  <si>
    <t>Newell 31</t>
  </si>
  <si>
    <t>Deflect-o RollaMat Studded, Beveled Mat for Medium Pile Carpeting</t>
  </si>
  <si>
    <t>GBC Twin Loop™ Wire Binding Elements, 9/16" Spine, Black</t>
  </si>
  <si>
    <t>Xerox 227</t>
  </si>
  <si>
    <t>Peel-Off® China Markers</t>
  </si>
  <si>
    <t>Hon Rectangular Conference Tables</t>
  </si>
  <si>
    <t>GBC Standard Plastic Binding Systems' Combs</t>
  </si>
  <si>
    <t>Nu-Form 106-Key Ergonomic Keyboard w/ Touchpad</t>
  </si>
  <si>
    <t>Xerox 1989</t>
  </si>
  <si>
    <t>Fellowes Recycled Storage Drawers</t>
  </si>
  <si>
    <t>Boston Model 1800 Electric Pencil Sharpener, Gray</t>
  </si>
  <si>
    <t>TDK 4.7GB DVD-R</t>
  </si>
  <si>
    <t>Xerox 1984</t>
  </si>
  <si>
    <t>Xerox 1951</t>
  </si>
  <si>
    <t>Xerox 1905</t>
  </si>
  <si>
    <t>Artistic Insta-Plaque</t>
  </si>
  <si>
    <t>Accessory31</t>
  </si>
  <si>
    <t>Boston KS Multi-Size Manual Pencil Sharpener</t>
  </si>
  <si>
    <t>Dixon Ticonderoga® Erasable Colored Pencil Set, 12-Color</t>
  </si>
  <si>
    <t>GBC ProClick Spines for 32-Hole Punch</t>
  </si>
  <si>
    <t>Aluminum Document Frame</t>
  </si>
  <si>
    <t>DAX Copper Panel Document Frame, 5 x 7 Size</t>
  </si>
  <si>
    <t>Deflect-O® Glasstique™ Clear Desk Accessories</t>
  </si>
  <si>
    <t>Balt Solid Wood Rectangular Table</t>
  </si>
  <si>
    <t>Okidata ML520 Series Dot Matrix Printers</t>
  </si>
  <si>
    <t>TOPS Voice Message Log Book, Flash Format</t>
  </si>
  <si>
    <t>Xerox 20</t>
  </si>
  <si>
    <t>Acme Kleencut® Forged Steel Scissors</t>
  </si>
  <si>
    <t>Eureka The Boss® Cordless Rechargeable Stick Vac</t>
  </si>
  <si>
    <t>Security-Tint Envelopes</t>
  </si>
  <si>
    <t>6162</t>
  </si>
  <si>
    <t>Sanford 52201 APSCO Electric Pencil Sharpener</t>
  </si>
  <si>
    <t>Avery Trapezoid Extra Heavy Duty 4" Binders</t>
  </si>
  <si>
    <t>i1000</t>
  </si>
  <si>
    <t>Eldon Radial Chair Mat for Low to Medium Pile Carpets</t>
  </si>
  <si>
    <t>Global Leather Task Chair, Black</t>
  </si>
  <si>
    <t>Prang Colored Pencils</t>
  </si>
  <si>
    <t>SAFCO Commercial Wire Shelving, Black</t>
  </si>
  <si>
    <t>Kensington 6 Outlet MasterPiece® HOMEOFFICE Power Control Center</t>
  </si>
  <si>
    <t>Executive Impressions 8-1/2" Career Panel/Partition Cubicle Clock</t>
  </si>
  <si>
    <t>Xerox 1962</t>
  </si>
  <si>
    <t>Staples Vinyl Coated Paper Clips</t>
  </si>
  <si>
    <t>Model L Table or Wall-Mount Pencil Sharpener</t>
  </si>
  <si>
    <t>Deflect-o EconoMat Studded, No Bevel Mat for Low Pile Carpeting</t>
  </si>
  <si>
    <t>DAX Value U-Channel Document Frames, Easel Back</t>
  </si>
  <si>
    <t>GBC Plastic Binding Combs</t>
  </si>
  <si>
    <t>Avery 496</t>
  </si>
  <si>
    <t>Cardinal Holdit Business Card Pockets</t>
  </si>
  <si>
    <t>Hon Metal Bookcases, Black</t>
  </si>
  <si>
    <t>Tenex Personal Project File with Scoop Front Design, Black</t>
  </si>
  <si>
    <t>Avery 492</t>
  </si>
  <si>
    <t>Memo Book, 100 Message Capacity, 5 3/8” x 11”</t>
  </si>
  <si>
    <t>Imation Neon 80 Minute CD-R Spindle, 50/Pack</t>
  </si>
  <si>
    <t>Bush Cubix Collection Bookcases, Fully Assembled</t>
  </si>
  <si>
    <t>Eldon® Expressions™ Wood and Plastic Desk Accessories, Oak</t>
  </si>
  <si>
    <t>Acco Perma® 2700 Stacking Storage Drawers</t>
  </si>
  <si>
    <t>Dixon My First Ticonderoga Pencil, #2</t>
  </si>
  <si>
    <t>Prang Dustless Chalk Sticks</t>
  </si>
  <si>
    <t>Talkabout T8097</t>
  </si>
  <si>
    <t>Hewlett-Packard Business Color Inkjet 3000 [N, DTN] Series Printers</t>
  </si>
  <si>
    <t>Xerox 217</t>
  </si>
  <si>
    <t>Newell 346</t>
  </si>
  <si>
    <t>Wirebound Voice Message Log Book</t>
  </si>
  <si>
    <t>A1228</t>
  </si>
  <si>
    <t>Premier Elliptical Ring Binder, Black</t>
  </si>
  <si>
    <t>Bionaire 99.97% HEPA Air Cleaner</t>
  </si>
  <si>
    <t>Hewlett-Packard cp1700 [D, PS] Series Color Inkjet Printers</t>
  </si>
  <si>
    <t>Surelock™ Post Binders</t>
  </si>
  <si>
    <t>Accessory32</t>
  </si>
  <si>
    <t>Panasonic KP-310 Heavy-Duty Electric Pencil Sharpener</t>
  </si>
  <si>
    <t>GE 4 Foot Flourescent Tube, 40 Watt</t>
  </si>
  <si>
    <t>Xerox 1892</t>
  </si>
  <si>
    <t>Deflect-o DuraMat Antistatic Studded Beveled Mat for Medium Pile Carpeting</t>
  </si>
  <si>
    <t>Fellowes Bases and Tops For Staxonsteel®/High-Stak® Systems</t>
  </si>
  <si>
    <t>Chromcraft Bull-Nose Wood Round Conference Table Top, Wood Base</t>
  </si>
  <si>
    <t>Ibico Hi-Tech Manual Binding System</t>
  </si>
  <si>
    <t>V 3600 Series</t>
  </si>
  <si>
    <t>Avery 510</t>
  </si>
  <si>
    <t>Dana Swing-Arm Lamps</t>
  </si>
  <si>
    <t>Memorex 80 Minute CD-R Spindle, 100/Pack</t>
  </si>
  <si>
    <t>Xerox 1973</t>
  </si>
  <si>
    <t>Xerox 1997</t>
  </si>
  <si>
    <t>KI Conference Tables</t>
  </si>
  <si>
    <t>TOPS Money Receipt Book, Consecutively Numbered in Red,</t>
  </si>
  <si>
    <t>Avery Heavy-Duty EZD ™ Binder With Locking Rings</t>
  </si>
  <si>
    <t>Accessory21</t>
  </si>
  <si>
    <t>Iris Project Case</t>
  </si>
  <si>
    <t>Wirebound Service Call Books, 5 1/2" x 4"</t>
  </si>
  <si>
    <t>Iceberg OfficeWorks 42" Round Tables</t>
  </si>
  <si>
    <t>Microsoft Multimedia Keyboard</t>
  </si>
  <si>
    <t>Xerox 196</t>
  </si>
  <si>
    <t>Xerox 1930</t>
  </si>
  <si>
    <t>Xerox 1881</t>
  </si>
  <si>
    <t>Honeywell Enviracaire Portable HEPA Air Cleaner for 17' x 22' Room</t>
  </si>
  <si>
    <t>Xerox 1941</t>
  </si>
  <si>
    <t>4009® Highlighters by Sanford</t>
  </si>
  <si>
    <t>Hammermill CopyPlus Copy Paper (20Lb. and 84 Bright)</t>
  </si>
  <si>
    <t>Xerox 1906</t>
  </si>
  <si>
    <t>GBC White Gloss Covers, Plain Front</t>
  </si>
  <si>
    <t>Xerox 1995</t>
  </si>
  <si>
    <t>Sharp AL-1530CS Digital Copier</t>
  </si>
  <si>
    <t>Wirebound Four 2-3/4 x 5 Forms per Page, 400 Sets per Book</t>
  </si>
  <si>
    <t>Newell 307</t>
  </si>
  <si>
    <t>O'Sullivan Cherrywood Estates Traditional Barrister Bookcase</t>
  </si>
  <si>
    <t>Xerox 1932</t>
  </si>
  <si>
    <t>Quartet Alpha® White Chalk, 12/Pack</t>
  </si>
  <si>
    <t>Zoom V.92 V.44 PCI Internal Controllerless FaxModem</t>
  </si>
  <si>
    <t>Eureka Hand Vacuum, Bagless</t>
  </si>
  <si>
    <t>Kensington 6 Outlet SmartSocket Surge Protector</t>
  </si>
  <si>
    <t>Bevis Boat-Shaped Conference Table</t>
  </si>
  <si>
    <t>File Shuttle II and Handi-File, Black</t>
  </si>
  <si>
    <t>V3682</t>
  </si>
  <si>
    <t>GBC Recycled Grain Textured Covers</t>
  </si>
  <si>
    <t>Panasonic KP-350BK Electric Pencil Sharpener with Auto Stop</t>
  </si>
  <si>
    <t>Canon S750 Color Inkjet Printer</t>
  </si>
  <si>
    <t>Acco Smartsocket™ Table Surge Protector, 6 Color-Coded Adapter Outlets</t>
  </si>
  <si>
    <t>Assorted Color Push Pins</t>
  </si>
  <si>
    <t>Imation 3.5 IBM Diskettes, 10/Box</t>
  </si>
  <si>
    <t>300 Series Non-Flip</t>
  </si>
  <si>
    <t>Decoflex Hanging Personal Folder File</t>
  </si>
  <si>
    <t>"While you Were Out" Message Book, One Form per Page</t>
  </si>
  <si>
    <t>Hon 4070 Series Pagoda™ Round Back Stacking Chairs</t>
  </si>
  <si>
    <t>Bevis Rectangular Conference Tables</t>
  </si>
  <si>
    <t>Fiskars 8" Scissors, 2/Pack</t>
  </si>
  <si>
    <t>Fellowes Smart Surge Ten-Outlet Protector, Platinum</t>
  </si>
  <si>
    <t>Gyration RF Keyboard</t>
  </si>
  <si>
    <t>Southworth Structures Collection™</t>
  </si>
  <si>
    <t>Micro Innovations 104 Keyboard</t>
  </si>
  <si>
    <t>Xerox 1961</t>
  </si>
  <si>
    <t>Novimex Fabric Task Chair</t>
  </si>
  <si>
    <t>1.7 Cubic Foot Compact "Cube" Office Refrigerators</t>
  </si>
  <si>
    <t>Verbatim DVD-R, 3.95GB, SR, Mitsubishi Branded, Jewel</t>
  </si>
  <si>
    <t>Large Capacity Hanging Post Binders</t>
  </si>
  <si>
    <t>Imation 3.5" DS/HD IBM Formatted Diskettes, 50/Pack</t>
  </si>
  <si>
    <t>Xerox 1916</t>
  </si>
  <si>
    <t>Imation 3.5" DS-HD Macintosh Formatted Diskettes, 10/Pack</t>
  </si>
  <si>
    <t>Wilson Jones Elliptical Ring 3 1/2" Capacity Binders, 800 sheets</t>
  </si>
  <si>
    <t>Canon PC940 Copier</t>
  </si>
  <si>
    <t>Fellowes Officeware™ Wire Shelving</t>
  </si>
  <si>
    <t>Xerox 19</t>
  </si>
  <si>
    <t>Rogers® Profile Extra Capacity Storage Tub</t>
  </si>
  <si>
    <t>G.E. Longer-Life Indoor Recessed Floodlight Bulbs</t>
  </si>
  <si>
    <t>DIXON Ticonderoga® Erasable Checking Pencils</t>
  </si>
  <si>
    <t>Hon Comfortask® Task/Swivel Chairs</t>
  </si>
  <si>
    <t>i1000plus</t>
  </si>
  <si>
    <t>GBC VeloBinder Strips</t>
  </si>
  <si>
    <t>2190</t>
  </si>
  <si>
    <t>Row Labels</t>
  </si>
  <si>
    <t>Grand Total</t>
  </si>
  <si>
    <t>Sum of TotalPrice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</si>
  <si>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</si>
  <si>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</si>
  <si>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</si>
  <si>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</si>
  <si>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</si>
  <si>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</si>
  <si>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</si>
  <si>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</si>
  <si>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</si>
  <si>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</si>
  <si>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</si>
  <si>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</si>
  <si>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Average of UnitPrice</t>
  </si>
  <si>
    <t>Column Labels</t>
  </si>
  <si>
    <t>Sum of Quantity</t>
  </si>
  <si>
    <t xml:space="preserve"> find the Unit Price of a given Product Name.</t>
  </si>
  <si>
    <t xml:space="preserve"> find the Discount% for a specific Order ID.</t>
  </si>
  <si>
    <t>find the Customer Name for a given Order ID.</t>
  </si>
  <si>
    <r>
      <t xml:space="preserve"> Find the </t>
    </r>
    <r>
      <rPr>
        <b/>
        <sz val="11"/>
        <color theme="1"/>
        <rFont val="Calibri"/>
        <family val="2"/>
        <scheme val="minor"/>
      </rPr>
      <t>highest Total Price order</t>
    </r>
    <r>
      <rPr>
        <sz val="11"/>
        <color theme="1"/>
        <rFont val="Calibri"/>
        <family val="2"/>
        <scheme val="minor"/>
      </rPr>
      <t xml:space="preserve"> and retrieve its Customer Name.</t>
    </r>
  </si>
  <si>
    <r>
      <t xml:space="preserve">Use a formula to return the </t>
    </r>
    <r>
      <rPr>
        <b/>
        <sz val="11"/>
        <color theme="1"/>
        <rFont val="Calibri"/>
        <family val="2"/>
        <scheme val="minor"/>
      </rPr>
      <t>Category with the maximum sales</t>
    </r>
    <r>
      <rPr>
        <sz val="11"/>
        <color theme="1"/>
        <rFont val="Calibri"/>
        <family val="2"/>
        <scheme val="minor"/>
      </rPr>
      <t>.</t>
    </r>
  </si>
  <si>
    <r>
      <t xml:space="preserve">Find the </t>
    </r>
    <r>
      <rPr>
        <b/>
        <sz val="11"/>
        <color theme="1"/>
        <rFont val="Calibri"/>
        <family val="2"/>
        <scheme val="minor"/>
      </rPr>
      <t>average Total Price</t>
    </r>
    <r>
      <rPr>
        <sz val="11"/>
        <color theme="1"/>
        <rFont val="Calibri"/>
        <family val="2"/>
        <scheme val="minor"/>
      </rPr>
      <t xml:space="preserve"> for a given Category entered in a cell.</t>
    </r>
  </si>
  <si>
    <t>Formula to return the Payment Method for a specific Product Name.</t>
  </si>
  <si>
    <r>
      <t xml:space="preserve">1. </t>
    </r>
    <r>
      <rPr>
        <b/>
        <sz val="11"/>
        <color theme="1"/>
        <rFont val="Calibri"/>
        <family val="2"/>
        <scheme val="minor"/>
      </rPr>
      <t>total sales per Region</t>
    </r>
    <r>
      <rPr>
        <sz val="11"/>
        <color theme="1"/>
        <rFont val="Calibri"/>
        <family val="2"/>
        <scheme val="minor"/>
      </rPr>
      <t>.</t>
    </r>
  </si>
  <si>
    <r>
      <t xml:space="preserve">2.  </t>
    </r>
    <r>
      <rPr>
        <b/>
        <sz val="11"/>
        <color theme="1"/>
        <rFont val="Calibri"/>
        <family val="2"/>
        <scheme val="minor"/>
      </rPr>
      <t>monthly sales trend</t>
    </r>
    <r>
      <rPr>
        <sz val="11"/>
        <color theme="1"/>
        <rFont val="Calibri"/>
        <family val="2"/>
        <scheme val="minor"/>
      </rPr>
      <t>.</t>
    </r>
  </si>
  <si>
    <r>
      <t>3.</t>
    </r>
    <r>
      <rPr>
        <b/>
        <sz val="11"/>
        <color theme="1"/>
        <rFont val="Calibri"/>
        <family val="2"/>
        <scheme val="minor"/>
      </rPr>
      <t>percentage sales by Category</t>
    </r>
    <r>
      <rPr>
        <sz val="11"/>
        <color theme="1"/>
        <rFont val="Calibri"/>
        <family val="2"/>
        <scheme val="minor"/>
      </rPr>
      <t>.</t>
    </r>
  </si>
  <si>
    <r>
      <t xml:space="preserve">4.  </t>
    </r>
    <r>
      <rPr>
        <b/>
        <sz val="11"/>
        <color theme="1"/>
        <rFont val="Calibri"/>
        <family val="2"/>
        <scheme val="minor"/>
      </rPr>
      <t>average Unit Price by Category</t>
    </r>
    <r>
      <rPr>
        <sz val="11"/>
        <color theme="1"/>
        <rFont val="Calibri"/>
        <family val="2"/>
        <scheme val="minor"/>
      </rPr>
      <t>.</t>
    </r>
  </si>
  <si>
    <r>
      <t>5.</t>
    </r>
    <r>
      <rPr>
        <b/>
        <sz val="11"/>
        <color theme="1"/>
        <rFont val="Calibri"/>
        <family val="2"/>
        <scheme val="minor"/>
      </rPr>
      <t>sales by Category and Region</t>
    </r>
  </si>
  <si>
    <r>
      <t xml:space="preserve">7. </t>
    </r>
    <r>
      <rPr>
        <b/>
        <sz val="11"/>
        <color theme="1"/>
        <rFont val="Calibri"/>
        <family val="2"/>
        <scheme val="minor"/>
      </rPr>
      <t xml:space="preserve">Quantity </t>
    </r>
    <r>
      <rPr>
        <sz val="11"/>
        <color theme="1"/>
        <rFont val="Calibri"/>
        <family val="2"/>
        <scheme val="minor"/>
      </rPr>
      <t xml:space="preserve">and </t>
    </r>
    <r>
      <rPr>
        <b/>
        <sz val="11"/>
        <color theme="1"/>
        <rFont val="Calibri"/>
        <family val="2"/>
        <scheme val="minor"/>
      </rPr>
      <t xml:space="preserve">Total Sales </t>
    </r>
    <r>
      <rPr>
        <sz val="11"/>
        <color theme="1"/>
        <rFont val="Calibri"/>
        <family val="2"/>
        <scheme val="minor"/>
      </rPr>
      <t xml:space="preserve"> by month.</t>
    </r>
  </si>
  <si>
    <t>8. Quantity vs. Total Price.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</si>
</sst>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8F6F3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1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pivotButton="1"/>
    <xf numFmtId="0" fontId="0" fillId="33" borderId="0" xfId="0" applyFill="1"/>
    <xf numFmtId="0" fontId="19" fillId="0" borderId="0" xfId="0" applyFont="1"/>
    <xf numFmtId="0" fontId="0" fillId="0" borderId="0" xfId="0" applyAlignment="1">
      <alignment horizontal="left" vertical="center"/>
    </xf>
    <xf numFmtId="0" fontId="0" fillId="33" borderId="0" xfId="0" applyFill="1" applyAlignment="1">
      <alignment horizontal="left" vertical="center"/>
    </xf>
    <xf numFmtId="0" fontId="0" fillId="33" borderId="0" xfId="0" applyFill="1" applyAlignment="1">
      <alignment horizontal="right" vertical="center"/>
    </xf>
    <xf numFmtId="0" fontId="0" fillId="34" borderId="0" xfId="0" applyFill="1"/>
    <xf numFmtId="0" fontId="0" fillId="33" borderId="0" xfId="0" applyFill="1" applyAlignment="1">
      <alignment vertical="center"/>
    </xf>
    <xf numFmtId="0" fontId="0" fillId="33" borderId="0" xfId="0" applyFill="1" applyAlignment="1">
      <alignment horizontal="center"/>
    </xf>
    <xf numFmtId="0" fontId="18" fillId="33" borderId="0" xfId="0" applyFont="1" applyFill="1" applyAlignment="1">
      <alignment horizontal="left" vertical="center"/>
    </xf>
    <xf numFmtId="0" fontId="0" fillId="33" borderId="0" xfId="0" applyFill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E8F6F3"/>
      <color rgb="FF7A47FB"/>
      <color rgb="FF5C1FF5"/>
      <color rgb="FF4906F0"/>
      <color rgb="FF8353FB"/>
      <color rgb="FF682DFB"/>
      <color rgb="FF510EFA"/>
      <color rgb="FFB7BEF5"/>
      <color rgb="FF2A79BA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1/relationships/timelineCache" Target="timelineCaches/timelineCach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[Superstore Dashboard.xlsx]pivot!PivotTable1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900" b="0" i="0" u="none" strike="noStrike" kern="1200" baseline="0">
                <a:solidFill>
                  <a:srgbClr val="E8F6F3"/>
                </a:solidFill>
                <a:latin typeface="+mn-lt"/>
                <a:ea typeface="+mn-ea"/>
                <a:cs typeface="+mn-cs"/>
              </a:defRPr>
            </a:pPr>
            <a:r>
              <a:rPr lang="en-IN" sz="900">
                <a:solidFill>
                  <a:srgbClr val="E8F6F3"/>
                </a:solidFill>
              </a:rPr>
              <a:t>Total sales per Region</a:t>
            </a:r>
          </a:p>
        </c:rich>
      </c:tx>
      <c:layout>
        <c:manualLayout>
          <c:xMode val="edge"/>
          <c:yMode val="edge"/>
          <c:x val="0.34385577696834579"/>
          <c:y val="9.8236542902201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900" b="0" i="0" u="none" strike="noStrike" kern="1200" baseline="0">
              <a:solidFill>
                <a:srgbClr val="E8F6F3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rgbClr val="E8F6F3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682804169833414E-2"/>
          <c:y val="0.13762974989685056"/>
          <c:w val="0.81324249109285207"/>
          <c:h val="0.591937356378170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pivot!$D$4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rgbClr val="E8F6F3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pivot!$C$5:$C$9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pivot!$D$5:$D$9</c:f>
              <c:numCache>
                <c:formatCode>General</c:formatCode>
                <c:ptCount val="4"/>
                <c:pt idx="0">
                  <c:v>2372290.0399999986</c:v>
                </c:pt>
                <c:pt idx="1">
                  <c:v>2313587.9800000004</c:v>
                </c:pt>
                <c:pt idx="2">
                  <c:v>2155331.1599999997</c:v>
                </c:pt>
                <c:pt idx="3">
                  <c:v>2450888.0999999992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0E-4E8C-9803-8DF581D680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50534911"/>
        <c:axId val="1350538271"/>
      </c:barChart>
      <c:catAx>
        <c:axId val="13505349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E8F6F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538271"/>
        <c:crosses val="autoZero"/>
        <c:auto val="1"/>
        <c:lblAlgn val="ctr"/>
        <c:lblOffset val="100"/>
        <c:noMultiLvlLbl val="0"/>
      </c:catAx>
      <c:valAx>
        <c:axId val="135053827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35053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848094846920819"/>
          <c:y val="0.50639781699405595"/>
          <c:w val="0.14151905153079164"/>
          <c:h val="0.142744177237227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rgbClr val="E8F6F3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accent1">
            <a:lumMod val="75000"/>
          </a:schemeClr>
        </a:gs>
        <a:gs pos="100000">
          <a:schemeClr val="accent1">
            <a:lumMod val="97000"/>
            <a:lumOff val="3000"/>
          </a:schemeClr>
        </a:gs>
        <a:gs pos="100000">
          <a:schemeClr val="accent1">
            <a:lumMod val="60000"/>
            <a:lumOff val="40000"/>
          </a:schemeClr>
        </a:gs>
      </a:gsLst>
      <a:lin ang="16200000" scaled="1"/>
      <a:tileRect/>
    </a:gradFill>
    <a:ln w="9525" cap="rnd" cmpd="sng" algn="ctr">
      <a:gradFill>
        <a:gsLst>
          <a:gs pos="0">
            <a:schemeClr val="accent1">
              <a:lumMod val="5000"/>
              <a:lumOff val="95000"/>
            </a:schemeClr>
          </a:gs>
          <a:gs pos="63000">
            <a:schemeClr val="accent1">
              <a:lumMod val="45000"/>
              <a:lumOff val="55000"/>
            </a:schemeClr>
          </a:gs>
          <a:gs pos="81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bevel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lang="en-US" sz="900" b="0" i="0" u="none" strike="noStrike" kern="1200" baseline="0">
          <a:solidFill>
            <a:srgbClr val="E8F6F3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Dashboard.xlsx]pivot!PivotTable2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100" b="0" i="0" u="none" strike="noStrike" kern="1200" spc="0" baseline="0">
                <a:solidFill>
                  <a:srgbClr val="E8F6F3"/>
                </a:solidFill>
                <a:latin typeface="+mn-lt"/>
                <a:ea typeface="+mn-ea"/>
                <a:cs typeface="+mn-cs"/>
              </a:defRPr>
            </a:pPr>
            <a:r>
              <a:rPr lang="en-IN" sz="1100"/>
              <a:t>Monthly sales trend</a:t>
            </a:r>
          </a:p>
        </c:rich>
      </c:tx>
      <c:layout>
        <c:manualLayout>
          <c:xMode val="edge"/>
          <c:yMode val="edge"/>
          <c:x val="0.39320509842512735"/>
          <c:y val="0.10083471274302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100" b="0" i="0" u="none" strike="noStrike" kern="1200" spc="0" baseline="0">
              <a:solidFill>
                <a:srgbClr val="E8F6F3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E8F6F3"/>
            </a:solidFill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rgbClr val="E8F6F3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E8F6F3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E8F6F3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E8F6F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E8F6F3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E8F6F3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E8F6F3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E8F6F3"/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E8F6F3"/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E8F6F3"/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E8F6F3"/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E8F6F3"/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E8F6F3"/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</c:pivotFmts>
    <c:plotArea>
      <c:layout/>
      <c:lineChart>
        <c:grouping val="standard"/>
        <c:varyColors val="1"/>
        <c:ser>
          <c:idx val="0"/>
          <c:order val="0"/>
          <c:tx>
            <c:strRef>
              <c:f>pivot!$D$14</c:f>
              <c:strCache>
                <c:ptCount val="1"/>
                <c:pt idx="0">
                  <c:v>Total</c:v>
                </c:pt>
              </c:strCache>
            </c:strRef>
          </c:tx>
          <c:marker>
            <c:symbol val="circle"/>
            <c:size val="5"/>
            <c:spPr>
              <a:solidFill>
                <a:srgbClr val="E8F6F3"/>
              </a:solidFill>
            </c:spPr>
          </c:marker>
          <c:dPt>
            <c:idx val="0"/>
            <c:marker>
              <c:symbol val="circle"/>
              <c:size val="5"/>
              <c:spPr>
                <a:solidFill>
                  <a:srgbClr val="E8F6F3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1FD-41BA-8D33-58D78CFAE184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E8F6F3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1FD-41BA-8D33-58D78CFAE184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E8F6F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1FD-41BA-8D33-58D78CFAE184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E8F6F3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61FD-41BA-8D33-58D78CFAE184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rgbClr val="E8F6F3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61FD-41BA-8D33-58D78CFAE184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rgbClr val="E8F6F3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61FD-41BA-8D33-58D78CFAE184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rgbClr val="E8F6F3"/>
                </a:solidFill>
                <a:ln w="9525">
                  <a:solidFill>
                    <a:schemeClr val="accent1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61FD-41BA-8D33-58D78CFAE184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rgbClr val="E8F6F3"/>
                </a:solidFill>
                <a:ln w="9525">
                  <a:solidFill>
                    <a:schemeClr val="accent2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61FD-41BA-8D33-58D78CFAE184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rgbClr val="E8F6F3"/>
                </a:solidFill>
                <a:ln w="9525">
                  <a:solidFill>
                    <a:schemeClr val="accent3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61FD-41BA-8D33-58D78CFAE184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rgbClr val="E8F6F3"/>
                </a:solidFill>
                <a:ln w="9525">
                  <a:solidFill>
                    <a:schemeClr val="accent4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61FD-41BA-8D33-58D78CFAE184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rgbClr val="E8F6F3"/>
                </a:solidFill>
                <a:ln w="9525">
                  <a:solidFill>
                    <a:schemeClr val="accent5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61FD-41BA-8D33-58D78CFAE184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rgbClr val="E8F6F3"/>
                </a:solidFill>
                <a:ln w="9525">
                  <a:solidFill>
                    <a:schemeClr val="accent6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61FD-41BA-8D33-58D78CFAE184}"/>
              </c:ext>
            </c:extLst>
          </c:dPt>
          <c:cat>
            <c:strRef>
              <c:f>pivot!$C$15:$C$27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pivot!$D$15:$D$27</c:f>
              <c:numCache>
                <c:formatCode>General</c:formatCode>
                <c:ptCount val="12"/>
                <c:pt idx="0">
                  <c:v>722671.23000000021</c:v>
                </c:pt>
                <c:pt idx="1">
                  <c:v>755897.05000000028</c:v>
                </c:pt>
                <c:pt idx="2">
                  <c:v>947472.12000000023</c:v>
                </c:pt>
                <c:pt idx="3">
                  <c:v>714778.48</c:v>
                </c:pt>
                <c:pt idx="4">
                  <c:v>630726.5</c:v>
                </c:pt>
                <c:pt idx="5">
                  <c:v>842943.81000000029</c:v>
                </c:pt>
                <c:pt idx="6">
                  <c:v>876677.46999999962</c:v>
                </c:pt>
                <c:pt idx="7">
                  <c:v>563205.91000000015</c:v>
                </c:pt>
                <c:pt idx="8">
                  <c:v>650226.25</c:v>
                </c:pt>
                <c:pt idx="9">
                  <c:v>879162.36000000068</c:v>
                </c:pt>
                <c:pt idx="10">
                  <c:v>768933.22000000044</c:v>
                </c:pt>
                <c:pt idx="11">
                  <c:v>736944.89999999967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2F-4137-8F89-C05486463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0516671"/>
        <c:axId val="1350517151"/>
      </c:lineChart>
      <c:catAx>
        <c:axId val="13505166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E8F6F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517151"/>
        <c:crosses val="autoZero"/>
        <c:auto val="1"/>
        <c:lblAlgn val="ctr"/>
        <c:lblOffset val="100"/>
        <c:noMultiLvlLbl val="0"/>
      </c:catAx>
      <c:valAx>
        <c:axId val="135051715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E8F6F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516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683231266372009"/>
          <c:y val="0.33527594458858961"/>
          <c:w val="0.19098584800703933"/>
          <c:h val="0.490718435916757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rgbClr val="E8F6F3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accent1">
            <a:lumMod val="75000"/>
          </a:schemeClr>
        </a:gs>
        <a:gs pos="100000">
          <a:schemeClr val="accent1">
            <a:lumMod val="97000"/>
            <a:lumOff val="3000"/>
          </a:schemeClr>
        </a:gs>
        <a:gs pos="100000">
          <a:schemeClr val="accent1">
            <a:lumMod val="60000"/>
            <a:lumOff val="40000"/>
          </a:schemeClr>
        </a:gs>
      </a:gsLst>
      <a:lin ang="16200000" scaled="1"/>
      <a:tileRect/>
    </a:gradFill>
    <a:ln w="9525" cap="flat" cmpd="sng" algn="ctr">
      <a:noFill/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lang="en-US" sz="900" b="0" i="0" u="none" strike="noStrike" kern="1200" baseline="0">
          <a:solidFill>
            <a:srgbClr val="E8F6F3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Dashboard.xlsx]pivot!PivotTable3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100" b="0" i="0" u="none" strike="noStrike" kern="1200" baseline="0">
                <a:solidFill>
                  <a:srgbClr val="E8F6F3"/>
                </a:solidFill>
                <a:latin typeface="+mn-lt"/>
                <a:ea typeface="+mn-ea"/>
                <a:cs typeface="+mn-cs"/>
              </a:defRPr>
            </a:pPr>
            <a:r>
              <a:rPr lang="en-IN" sz="1100"/>
              <a:t>Percentage sales by Category</a:t>
            </a:r>
          </a:p>
        </c:rich>
      </c:tx>
      <c:layout>
        <c:manualLayout>
          <c:xMode val="edge"/>
          <c:yMode val="edge"/>
          <c:x val="0.11609672746600389"/>
          <c:y val="0.191389452073349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100" b="0" i="0" u="none" strike="noStrike" kern="1200" baseline="0">
              <a:solidFill>
                <a:srgbClr val="E8F6F3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-5.555544619422572E-2"/>
              <c:y val="-0.16550925925925927"/>
            </c:manualLayout>
          </c:layout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0208333333333332"/>
                  <c:h val="0.13194444444444445"/>
                </c:manualLayout>
              </c15:layout>
            </c:ext>
          </c:extLst>
        </c:dLbl>
      </c:pivotFmt>
      <c:pivotFmt>
        <c:idx val="4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layout>
            <c:manualLayout>
              <c:x val="-5.555544619422572E-2"/>
              <c:y val="-0.16550925925925927"/>
            </c:manualLayout>
          </c:layout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0208333333333332"/>
                  <c:h val="0.13194444444444445"/>
                </c:manualLayout>
              </c15:layout>
            </c:ext>
          </c:extLst>
        </c:dLbl>
      </c:pivotFmt>
      <c:pivotFmt>
        <c:idx val="7"/>
        <c:dLbl>
          <c:idx val="0"/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1"/>
            </a:solidFill>
          </a:ln>
          <a:effectLst/>
          <a:scene3d>
            <a:camera prst="orthographicFront"/>
            <a:lightRig rig="threePt" dir="t"/>
          </a:scene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rgbClr val="E8F6F3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1"/>
            </a:solidFill>
          </a:ln>
          <a:effectLst/>
          <a:scene3d>
            <a:camera prst="orthographicFront"/>
            <a:lightRig rig="threePt" dir="t"/>
          </a:scene3d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1"/>
            </a:solidFill>
          </a:ln>
          <a:effectLst/>
          <a:scene3d>
            <a:camera prst="orthographicFront"/>
            <a:lightRig rig="threePt" dir="t"/>
          </a:scene3d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1"/>
            </a:solidFill>
          </a:ln>
          <a:effectLst/>
          <a:scene3d>
            <a:camera prst="orthographicFront"/>
            <a:lightRig rig="threePt" dir="t"/>
          </a:scene3d>
        </c:spPr>
      </c:pivotFmt>
    </c:pivotFmts>
    <c:plotArea>
      <c:layout>
        <c:manualLayout>
          <c:layoutTarget val="inner"/>
          <c:xMode val="edge"/>
          <c:yMode val="edge"/>
          <c:x val="0.14742899730543937"/>
          <c:y val="0.34644559297929167"/>
          <c:w val="0.36143338783086498"/>
          <c:h val="0.54772301039462579"/>
        </c:manualLayout>
      </c:layout>
      <c:pieChart>
        <c:varyColors val="1"/>
        <c:ser>
          <c:idx val="0"/>
          <c:order val="0"/>
          <c:tx>
            <c:strRef>
              <c:f>pivot!$D$32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tx1"/>
              </a:solidFill>
            </a:ln>
            <a:scene3d>
              <a:camera prst="orthographicFront"/>
              <a:lightRig rig="threePt" dir="t"/>
            </a:scene3d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1-CD24-47D8-9E91-30220BA44D2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3-CD24-47D8-9E91-30220BA44D2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5-CD24-47D8-9E91-30220BA44D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rgbClr val="E8F6F3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pivot!$C$33:$C$36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pivot!$D$33:$D$36</c:f>
              <c:numCache>
                <c:formatCode>General</c:formatCode>
                <c:ptCount val="3"/>
                <c:pt idx="0">
                  <c:v>1876715.1799999995</c:v>
                </c:pt>
                <c:pt idx="1">
                  <c:v>5085856.8199999975</c:v>
                </c:pt>
                <c:pt idx="2">
                  <c:v>2329525.2799999993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D24-47D8-9E91-30220BA44D2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892711490908133"/>
          <c:y val="6.7446824323460761E-2"/>
          <c:w val="0.27781716479974217"/>
          <c:h val="0.382701215211534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rgbClr val="E8F6F3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accent1">
            <a:lumMod val="75000"/>
          </a:schemeClr>
        </a:gs>
        <a:gs pos="100000">
          <a:schemeClr val="accent1">
            <a:lumMod val="67000"/>
          </a:schemeClr>
        </a:gs>
        <a:gs pos="100000">
          <a:schemeClr val="accent1">
            <a:lumMod val="97000"/>
            <a:lumOff val="3000"/>
          </a:schemeClr>
        </a:gs>
        <a:gs pos="100000">
          <a:schemeClr val="accent1">
            <a:lumMod val="60000"/>
            <a:lumOff val="40000"/>
          </a:schemeClr>
        </a:gs>
      </a:gsLst>
      <a:lin ang="16200000" scaled="1"/>
      <a:tileRect/>
    </a:gradFill>
    <a:ln w="9525" cap="flat" cmpd="sng" algn="ctr">
      <a:solidFill>
        <a:schemeClr val="tx2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lang="en-US" sz="900" b="0" i="0" u="none" strike="noStrike" kern="1200" baseline="0">
          <a:solidFill>
            <a:srgbClr val="E8F6F3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100" b="0" i="0" u="none" strike="noStrike" kern="1200" baseline="0">
                <a:solidFill>
                  <a:srgbClr val="E8F6F3"/>
                </a:solidFill>
                <a:latin typeface="+mn-lt"/>
                <a:ea typeface="+mn-ea"/>
                <a:cs typeface="+mn-cs"/>
              </a:defRPr>
            </a:pPr>
            <a:r>
              <a:rPr lang="en-IN" sz="1100"/>
              <a:t>Unit Price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100" b="0" i="0" u="none" strike="noStrike" kern="1200" baseline="0">
              <a:solidFill>
                <a:srgbClr val="E8F6F3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8F6F3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rgbClr val="E8F6F3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E8F6F3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3"/>
              <c:pt idx="0">
                <c:v>Furniture</c:v>
              </c:pt>
              <c:pt idx="1">
                <c:v>Office Supplies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1052.2517073170732</c:v>
              </c:pt>
              <c:pt idx="1">
                <c:v>1034.976147540983</c:v>
              </c:pt>
              <c:pt idx="2">
                <c:v>1057.6971138211386</c:v>
              </c:pt>
            </c:numLit>
          </c:val>
          <c:extLst>
            <c:ext xmlns:c16="http://schemas.microsoft.com/office/drawing/2014/chart" uri="{C3380CC4-5D6E-409C-BE32-E72D297353CC}">
              <c16:uniqueId val="{00000000-4636-4B5D-957C-94F10FDF81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259409279"/>
        <c:axId val="1259410239"/>
      </c:barChart>
      <c:catAx>
        <c:axId val="1259409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E8F6F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410239"/>
        <c:crosses val="autoZero"/>
        <c:auto val="1"/>
        <c:lblAlgn val="ctr"/>
        <c:lblOffset val="100"/>
        <c:noMultiLvlLbl val="0"/>
      </c:catAx>
      <c:valAx>
        <c:axId val="125941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E8F6F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409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rgbClr val="E8F6F3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accent1">
            <a:lumMod val="75000"/>
          </a:schemeClr>
        </a:gs>
        <a:gs pos="100000">
          <a:schemeClr val="accent1">
            <a:lumMod val="97000"/>
            <a:lumOff val="3000"/>
          </a:schemeClr>
        </a:gs>
        <a:gs pos="100000">
          <a:schemeClr val="accent1">
            <a:lumMod val="60000"/>
            <a:lumOff val="40000"/>
          </a:schemeClr>
        </a:gs>
      </a:gsLst>
      <a:lin ang="162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lang="en-US" sz="900" b="0" i="0" u="none" strike="noStrike" kern="1200" baseline="0">
          <a:solidFill>
            <a:srgbClr val="E8F6F3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Dashboard.xlsx]pivot!PivotTable5</c:name>
    <c:fmtId val="17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38031496062992"/>
          <c:y val="0.14249781277340332"/>
          <c:w val="0.7041135170603674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pivot!$D$54:$D$55</c:f>
              <c:strCache>
                <c:ptCount val="1"/>
                <c:pt idx="0">
                  <c:v>East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pivot!$C$56:$C$59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pivot!$D$56:$D$59</c:f>
              <c:numCache>
                <c:formatCode>General</c:formatCode>
                <c:ptCount val="3"/>
                <c:pt idx="0">
                  <c:v>430809.64000000013</c:v>
                </c:pt>
                <c:pt idx="1">
                  <c:v>1358230.6300000011</c:v>
                </c:pt>
                <c:pt idx="2">
                  <c:v>583249.77000000025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08-4B1D-A529-E951990D83B3}"/>
            </c:ext>
          </c:extLst>
        </c:ser>
        <c:ser>
          <c:idx val="1"/>
          <c:order val="1"/>
          <c:tx>
            <c:strRef>
              <c:f>pivot!$E$54:$E$55</c:f>
              <c:strCache>
                <c:ptCount val="1"/>
                <c:pt idx="0">
                  <c:v>North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pivot!$C$56:$C$59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pivot!$E$56:$E$59</c:f>
              <c:numCache>
                <c:formatCode>General</c:formatCode>
                <c:ptCount val="3"/>
                <c:pt idx="0">
                  <c:v>476560.7800000002</c:v>
                </c:pt>
                <c:pt idx="1">
                  <c:v>1315523.5599999996</c:v>
                </c:pt>
                <c:pt idx="2">
                  <c:v>521503.64000000007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08-4B1D-A529-E951990D83B3}"/>
            </c:ext>
          </c:extLst>
        </c:ser>
        <c:ser>
          <c:idx val="2"/>
          <c:order val="2"/>
          <c:tx>
            <c:strRef>
              <c:f>pivot!$F$54:$F$55</c:f>
              <c:strCache>
                <c:ptCount val="1"/>
                <c:pt idx="0">
                  <c:v>South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pivot!$C$56:$C$59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pivot!$F$56:$F$59</c:f>
              <c:numCache>
                <c:formatCode>General</c:formatCode>
                <c:ptCount val="3"/>
                <c:pt idx="0">
                  <c:v>462967.62</c:v>
                </c:pt>
                <c:pt idx="1">
                  <c:v>1085924.8700000001</c:v>
                </c:pt>
                <c:pt idx="2">
                  <c:v>606438.67000000027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08-4B1D-A529-E951990D83B3}"/>
            </c:ext>
          </c:extLst>
        </c:ser>
        <c:ser>
          <c:idx val="3"/>
          <c:order val="3"/>
          <c:tx>
            <c:strRef>
              <c:f>pivot!$G$54:$G$55</c:f>
              <c:strCache>
                <c:ptCount val="1"/>
                <c:pt idx="0">
                  <c:v>West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pivot!$C$56:$C$59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pivot!$G$56:$G$59</c:f>
              <c:numCache>
                <c:formatCode>General</c:formatCode>
                <c:ptCount val="3"/>
                <c:pt idx="0">
                  <c:v>506377.14</c:v>
                </c:pt>
                <c:pt idx="1">
                  <c:v>1326177.7599999993</c:v>
                </c:pt>
                <c:pt idx="2">
                  <c:v>618333.20000000019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08-4B1D-A529-E951990D8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50523871"/>
        <c:axId val="1350520031"/>
      </c:barChart>
      <c:catAx>
        <c:axId val="1350523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520031"/>
        <c:crosses val="autoZero"/>
        <c:auto val="1"/>
        <c:lblAlgn val="ctr"/>
        <c:lblOffset val="100"/>
        <c:noMultiLvlLbl val="0"/>
      </c:catAx>
      <c:valAx>
        <c:axId val="135052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523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471264367816088"/>
          <c:y val="6.0766987459900855E-2"/>
          <c:w val="0.16569767441860464"/>
          <c:h val="0.434021164021164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accent1">
            <a:lumMod val="75000"/>
          </a:schemeClr>
        </a:gs>
        <a:gs pos="100000">
          <a:schemeClr val="accent1">
            <a:lumMod val="97000"/>
            <a:lumOff val="3000"/>
          </a:schemeClr>
        </a:gs>
        <a:gs pos="100000">
          <a:schemeClr val="accent1">
            <a:lumMod val="60000"/>
            <a:lumOff val="40000"/>
          </a:schemeClr>
        </a:gs>
      </a:gsLst>
      <a:lin ang="162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Dashboard.xlsx]pivot!PivotTable9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E8F6F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rgbClr val="E8F6F3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rgbClr val="E8F6F3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pivot!$D$65</c:f>
              <c:strCache>
                <c:ptCount val="1"/>
                <c:pt idx="0">
                  <c:v>Sum of TotalPrice</c:v>
                </c:pt>
              </c:strCache>
            </c:strRef>
          </c:tx>
          <c:spPr>
            <a:solidFill>
              <a:srgbClr val="E8F6F3"/>
            </a:solidFill>
            <a:ln>
              <a:noFill/>
            </a:ln>
            <a:effectLst/>
          </c:spPr>
          <c:invertIfNegative val="0"/>
          <c:cat>
            <c:strRef>
              <c:f>pivot!$C$66:$C$78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pivot!$D$66:$D$78</c:f>
              <c:numCache>
                <c:formatCode>General</c:formatCode>
                <c:ptCount val="12"/>
                <c:pt idx="0">
                  <c:v>722671.23000000021</c:v>
                </c:pt>
                <c:pt idx="1">
                  <c:v>755897.05000000028</c:v>
                </c:pt>
                <c:pt idx="2">
                  <c:v>947472.12000000023</c:v>
                </c:pt>
                <c:pt idx="3">
                  <c:v>714778.4800000001</c:v>
                </c:pt>
                <c:pt idx="4">
                  <c:v>630726.50000000012</c:v>
                </c:pt>
                <c:pt idx="5">
                  <c:v>842943.81000000041</c:v>
                </c:pt>
                <c:pt idx="6">
                  <c:v>876677.46999999974</c:v>
                </c:pt>
                <c:pt idx="7">
                  <c:v>765663.8899999999</c:v>
                </c:pt>
                <c:pt idx="8">
                  <c:v>650226.24999999988</c:v>
                </c:pt>
                <c:pt idx="9">
                  <c:v>879162.36000000045</c:v>
                </c:pt>
                <c:pt idx="10">
                  <c:v>768933.22000000044</c:v>
                </c:pt>
                <c:pt idx="11">
                  <c:v>736944.89999999967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EF-44B6-947B-A3CFA1CEC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6572351"/>
        <c:axId val="1846556031"/>
      </c:barChart>
      <c:lineChart>
        <c:grouping val="standard"/>
        <c:varyColors val="0"/>
        <c:ser>
          <c:idx val="1"/>
          <c:order val="1"/>
          <c:tx>
            <c:strRef>
              <c:f>pivot!$E$65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pivot!$C$66:$C$78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pivot!$E$66:$E$78</c:f>
              <c:numCache>
                <c:formatCode>General</c:formatCode>
                <c:ptCount val="12"/>
                <c:pt idx="0">
                  <c:v>843</c:v>
                </c:pt>
                <c:pt idx="1">
                  <c:v>779</c:v>
                </c:pt>
                <c:pt idx="2">
                  <c:v>961</c:v>
                </c:pt>
                <c:pt idx="3">
                  <c:v>780</c:v>
                </c:pt>
                <c:pt idx="4">
                  <c:v>668</c:v>
                </c:pt>
                <c:pt idx="5">
                  <c:v>870</c:v>
                </c:pt>
                <c:pt idx="6">
                  <c:v>952</c:v>
                </c:pt>
                <c:pt idx="7">
                  <c:v>796</c:v>
                </c:pt>
                <c:pt idx="8">
                  <c:v>633</c:v>
                </c:pt>
                <c:pt idx="9">
                  <c:v>966</c:v>
                </c:pt>
                <c:pt idx="10">
                  <c:v>829</c:v>
                </c:pt>
                <c:pt idx="11">
                  <c:v>776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EF-44B6-947B-A3CFA1CEC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6574751"/>
        <c:axId val="1846574271"/>
      </c:lineChart>
      <c:catAx>
        <c:axId val="18465723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E8F6F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556031"/>
        <c:crosses val="autoZero"/>
        <c:auto val="1"/>
        <c:lblAlgn val="ctr"/>
        <c:lblOffset val="100"/>
        <c:noMultiLvlLbl val="0"/>
      </c:catAx>
      <c:valAx>
        <c:axId val="184655603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E8F6F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572351"/>
        <c:crosses val="autoZero"/>
        <c:crossBetween val="between"/>
      </c:valAx>
      <c:valAx>
        <c:axId val="184657427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E8F6F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574751"/>
        <c:crosses val="max"/>
        <c:crossBetween val="between"/>
      </c:valAx>
      <c:catAx>
        <c:axId val="1846574751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E8F6F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574271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4.3125304287475269E-2"/>
          <c:y val="0.14715578961846018"/>
          <c:w val="0.84797150315423098"/>
          <c:h val="0.179265326742935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rgbClr val="E8F6F3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95000">
          <a:schemeClr val="accent1">
            <a:lumMod val="75000"/>
          </a:schemeClr>
        </a:gs>
        <a:gs pos="100000">
          <a:schemeClr val="accent1">
            <a:lumMod val="97000"/>
            <a:lumOff val="3000"/>
          </a:schemeClr>
        </a:gs>
        <a:gs pos="100000">
          <a:schemeClr val="accent1">
            <a:lumMod val="60000"/>
            <a:lumOff val="40000"/>
          </a:schemeClr>
        </a:gs>
      </a:gsLst>
      <a:lin ang="162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lang="en-US" sz="900" b="0" i="0" u="none" strike="noStrike" kern="1200" baseline="0">
          <a:solidFill>
            <a:srgbClr val="E8F6F3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rgbClr val="E8F6F3"/>
                </a:solidFill>
                <a:latin typeface="+mn-lt"/>
                <a:ea typeface="+mn-ea"/>
                <a:cs typeface="+mn-cs"/>
              </a:defRPr>
            </a:pPr>
            <a:r>
              <a:rPr lang="en-IN" sz="1200"/>
              <a:t>Quantity</a:t>
            </a:r>
            <a:r>
              <a:rPr lang="en-IN" sz="1200" baseline="0"/>
              <a:t> vs Unit Price</a:t>
            </a:r>
            <a:endParaRPr lang="en-IN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E8F6F3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gradFill>
                <a:gsLst>
                  <a:gs pos="100000">
                    <a:srgbClr val="002060"/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  <c:marker>
            <c:symbol val="diamond"/>
            <c:size val="8"/>
            <c:spPr>
              <a:solidFill>
                <a:srgbClr val="E8F6F3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pivot!$G$85:$G$93</c:f>
              <c:numCache>
                <c:formatCode>General</c:formatCode>
                <c:ptCount val="9"/>
              </c:numCache>
            </c:numRef>
          </c:xVal>
          <c:yVal>
            <c:numRef>
              <c:f>pivot!$H$85:$H$93</c:f>
              <c:numCache>
                <c:formatCode>General</c:formatCode>
                <c:ptCount val="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D6-48D9-A22D-338BA1F68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466127"/>
        <c:axId val="533463727"/>
      </c:scatterChart>
      <c:valAx>
        <c:axId val="533466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E8F6F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463727"/>
        <c:crosses val="autoZero"/>
        <c:crossBetween val="midCat"/>
      </c:valAx>
      <c:valAx>
        <c:axId val="53346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E8F6F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466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rgbClr val="E8F6F3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Unit Price Distribution</cx:v>
        </cx:txData>
      </cx:tx>
      <cx:spPr>
        <a:noFill/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rgbClr val="E8F6F3"/>
              </a:solidFill>
            </a:defRPr>
          </a:pPr>
          <a:r>
            <a:rPr lang="en-US" sz="1400" b="0" i="0" u="none" strike="noStrike" baseline="0">
              <a:solidFill>
                <a:srgbClr val="E8F6F3"/>
              </a:solidFill>
              <a:latin typeface="Calibri" panose="020F0502020204030204"/>
            </a:rPr>
            <a:t>Unit Price Distribution</a:t>
          </a:r>
        </a:p>
      </cx:txPr>
    </cx:title>
    <cx:plotArea>
      <cx:plotAreaRegion>
        <cx:plotSurface>
          <cx:spPr>
            <a:effectLst>
              <a:outerShdw blurRad="50800" dist="50800" dir="5400000" algn="ctr" rotWithShape="0">
                <a:srgbClr val="E8F6F3"/>
              </a:outerShdw>
            </a:effectLst>
          </cx:spPr>
        </cx:plotSurface>
        <cx:series layoutId="clusteredColumn" uniqueId="{00000000-096D-4BB5-94A5-773DA6252013}">
          <cx:tx>
            <cx:txData>
              <cx:f>_xlchart.v1.0</cx:f>
              <cx:v>UnitPrice</cx:v>
            </cx:txData>
          </cx:tx>
          <cx:spPr>
            <a:solidFill>
              <a:srgbClr val="E8F6F3"/>
            </a:solidFill>
          </cx:spPr>
          <cx:dataId val="0"/>
          <cx:layoutPr>
            <cx:binning intervalClosed="r">
              <cx:binCount val="8"/>
            </cx:binning>
          </cx:layoutPr>
        </cx:series>
      </cx:plotAreaRegion>
      <cx:axis id="0">
        <cx:catScaling gapWidth="0.100000001"/>
        <cx:tickLabels/>
        <cx:txPr>
          <a:bodyPr vertOverflow="overflow" horzOverflow="overflow" wrap="square" lIns="0" tIns="0" rIns="0" bIns="0"/>
          <a:lstStyle/>
          <a:p>
            <a:pPr algn="ctr" rtl="0">
              <a:defRPr lang="en-US" sz="900" b="0" i="0" u="none" strike="noStrike" kern="1200" baseline="0">
                <a:solidFill>
                  <a:srgbClr val="E8F6F3"/>
                </a:solidFill>
                <a:latin typeface="+mn-lt"/>
                <a:ea typeface="+mn-ea"/>
                <a:cs typeface="+mn-cs"/>
              </a:defRPr>
            </a:pPr>
            <a:endParaRPr lang="en-US" sz="900" b="0" i="0" u="none" strike="noStrike" kern="1200" baseline="0">
              <a:solidFill>
                <a:srgbClr val="E8F6F3"/>
              </a:solidFill>
              <a:latin typeface="+mn-lt"/>
              <a:ea typeface="+mn-ea"/>
              <a:cs typeface="+mn-cs"/>
            </a:endParaRPr>
          </a:p>
        </cx:txPr>
      </cx:axis>
      <cx:axis id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lang="en-US" sz="900" b="0" i="0" u="none" strike="noStrike" kern="1200" baseline="0">
                <a:solidFill>
                  <a:srgbClr val="E8F6F3"/>
                </a:solidFill>
                <a:latin typeface="+mn-lt"/>
                <a:ea typeface="+mn-ea"/>
                <a:cs typeface="+mn-cs"/>
              </a:defRPr>
            </a:pPr>
            <a:endParaRPr lang="en-US" sz="900" b="0" i="0" u="none" strike="noStrike" kern="1200" baseline="0">
              <a:solidFill>
                <a:srgbClr val="E8F6F3"/>
              </a:solidFill>
              <a:latin typeface="+mn-lt"/>
              <a:ea typeface="+mn-ea"/>
              <a:cs typeface="+mn-cs"/>
            </a:endParaRPr>
          </a:p>
        </cx:txPr>
      </cx:axis>
    </cx:plotArea>
  </cx:chart>
  <cx:spPr>
    <a:gradFill flip="none" rotWithShape="1">
      <a:gsLst>
        <a:gs pos="100000">
          <a:schemeClr val="accent1">
            <a:lumMod val="75000"/>
          </a:schemeClr>
        </a:gs>
        <a:gs pos="100000">
          <a:schemeClr val="accent1">
            <a:lumMod val="97000"/>
            <a:lumOff val="3000"/>
          </a:schemeClr>
        </a:gs>
        <a:gs pos="100000">
          <a:schemeClr val="accent1">
            <a:lumMod val="60000"/>
            <a:lumOff val="40000"/>
          </a:schemeClr>
        </a:gs>
      </a:gsLst>
      <a:lin ang="16200000" scaled="1"/>
      <a:tileRect/>
    </a:gradFill>
    <a:ln>
      <a:noFill/>
    </a:ln>
    <a:effectLst>
      <a:outerShdw blurRad="50800" dist="38100" dir="5400000" algn="t" rotWithShape="0">
        <a:prstClr val="black">
          <a:alpha val="40000"/>
        </a:prstClr>
      </a:outerShdw>
    </a:effectLst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0</xdr:row>
      <xdr:rowOff>76201</xdr:rowOff>
    </xdr:from>
    <xdr:to>
      <xdr:col>11</xdr:col>
      <xdr:colOff>161925</xdr:colOff>
      <xdr:row>3</xdr:row>
      <xdr:rowOff>114301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0AE4326-4712-53C0-F9E9-39D35F0802CC}"/>
            </a:ext>
          </a:extLst>
        </xdr:cNvPr>
        <xdr:cNvSpPr/>
      </xdr:nvSpPr>
      <xdr:spPr>
        <a:xfrm>
          <a:off x="619124" y="76201"/>
          <a:ext cx="6248401" cy="609600"/>
        </a:xfrm>
        <a:prstGeom prst="roundRect">
          <a:avLst>
            <a:gd name="adj" fmla="val 28975"/>
          </a:avLst>
        </a:prstGeom>
        <a:gradFill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800"/>
            <a:t>Introduction Of SuperStore Data Analysis</a:t>
          </a:r>
        </a:p>
      </xdr:txBody>
    </xdr:sp>
    <xdr:clientData/>
  </xdr:twoCellAnchor>
  <xdr:twoCellAnchor>
    <xdr:from>
      <xdr:col>2</xdr:col>
      <xdr:colOff>574277</xdr:colOff>
      <xdr:row>4</xdr:row>
      <xdr:rowOff>92868</xdr:rowOff>
    </xdr:from>
    <xdr:to>
      <xdr:col>13</xdr:col>
      <xdr:colOff>138906</xdr:colOff>
      <xdr:row>12</xdr:row>
      <xdr:rowOff>138906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62C5C5B-50A6-5C4C-4964-D188EEFB46D1}"/>
            </a:ext>
          </a:extLst>
        </xdr:cNvPr>
        <xdr:cNvSpPr/>
      </xdr:nvSpPr>
      <xdr:spPr>
        <a:xfrm>
          <a:off x="1784746" y="846931"/>
          <a:ext cx="6222207" cy="1554163"/>
        </a:xfrm>
        <a:prstGeom prst="roundRect">
          <a:avLst>
            <a:gd name="adj" fmla="val 17090"/>
          </a:avLst>
        </a:prstGeom>
        <a:gradFill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1800">
              <a:solidFill>
                <a:schemeClr val="lt1"/>
              </a:solidFill>
              <a:latin typeface="+mn-lt"/>
              <a:ea typeface="+mn-ea"/>
              <a:cs typeface="+mn-cs"/>
            </a:rPr>
            <a:t>This project analyzes Superstore sales data and presents insights through an interactive dashboard. It helps in understanding sales trends, top categories, customer behavior, and overall business performance for better decision-making.</a:t>
          </a:r>
        </a:p>
      </xdr:txBody>
    </xdr:sp>
    <xdr:clientData/>
  </xdr:twoCellAnchor>
  <xdr:twoCellAnchor>
    <xdr:from>
      <xdr:col>1</xdr:col>
      <xdr:colOff>78581</xdr:colOff>
      <xdr:row>13</xdr:row>
      <xdr:rowOff>187722</xdr:rowOff>
    </xdr:from>
    <xdr:to>
      <xdr:col>4</xdr:col>
      <xdr:colOff>575468</xdr:colOff>
      <xdr:row>17</xdr:row>
      <xdr:rowOff>37306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3DD6DE68-0576-409A-8F86-33B15E76DBF6}"/>
            </a:ext>
          </a:extLst>
        </xdr:cNvPr>
        <xdr:cNvSpPr/>
      </xdr:nvSpPr>
      <xdr:spPr>
        <a:xfrm>
          <a:off x="683815" y="2638425"/>
          <a:ext cx="2312591" cy="603647"/>
        </a:xfrm>
        <a:prstGeom prst="roundRect">
          <a:avLst>
            <a:gd name="adj" fmla="val 28975"/>
          </a:avLst>
        </a:prstGeom>
        <a:gradFill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2800">
              <a:solidFill>
                <a:schemeClr val="lt1"/>
              </a:solidFill>
              <a:latin typeface="+mn-lt"/>
              <a:ea typeface="+mn-ea"/>
              <a:cs typeface="+mn-cs"/>
            </a:rPr>
            <a:t>Case-Study : </a:t>
          </a:r>
        </a:p>
      </xdr:txBody>
    </xdr:sp>
    <xdr:clientData/>
  </xdr:twoCellAnchor>
  <xdr:twoCellAnchor>
    <xdr:from>
      <xdr:col>2</xdr:col>
      <xdr:colOff>297656</xdr:colOff>
      <xdr:row>17</xdr:row>
      <xdr:rowOff>128985</xdr:rowOff>
    </xdr:from>
    <xdr:to>
      <xdr:col>13</xdr:col>
      <xdr:colOff>525859</xdr:colOff>
      <xdr:row>43</xdr:row>
      <xdr:rowOff>19845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3C63C9C-8904-4B08-A486-AF8C0D4A08E3}"/>
            </a:ext>
          </a:extLst>
        </xdr:cNvPr>
        <xdr:cNvSpPr/>
      </xdr:nvSpPr>
      <xdr:spPr>
        <a:xfrm>
          <a:off x="1508125" y="3333751"/>
          <a:ext cx="6885781" cy="4792266"/>
        </a:xfrm>
        <a:prstGeom prst="roundRect">
          <a:avLst>
            <a:gd name="adj" fmla="val 10924"/>
          </a:avLst>
        </a:prstGeom>
        <a:gradFill flip="none" rotWithShape="1">
          <a:gsLst>
            <a:gs pos="21120">
              <a:srgbClr val="385EA2"/>
            </a:gs>
            <a:gs pos="0">
              <a:schemeClr val="accent1">
                <a:lumMod val="67000"/>
              </a:schemeClr>
            </a:gs>
            <a:gs pos="100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27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CHARTS</a:t>
          </a:r>
          <a:r>
            <a:rPr lang="en-IN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AND VISUALIZATION</a:t>
          </a:r>
          <a:endParaRPr lang="en-IN" sz="2400">
            <a:solidFill>
              <a:schemeClr val="lt1"/>
            </a:solidFill>
            <a:latin typeface="+mn-lt"/>
            <a:ea typeface="+mn-ea"/>
            <a:cs typeface="+mn-cs"/>
          </a:endParaRPr>
        </a:p>
        <a:p>
          <a:pPr marL="0" lvl="0" indent="0" algn="l"/>
          <a:r>
            <a:rPr lang="en-IN" sz="1600">
              <a:solidFill>
                <a:schemeClr val="lt1"/>
              </a:solidFill>
              <a:latin typeface="+mn-lt"/>
              <a:ea typeface="+mn-ea"/>
              <a:cs typeface="+mn-cs"/>
            </a:rPr>
            <a:t>Show</a:t>
          </a:r>
          <a:r>
            <a:rPr lang="en-IN" sz="1600" baseline="0">
              <a:solidFill>
                <a:schemeClr val="lt1"/>
              </a:solidFill>
              <a:latin typeface="+mn-lt"/>
              <a:ea typeface="+mn-ea"/>
              <a:cs typeface="+mn-cs"/>
            </a:rPr>
            <a:t> </a:t>
          </a:r>
          <a:r>
            <a:rPr lang="en-IN" sz="1600" b="1">
              <a:solidFill>
                <a:schemeClr val="lt1"/>
              </a:solidFill>
              <a:latin typeface="+mn-lt"/>
              <a:ea typeface="+mn-ea"/>
              <a:cs typeface="+mn-cs"/>
            </a:rPr>
            <a:t>Total sales per Region</a:t>
          </a:r>
        </a:p>
        <a:p>
          <a:pPr marL="0" lvl="0" indent="0" algn="l"/>
          <a:r>
            <a:rPr lang="en-IN" sz="1600">
              <a:solidFill>
                <a:schemeClr val="lt1"/>
              </a:solidFill>
              <a:latin typeface="+mn-lt"/>
              <a:ea typeface="+mn-ea"/>
              <a:cs typeface="+mn-cs"/>
            </a:rPr>
            <a:t>Show </a:t>
          </a:r>
          <a:r>
            <a:rPr lang="en-IN" sz="1600" b="1">
              <a:solidFill>
                <a:schemeClr val="lt1"/>
              </a:solidFill>
              <a:latin typeface="+mn-lt"/>
              <a:ea typeface="+mn-ea"/>
              <a:cs typeface="+mn-cs"/>
            </a:rPr>
            <a:t>Monthly sales trend</a:t>
          </a:r>
        </a:p>
        <a:p>
          <a:pPr marL="0" lvl="0" indent="0" algn="l"/>
          <a:r>
            <a:rPr lang="en-IN" sz="1600">
              <a:solidFill>
                <a:schemeClr val="lt1"/>
              </a:solidFill>
              <a:latin typeface="+mn-lt"/>
              <a:ea typeface="+mn-ea"/>
              <a:cs typeface="+mn-cs"/>
            </a:rPr>
            <a:t>Show </a:t>
          </a:r>
          <a:r>
            <a:rPr lang="en-IN" sz="1600" b="1">
              <a:solidFill>
                <a:schemeClr val="lt1"/>
              </a:solidFill>
              <a:latin typeface="+mn-lt"/>
              <a:ea typeface="+mn-ea"/>
              <a:cs typeface="+mn-cs"/>
            </a:rPr>
            <a:t>Percentage sales by Category</a:t>
          </a:r>
        </a:p>
        <a:p>
          <a:pPr marL="0" lvl="0" indent="0" algn="l"/>
          <a:r>
            <a:rPr lang="en-IN" sz="16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Compare average </a:t>
          </a:r>
          <a:r>
            <a:rPr lang="en-IN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Unit Price by Category</a:t>
          </a:r>
        </a:p>
        <a:p>
          <a:pPr marL="0" lvl="0" indent="0" algn="l"/>
          <a:r>
            <a:rPr lang="en-IN" sz="1600">
              <a:solidFill>
                <a:schemeClr val="lt1"/>
              </a:solidFill>
              <a:latin typeface="+mn-lt"/>
              <a:ea typeface="+mn-ea"/>
              <a:cs typeface="+mn-cs"/>
            </a:rPr>
            <a:t>Show </a:t>
          </a:r>
          <a:r>
            <a:rPr lang="en-IN" sz="1600" b="1">
              <a:solidFill>
                <a:schemeClr val="lt1"/>
              </a:solidFill>
              <a:latin typeface="+mn-lt"/>
              <a:ea typeface="+mn-ea"/>
              <a:cs typeface="+mn-cs"/>
            </a:rPr>
            <a:t>Sales by Category and Region</a:t>
          </a:r>
        </a:p>
        <a:p>
          <a:pPr marL="0" lvl="0" indent="0" algn="l"/>
          <a:r>
            <a:rPr lang="en-IN" sz="1600" b="1">
              <a:solidFill>
                <a:schemeClr val="lt1"/>
              </a:solidFill>
              <a:latin typeface="+mn-lt"/>
              <a:ea typeface="+mn-ea"/>
              <a:cs typeface="+mn-cs"/>
            </a:rPr>
            <a:t>Unit Price distribution</a:t>
          </a:r>
        </a:p>
        <a:p>
          <a:pPr marL="0" lvl="0" indent="0" algn="l"/>
          <a:r>
            <a:rPr lang="en-IN" sz="1600" b="1">
              <a:solidFill>
                <a:schemeClr val="lt1"/>
              </a:solidFill>
              <a:latin typeface="+mn-lt"/>
              <a:ea typeface="+mn-ea"/>
              <a:cs typeface="+mn-cs"/>
            </a:rPr>
            <a:t>Quantity</a:t>
          </a:r>
          <a:r>
            <a:rPr lang="en-IN" sz="16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 </a:t>
          </a:r>
          <a:r>
            <a:rPr lang="en-IN" sz="1600" b="1">
              <a:solidFill>
                <a:schemeClr val="lt1"/>
              </a:solidFill>
              <a:latin typeface="+mn-lt"/>
              <a:ea typeface="+mn-ea"/>
              <a:cs typeface="+mn-cs"/>
            </a:rPr>
            <a:t>and Total Sales by month</a:t>
          </a:r>
        </a:p>
        <a:p>
          <a:pPr marL="0" lvl="0" indent="0" algn="l"/>
          <a:r>
            <a:rPr lang="en-IN" sz="1600" b="1">
              <a:solidFill>
                <a:schemeClr val="lt1"/>
              </a:solidFill>
              <a:latin typeface="+mn-lt"/>
              <a:ea typeface="+mn-ea"/>
              <a:cs typeface="+mn-cs"/>
            </a:rPr>
            <a:t>Quantity vs. Total Price</a:t>
          </a:r>
        </a:p>
        <a:p>
          <a:pPr algn="ctr"/>
          <a:r>
            <a:rPr lang="en-IN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LOOKUP &amp; ANALYSIS</a:t>
          </a:r>
        </a:p>
        <a:p>
          <a:pPr algn="ctr"/>
          <a:endParaRPr lang="en-IN" sz="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IN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Find the Unit Price of a given Product Name.</a:t>
          </a:r>
        </a:p>
        <a:p>
          <a:pPr lvl="0"/>
          <a:r>
            <a:rPr lang="en-IN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Find the Discount% for a specific Order ID.</a:t>
          </a:r>
        </a:p>
        <a:p>
          <a:pPr lvl="0"/>
          <a:r>
            <a:rPr lang="en-IN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Find the Customer Name for a given Order ID.</a:t>
          </a:r>
        </a:p>
        <a:p>
          <a:pPr lvl="0"/>
          <a:r>
            <a:rPr lang="en-IN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Find the </a:t>
          </a:r>
          <a:r>
            <a:rPr lang="en-IN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highest Total Price order</a:t>
          </a:r>
          <a:r>
            <a:rPr lang="en-IN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and retrieve its Customer Name.</a:t>
          </a:r>
        </a:p>
        <a:p>
          <a:pPr lvl="0"/>
          <a:r>
            <a:rPr lang="en-IN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Return the Payment Method for a specific Product Name.</a:t>
          </a:r>
        </a:p>
        <a:p>
          <a:pPr lvl="0"/>
          <a:r>
            <a:rPr lang="en-IN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Find the </a:t>
          </a:r>
          <a:r>
            <a:rPr lang="en-IN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average Total Price</a:t>
          </a:r>
          <a:r>
            <a:rPr lang="en-IN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a given Category entered in a cell.</a:t>
          </a:r>
        </a:p>
        <a:p>
          <a:pPr lvl="0"/>
          <a:r>
            <a:rPr lang="en-IN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Return the </a:t>
          </a:r>
          <a:r>
            <a:rPr lang="en-IN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Category with the maximum sales</a:t>
          </a:r>
          <a:r>
            <a:rPr lang="en-IN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92413</xdr:colOff>
      <xdr:row>3</xdr:row>
      <xdr:rowOff>77559</xdr:rowOff>
    </xdr:from>
    <xdr:to>
      <xdr:col>5</xdr:col>
      <xdr:colOff>280527</xdr:colOff>
      <xdr:row>13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01A3D4-D0FA-4653-9122-40BACAFA79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466725</xdr:colOff>
      <xdr:row>3</xdr:row>
      <xdr:rowOff>84494</xdr:rowOff>
    </xdr:from>
    <xdr:to>
      <xdr:col>11</xdr:col>
      <xdr:colOff>152400</xdr:colOff>
      <xdr:row>13</xdr:row>
      <xdr:rowOff>19049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422A9D-AF83-4681-AEDC-32FCB6424E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379551</xdr:colOff>
      <xdr:row>3</xdr:row>
      <xdr:rowOff>121449</xdr:rowOff>
    </xdr:from>
    <xdr:to>
      <xdr:col>14</xdr:col>
      <xdr:colOff>275094</xdr:colOff>
      <xdr:row>12</xdr:row>
      <xdr:rowOff>123824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4" name="OrderDate 1">
              <a:extLst>
                <a:ext uri="{FF2B5EF4-FFF2-40B4-BE49-F238E27FC236}">
                  <a16:creationId xmlns:a16="http://schemas.microsoft.com/office/drawing/2014/main" id="{3C669074-18FA-4CD0-B72D-E83B038B53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Da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85151" y="692949"/>
              <a:ext cx="1724343" cy="1716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0</xdr:col>
      <xdr:colOff>114300</xdr:colOff>
      <xdr:row>13</xdr:row>
      <xdr:rowOff>163262</xdr:rowOff>
    </xdr:from>
    <xdr:to>
      <xdr:col>5</xdr:col>
      <xdr:colOff>243888</xdr:colOff>
      <xdr:row>23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0ECC19B-7186-4594-9F8D-FAB754D33D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451301</xdr:colOff>
      <xdr:row>13</xdr:row>
      <xdr:rowOff>140614</xdr:rowOff>
    </xdr:from>
    <xdr:to>
      <xdr:col>11</xdr:col>
      <xdr:colOff>142875</xdr:colOff>
      <xdr:row>24</xdr:row>
      <xdr:rowOff>7669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6BFB5F2-EB71-4026-80C0-0704D0F0F9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359443</xdr:colOff>
      <xdr:row>13</xdr:row>
      <xdr:rowOff>115938</xdr:rowOff>
    </xdr:from>
    <xdr:to>
      <xdr:col>17</xdr:col>
      <xdr:colOff>47624</xdr:colOff>
      <xdr:row>24</xdr:row>
      <xdr:rowOff>74964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803E2D9-DBCA-442A-965A-43E9DCC790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435738</xdr:colOff>
      <xdr:row>25</xdr:row>
      <xdr:rowOff>18698</xdr:rowOff>
    </xdr:from>
    <xdr:to>
      <xdr:col>11</xdr:col>
      <xdr:colOff>171450</xdr:colOff>
      <xdr:row>36</xdr:row>
      <xdr:rowOff>148051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907F1C7-5E75-45DA-B6FF-9C4A0A865C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174705</xdr:colOff>
      <xdr:row>0</xdr:row>
      <xdr:rowOff>109081</xdr:rowOff>
    </xdr:from>
    <xdr:to>
      <xdr:col>6</xdr:col>
      <xdr:colOff>209550</xdr:colOff>
      <xdr:row>2</xdr:row>
      <xdr:rowOff>174851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10ED2130-46AC-B756-1538-580F9ADFFEB7}"/>
            </a:ext>
          </a:extLst>
        </xdr:cNvPr>
        <xdr:cNvSpPr/>
      </xdr:nvSpPr>
      <xdr:spPr>
        <a:xfrm>
          <a:off x="174705" y="109081"/>
          <a:ext cx="3692445" cy="446770"/>
        </a:xfrm>
        <a:prstGeom prst="roundRect">
          <a:avLst>
            <a:gd name="adj" fmla="val 40610"/>
          </a:avLst>
        </a:prstGeom>
        <a:ln/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200" b="0" cap="none" spc="0">
              <a:ln w="0">
                <a:noFill/>
              </a:ln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Superstore Analysis</a:t>
          </a:r>
        </a:p>
      </xdr:txBody>
    </xdr:sp>
    <xdr:clientData/>
  </xdr:twoCellAnchor>
  <xdr:twoCellAnchor>
    <xdr:from>
      <xdr:col>0</xdr:col>
      <xdr:colOff>157277</xdr:colOff>
      <xdr:row>25</xdr:row>
      <xdr:rowOff>41332</xdr:rowOff>
    </xdr:from>
    <xdr:to>
      <xdr:col>5</xdr:col>
      <xdr:colOff>265476</xdr:colOff>
      <xdr:row>37</xdr:row>
      <xdr:rowOff>4970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6" name="Chart 2">
              <a:extLst>
                <a:ext uri="{FF2B5EF4-FFF2-40B4-BE49-F238E27FC236}">
                  <a16:creationId xmlns:a16="http://schemas.microsoft.com/office/drawing/2014/main" id="{7CDF8C29-C235-E0A7-D859-9094CECA1B9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7277" y="4803832"/>
              <a:ext cx="3156199" cy="22496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364428</xdr:colOff>
      <xdr:row>24</xdr:row>
      <xdr:rowOff>187208</xdr:rowOff>
    </xdr:from>
    <xdr:to>
      <xdr:col>17</xdr:col>
      <xdr:colOff>76200</xdr:colOff>
      <xdr:row>36</xdr:row>
      <xdr:rowOff>152400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1B8006D2-557D-4C22-A887-90DA9010E4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276225</xdr:colOff>
      <xdr:row>0</xdr:row>
      <xdr:rowOff>114300</xdr:rowOff>
    </xdr:from>
    <xdr:to>
      <xdr:col>8</xdr:col>
      <xdr:colOff>390525</xdr:colOff>
      <xdr:row>4</xdr:row>
      <xdr:rowOff>123824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EFB7653-CF6D-ECF2-43AC-84FB59D82838}"/>
            </a:ext>
          </a:extLst>
        </xdr:cNvPr>
        <xdr:cNvSpPr/>
      </xdr:nvSpPr>
      <xdr:spPr>
        <a:xfrm>
          <a:off x="885825" y="114300"/>
          <a:ext cx="4381500" cy="771524"/>
        </a:xfrm>
        <a:prstGeom prst="roundRect">
          <a:avLst>
            <a:gd name="adj" fmla="val 47531"/>
          </a:avLst>
        </a:prstGeom>
        <a:ln/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3600" b="0" cap="none" spc="0">
              <a:ln w="0">
                <a:noFill/>
              </a:ln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LOOKUP ANALYSIS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30.735110879628" createdVersion="8" refreshedVersion="8" minRefreshableVersion="3" recordCount="2000" xr:uid="{86E2BD3C-1F5C-4118-8F46-1F90486D73C3}">
  <cacheSource type="worksheet">
    <worksheetSource ref="B1:L2001" sheet="Data"/>
  </cacheSource>
  <cacheFields count="14">
    <cacheField name="OrderID" numFmtId="0">
      <sharedItems/>
    </cacheField>
    <cacheField name="OrderDate" numFmtId="14">
      <sharedItems containsSemiMixedTypes="0" containsNonDate="0" containsDate="1" containsString="0" minDate="2023-08-12T00:00:00" maxDate="2025-08-12T00:00:00" count="698">
        <d v="2024-12-20T00:00:00"/>
        <d v="2023-11-06T00:00:00"/>
        <d v="2023-08-31T00:00:00"/>
        <d v="2025-03-09T00:00:00"/>
        <d v="2024-03-12T00:00:00"/>
        <d v="2024-02-18T00:00:00"/>
        <d v="2024-02-01T00:00:00"/>
        <d v="2023-11-28T00:00:00"/>
        <d v="2025-03-06T00:00:00"/>
        <d v="2023-10-30T00:00:00"/>
        <d v="2025-01-18T00:00:00"/>
        <d v="2025-07-04T00:00:00"/>
        <d v="2024-10-08T00:00:00"/>
        <d v="2023-10-18T00:00:00"/>
        <d v="2024-11-12T00:00:00"/>
        <d v="2024-07-04T00:00:00"/>
        <d v="2023-09-05T00:00:00"/>
        <d v="2023-09-04T00:00:00"/>
        <d v="2023-10-23T00:00:00"/>
        <d v="2024-01-28T00:00:00"/>
        <d v="2024-02-08T00:00:00"/>
        <d v="2024-09-07T00:00:00"/>
        <d v="2024-11-21T00:00:00"/>
        <d v="2023-09-01T00:00:00"/>
        <d v="2024-10-20T00:00:00"/>
        <d v="2024-01-13T00:00:00"/>
        <d v="2025-02-18T00:00:00"/>
        <d v="2024-12-28T00:00:00"/>
        <d v="2025-02-06T00:00:00"/>
        <d v="2024-07-02T00:00:00"/>
        <d v="2024-01-30T00:00:00"/>
        <d v="2024-07-25T00:00:00"/>
        <d v="2024-11-11T00:00:00"/>
        <d v="2024-03-15T00:00:00"/>
        <d v="2025-05-01T00:00:00"/>
        <d v="2025-06-17T00:00:00"/>
        <d v="2023-08-17T00:00:00"/>
        <d v="2025-03-23T00:00:00"/>
        <d v="2025-04-28T00:00:00"/>
        <d v="2023-12-14T00:00:00"/>
        <d v="2025-02-04T00:00:00"/>
        <d v="2024-07-05T00:00:00"/>
        <d v="2024-05-02T00:00:00"/>
        <d v="2024-03-14T00:00:00"/>
        <d v="2023-12-10T00:00:00"/>
        <d v="2024-01-26T00:00:00"/>
        <d v="2025-03-27T00:00:00"/>
        <d v="2024-04-29T00:00:00"/>
        <d v="2024-06-02T00:00:00"/>
        <d v="2023-10-26T00:00:00"/>
        <d v="2024-05-16T00:00:00"/>
        <d v="2025-05-31T00:00:00"/>
        <d v="2024-05-05T00:00:00"/>
        <d v="2024-11-22T00:00:00"/>
        <d v="2024-03-04T00:00:00"/>
        <d v="2025-04-29T00:00:00"/>
        <d v="2023-09-14T00:00:00"/>
        <d v="2025-02-28T00:00:00"/>
        <d v="2024-08-02T00:00:00"/>
        <d v="2024-10-01T00:00:00"/>
        <d v="2023-11-16T00:00:00"/>
        <d v="2025-07-28T00:00:00"/>
        <d v="2024-06-01T00:00:00"/>
        <d v="2023-10-12T00:00:00"/>
        <d v="2024-10-13T00:00:00"/>
        <d v="2024-03-26T00:00:00"/>
        <d v="2025-05-17T00:00:00"/>
        <d v="2024-12-12T00:00:00"/>
        <d v="2024-12-04T00:00:00"/>
        <d v="2025-06-29T00:00:00"/>
        <d v="2025-06-11T00:00:00"/>
        <d v="2024-05-18T00:00:00"/>
        <d v="2024-11-02T00:00:00"/>
        <d v="2024-01-08T00:00:00"/>
        <d v="2025-02-09T00:00:00"/>
        <d v="2023-10-05T00:00:00"/>
        <d v="2023-09-16T00:00:00"/>
        <d v="2025-01-06T00:00:00"/>
        <d v="2024-02-05T00:00:00"/>
        <d v="2025-04-03T00:00:00"/>
        <d v="2024-03-23T00:00:00"/>
        <d v="2025-06-06T00:00:00"/>
        <d v="2025-06-15T00:00:00"/>
        <d v="2023-10-29T00:00:00"/>
        <d v="2024-07-29T00:00:00"/>
        <d v="2024-12-17T00:00:00"/>
        <d v="2025-05-20T00:00:00"/>
        <d v="2024-05-21T00:00:00"/>
        <d v="2023-12-16T00:00:00"/>
        <d v="2024-05-25T00:00:00"/>
        <d v="2024-05-13T00:00:00"/>
        <d v="2024-01-21T00:00:00"/>
        <d v="2025-01-13T00:00:00"/>
        <d v="2024-03-06T00:00:00"/>
        <d v="2025-02-07T00:00:00"/>
        <d v="2025-08-08T00:00:00"/>
        <d v="2025-01-23T00:00:00"/>
        <d v="2024-12-27T00:00:00"/>
        <d v="2023-10-06T00:00:00"/>
        <d v="2024-11-27T00:00:00"/>
        <d v="2023-12-22T00:00:00"/>
        <d v="2024-09-29T00:00:00"/>
        <d v="2024-08-05T00:00:00"/>
        <d v="2024-03-08T00:00:00"/>
        <d v="2025-07-30T00:00:00"/>
        <d v="2024-12-21T00:00:00"/>
        <d v="2025-01-27T00:00:00"/>
        <d v="2024-10-17T00:00:00"/>
        <d v="2024-01-29T00:00:00"/>
        <d v="2025-01-24T00:00:00"/>
        <d v="2024-04-19T00:00:00"/>
        <d v="2025-05-27T00:00:00"/>
        <d v="2025-03-30T00:00:00"/>
        <d v="2025-04-05T00:00:00"/>
        <d v="2023-09-24T00:00:00"/>
        <d v="2025-05-11T00:00:00"/>
        <d v="2024-04-13T00:00:00"/>
        <d v="2024-06-18T00:00:00"/>
        <d v="2023-10-02T00:00:00"/>
        <d v="2024-01-22T00:00:00"/>
        <d v="2025-07-21T00:00:00"/>
        <d v="2024-10-25T00:00:00"/>
        <d v="2025-06-22T00:00:00"/>
        <d v="2025-02-19T00:00:00"/>
        <d v="2024-04-12T00:00:00"/>
        <d v="2024-01-24T00:00:00"/>
        <d v="2025-01-02T00:00:00"/>
        <d v="2024-09-02T00:00:00"/>
        <d v="2024-06-14T00:00:00"/>
        <d v="2025-07-22T00:00:00"/>
        <d v="2024-12-23T00:00:00"/>
        <d v="2023-11-30T00:00:00"/>
        <d v="2024-02-19T00:00:00"/>
        <d v="2025-03-12T00:00:00"/>
        <d v="2024-10-21T00:00:00"/>
        <d v="2024-10-03T00:00:00"/>
        <d v="2024-03-03T00:00:00"/>
        <d v="2025-03-14T00:00:00"/>
        <d v="2024-11-08T00:00:00"/>
        <d v="2024-07-09T00:00:00"/>
        <d v="2025-07-09T00:00:00"/>
        <d v="2024-11-07T00:00:00"/>
        <d v="2024-06-17T00:00:00"/>
        <d v="2024-05-19T00:00:00"/>
        <d v="2023-11-27T00:00:00"/>
        <d v="2024-09-10T00:00:00"/>
        <d v="2024-08-29T00:00:00"/>
        <d v="2023-10-21T00:00:00"/>
        <d v="2025-03-21T00:00:00"/>
        <d v="2023-09-17T00:00:00"/>
        <d v="2025-06-10T00:00:00"/>
        <d v="2023-11-05T00:00:00"/>
        <d v="2023-12-08T00:00:00"/>
        <d v="2024-12-11T00:00:00"/>
        <d v="2025-04-18T00:00:00"/>
        <d v="2025-01-21T00:00:00"/>
        <d v="2024-11-17T00:00:00"/>
        <d v="2023-09-30T00:00:00"/>
        <d v="2024-06-05T00:00:00"/>
        <d v="2024-06-03T00:00:00"/>
        <d v="2024-11-16T00:00:00"/>
        <d v="2024-08-09T00:00:00"/>
        <d v="2024-09-25T00:00:00"/>
        <d v="2024-02-23T00:00:00"/>
        <d v="2024-10-14T00:00:00"/>
        <d v="2023-08-20T00:00:00"/>
        <d v="2025-02-21T00:00:00"/>
        <d v="2023-11-08T00:00:00"/>
        <d v="2025-01-22T00:00:00"/>
        <d v="2024-10-02T00:00:00"/>
        <d v="2025-03-17T00:00:00"/>
        <d v="2024-07-14T00:00:00"/>
        <d v="2023-12-12T00:00:00"/>
        <d v="2023-08-14T00:00:00"/>
        <d v="2025-02-22T00:00:00"/>
        <d v="2025-02-20T00:00:00"/>
        <d v="2024-09-03T00:00:00"/>
        <d v="2025-03-25T00:00:00"/>
        <d v="2023-12-28T00:00:00"/>
        <d v="2024-09-09T00:00:00"/>
        <d v="2025-07-20T00:00:00"/>
        <d v="2023-11-02T00:00:00"/>
        <d v="2025-06-18T00:00:00"/>
        <d v="2024-12-09T00:00:00"/>
        <d v="2024-03-30T00:00:00"/>
        <d v="2025-05-26T00:00:00"/>
        <d v="2024-05-28T00:00:00"/>
        <d v="2025-03-26T00:00:00"/>
        <d v="2023-12-15T00:00:00"/>
        <d v="2025-04-07T00:00:00"/>
        <d v="2024-09-26T00:00:00"/>
        <d v="2025-07-25T00:00:00"/>
        <d v="2023-08-12T00:00:00"/>
        <d v="2024-11-19T00:00:00"/>
        <d v="2024-08-25T00:00:00"/>
        <d v="2023-08-27T00:00:00"/>
        <d v="2025-08-02T00:00:00"/>
        <d v="2025-06-24T00:00:00"/>
        <d v="2025-05-18T00:00:00"/>
        <d v="2024-04-06T00:00:00"/>
        <d v="2024-02-13T00:00:00"/>
        <d v="2023-09-25T00:00:00"/>
        <d v="2024-02-15T00:00:00"/>
        <d v="2025-06-23T00:00:00"/>
        <d v="2023-10-17T00:00:00"/>
        <d v="2025-03-02T00:00:00"/>
        <d v="2024-08-23T00:00:00"/>
        <d v="2025-05-06T00:00:00"/>
        <d v="2023-10-04T00:00:00"/>
        <d v="2025-03-24T00:00:00"/>
        <d v="2024-09-28T00:00:00"/>
        <d v="2025-03-28T00:00:00"/>
        <d v="2023-11-17T00:00:00"/>
        <d v="2023-11-19T00:00:00"/>
        <d v="2025-01-05T00:00:00"/>
        <d v="2024-08-15T00:00:00"/>
        <d v="2024-10-12T00:00:00"/>
        <d v="2023-12-18T00:00:00"/>
        <d v="2024-09-24T00:00:00"/>
        <d v="2025-06-19T00:00:00"/>
        <d v="2024-11-25T00:00:00"/>
        <d v="2024-01-23T00:00:00"/>
        <d v="2025-03-20T00:00:00"/>
        <d v="2025-01-28T00:00:00"/>
        <d v="2024-01-15T00:00:00"/>
        <d v="2025-02-15T00:00:00"/>
        <d v="2024-04-10T00:00:00"/>
        <d v="2024-06-16T00:00:00"/>
        <d v="2025-01-14T00:00:00"/>
        <d v="2024-07-17T00:00:00"/>
        <d v="2025-07-10T00:00:00"/>
        <d v="2024-09-17T00:00:00"/>
        <d v="2024-07-27T00:00:00"/>
        <d v="2023-11-13T00:00:00"/>
        <d v="2024-02-20T00:00:00"/>
        <d v="2024-02-02T00:00:00"/>
        <d v="2024-04-30T00:00:00"/>
        <d v="2023-08-28T00:00:00"/>
        <d v="2024-11-10T00:00:00"/>
        <d v="2024-10-15T00:00:00"/>
        <d v="2024-02-06T00:00:00"/>
        <d v="2025-02-11T00:00:00"/>
        <d v="2024-12-14T00:00:00"/>
        <d v="2023-09-26T00:00:00"/>
        <d v="2023-10-03T00:00:00"/>
        <d v="2025-07-15T00:00:00"/>
        <d v="2025-06-09T00:00:00"/>
        <d v="2024-04-24T00:00:00"/>
        <d v="2024-09-14T00:00:00"/>
        <d v="2024-02-12T00:00:00"/>
        <d v="2025-01-12T00:00:00"/>
        <d v="2024-01-25T00:00:00"/>
        <d v="2023-11-22T00:00:00"/>
        <d v="2025-02-23T00:00:00"/>
        <d v="2025-08-07T00:00:00"/>
        <d v="2025-06-27T00:00:00"/>
        <d v="2024-10-28T00:00:00"/>
        <d v="2024-11-01T00:00:00"/>
        <d v="2024-08-13T00:00:00"/>
        <d v="2024-02-16T00:00:00"/>
        <d v="2025-04-12T00:00:00"/>
        <d v="2025-04-30T00:00:00"/>
        <d v="2024-06-23T00:00:00"/>
        <d v="2024-01-06T00:00:00"/>
        <d v="2023-10-24T00:00:00"/>
        <d v="2025-01-04T00:00:00"/>
        <d v="2024-07-11T00:00:00"/>
        <d v="2024-07-06T00:00:00"/>
        <d v="2024-06-26T00:00:00"/>
        <d v="2024-08-08T00:00:00"/>
        <d v="2025-06-12T00:00:00"/>
        <d v="2023-09-23T00:00:00"/>
        <d v="2025-01-16T00:00:00"/>
        <d v="2024-12-31T00:00:00"/>
        <d v="2024-12-25T00:00:00"/>
        <d v="2023-10-27T00:00:00"/>
        <d v="2023-09-28T00:00:00"/>
        <d v="2024-06-19T00:00:00"/>
        <d v="2025-02-27T00:00:00"/>
        <d v="2024-05-01T00:00:00"/>
        <d v="2025-04-24T00:00:00"/>
        <d v="2023-11-04T00:00:00"/>
        <d v="2024-02-21T00:00:00"/>
        <d v="2024-01-07T00:00:00"/>
        <d v="2024-01-01T00:00:00"/>
        <d v="2024-02-22T00:00:00"/>
        <d v="2025-06-21T00:00:00"/>
        <d v="2025-07-29T00:00:00"/>
        <d v="2023-10-09T00:00:00"/>
        <d v="2024-07-21T00:00:00"/>
        <d v="2023-09-20T00:00:00"/>
        <d v="2024-12-30T00:00:00"/>
        <d v="2024-10-04T00:00:00"/>
        <d v="2025-05-22T00:00:00"/>
        <d v="2023-08-23T00:00:00"/>
        <d v="2025-07-31T00:00:00"/>
        <d v="2025-03-19T00:00:00"/>
        <d v="2025-06-01T00:00:00"/>
        <d v="2024-02-11T00:00:00"/>
        <d v="2023-12-19T00:00:00"/>
        <d v="2024-06-22T00:00:00"/>
        <d v="2024-08-19T00:00:00"/>
        <d v="2025-06-13T00:00:00"/>
        <d v="2025-07-12T00:00:00"/>
        <d v="2023-12-17T00:00:00"/>
        <d v="2023-08-13T00:00:00"/>
        <d v="2024-06-10T00:00:00"/>
        <d v="2024-07-30T00:00:00"/>
        <d v="2024-03-20T00:00:00"/>
        <d v="2025-02-03T00:00:00"/>
        <d v="2025-03-01T00:00:00"/>
        <d v="2025-04-11T00:00:00"/>
        <d v="2024-10-16T00:00:00"/>
        <d v="2025-01-07T00:00:00"/>
        <d v="2024-08-24T00:00:00"/>
        <d v="2024-03-29T00:00:00"/>
        <d v="2024-11-03T00:00:00"/>
        <d v="2025-03-05T00:00:00"/>
        <d v="2024-10-06T00:00:00"/>
        <d v="2024-04-11T00:00:00"/>
        <d v="2023-09-19T00:00:00"/>
        <d v="2024-08-16T00:00:00"/>
        <d v="2024-09-05T00:00:00"/>
        <d v="2025-07-26T00:00:00"/>
        <d v="2025-06-04T00:00:00"/>
        <d v="2024-09-27T00:00:00"/>
        <d v="2023-10-13T00:00:00"/>
        <d v="2025-06-03T00:00:00"/>
        <d v="2024-01-03T00:00:00"/>
        <d v="2025-01-17T00:00:00"/>
        <d v="2024-02-10T00:00:00"/>
        <d v="2024-06-20T00:00:00"/>
        <d v="2025-07-03T00:00:00"/>
        <d v="2024-10-27T00:00:00"/>
        <d v="2024-11-15T00:00:00"/>
        <d v="2023-09-11T00:00:00"/>
        <d v="2024-12-05T00:00:00"/>
        <d v="2023-10-14T00:00:00"/>
        <d v="2025-01-03T00:00:00"/>
        <d v="2024-10-24T00:00:00"/>
        <d v="2024-09-21T00:00:00"/>
        <d v="2024-03-01T00:00:00"/>
        <d v="2024-01-17T00:00:00"/>
        <d v="2024-03-05T00:00:00"/>
        <d v="2023-11-21T00:00:00"/>
        <d v="2024-04-01T00:00:00"/>
        <d v="2024-08-01T00:00:00"/>
        <d v="2023-10-07T00:00:00"/>
        <d v="2023-08-19T00:00:00"/>
        <d v="2024-12-06T00:00:00"/>
        <d v="2024-10-22T00:00:00"/>
        <d v="2023-10-28T00:00:00"/>
        <d v="2025-08-05T00:00:00"/>
        <d v="2024-05-09T00:00:00"/>
        <d v="2025-06-26T00:00:00"/>
        <d v="2024-02-17T00:00:00"/>
        <d v="2025-02-08T00:00:00"/>
        <d v="2024-04-02T00:00:00"/>
        <d v="2024-11-29T00:00:00"/>
        <d v="2023-08-18T00:00:00"/>
        <d v="2025-01-11T00:00:00"/>
        <d v="2025-05-07T00:00:00"/>
        <d v="2024-03-31T00:00:00"/>
        <d v="2025-08-04T00:00:00"/>
        <d v="2025-01-08T00:00:00"/>
        <d v="2023-10-31T00:00:00"/>
        <d v="2025-08-10T00:00:00"/>
        <d v="2023-11-24T00:00:00"/>
        <d v="2023-11-09T00:00:00"/>
        <d v="2023-11-03T00:00:00"/>
        <d v="2025-03-10T00:00:00"/>
        <d v="2024-03-10T00:00:00"/>
        <d v="2024-03-17T00:00:00"/>
        <d v="2024-11-23T00:00:00"/>
        <d v="2024-05-04T00:00:00"/>
        <d v="2025-01-26T00:00:00"/>
        <d v="2024-12-16T00:00:00"/>
        <d v="2025-07-17T00:00:00"/>
        <d v="2025-05-30T00:00:00"/>
        <d v="2023-10-22T00:00:00"/>
        <d v="2024-03-13T00:00:00"/>
        <d v="2023-09-15T00:00:00"/>
        <d v="2024-04-27T00:00:00"/>
        <d v="2025-04-01T00:00:00"/>
        <d v="2024-12-18T00:00:00"/>
        <d v="2024-03-02T00:00:00"/>
        <d v="2024-07-20T00:00:00"/>
        <d v="2025-02-10T00:00:00"/>
        <d v="2025-01-29T00:00:00"/>
        <d v="2025-07-14T00:00:00"/>
        <d v="2023-12-05T00:00:00"/>
        <d v="2023-09-08T00:00:00"/>
        <d v="2025-05-21T00:00:00"/>
        <d v="2024-05-24T00:00:00"/>
        <d v="2024-11-06T00:00:00"/>
        <d v="2024-07-10T00:00:00"/>
        <d v="2023-11-18T00:00:00"/>
        <d v="2023-09-13T00:00:00"/>
        <d v="2024-04-07T00:00:00"/>
        <d v="2025-04-21T00:00:00"/>
        <d v="2024-05-15T00:00:00"/>
        <d v="2024-05-12T00:00:00"/>
        <d v="2025-04-08T00:00:00"/>
        <d v="2024-10-19T00:00:00"/>
        <d v="2025-06-28T00:00:00"/>
        <d v="2025-03-16T00:00:00"/>
        <d v="2025-08-03T00:00:00"/>
        <d v="2025-05-02T00:00:00"/>
        <d v="2023-12-27T00:00:00"/>
        <d v="2024-06-27T00:00:00"/>
        <d v="2023-12-29T00:00:00"/>
        <d v="2024-04-26T00:00:00"/>
        <d v="2025-04-10T00:00:00"/>
        <d v="2025-04-26T00:00:00"/>
        <d v="2025-03-04T00:00:00"/>
        <d v="2023-12-13T00:00:00"/>
        <d v="2025-04-14T00:00:00"/>
        <d v="2024-06-04T00:00:00"/>
        <d v="2025-06-08T00:00:00"/>
        <d v="2024-08-11T00:00:00"/>
        <d v="2024-01-31T00:00:00"/>
        <d v="2024-01-14T00:00:00"/>
        <d v="2024-08-03T00:00:00"/>
        <d v="2024-04-05T00:00:00"/>
        <d v="2025-05-10T00:00:00"/>
        <d v="2025-04-20T00:00:00"/>
        <d v="2024-02-04T00:00:00"/>
        <d v="2023-08-30T00:00:00"/>
        <d v="2024-01-09T00:00:00"/>
        <d v="2024-04-22T00:00:00"/>
        <d v="2024-05-10T00:00:00"/>
        <d v="2024-12-22T00:00:00"/>
        <d v="2025-01-20T00:00:00"/>
        <d v="2025-05-28T00:00:00"/>
        <d v="2024-04-25T00:00:00"/>
        <d v="2023-09-02T00:00:00"/>
        <d v="2024-11-04T00:00:00"/>
        <d v="2023-09-10T00:00:00"/>
        <d v="2024-05-06T00:00:00"/>
        <d v="2025-04-13T00:00:00"/>
        <d v="2024-07-15T00:00:00"/>
        <d v="2024-11-24T00:00:00"/>
        <d v="2024-09-12T00:00:00"/>
        <d v="2024-06-06T00:00:00"/>
        <d v="2024-02-25T00:00:00"/>
        <d v="2025-02-12T00:00:00"/>
        <d v="2024-09-18T00:00:00"/>
        <d v="2025-08-11T00:00:00"/>
        <d v="2024-01-12T00:00:00"/>
        <d v="2024-05-20T00:00:00"/>
        <d v="2025-07-27T00:00:00"/>
        <d v="2024-12-08T00:00:00"/>
        <d v="2025-07-11T00:00:00"/>
        <d v="2024-09-08T00:00:00"/>
        <d v="2024-04-08T00:00:00"/>
        <d v="2025-01-10T00:00:00"/>
        <d v="2024-06-24T00:00:00"/>
        <d v="2024-04-21T00:00:00"/>
        <d v="2024-03-28T00:00:00"/>
        <d v="2024-07-03T00:00:00"/>
        <d v="2025-01-09T00:00:00"/>
        <d v="2025-01-19T00:00:00"/>
        <d v="2025-03-15T00:00:00"/>
        <d v="2025-07-13T00:00:00"/>
        <d v="2023-12-25T00:00:00"/>
        <d v="2024-12-02T00:00:00"/>
        <d v="2024-10-10T00:00:00"/>
        <d v="2024-04-04T00:00:00"/>
        <d v="2024-03-21T00:00:00"/>
        <d v="2025-01-01T00:00:00"/>
        <d v="2024-04-18T00:00:00"/>
        <d v="2024-08-07T00:00:00"/>
        <d v="2025-04-19T00:00:00"/>
        <d v="2023-12-21T00:00:00"/>
        <d v="2023-10-16T00:00:00"/>
        <d v="2024-03-19T00:00:00"/>
        <d v="2024-09-15T00:00:00"/>
        <d v="2024-12-15T00:00:00"/>
        <d v="2024-04-28T00:00:00"/>
        <d v="2025-05-08T00:00:00"/>
        <d v="2025-01-15T00:00:00"/>
        <d v="2024-04-09T00:00:00"/>
        <d v="2023-12-04T00:00:00"/>
        <d v="2024-11-28T00:00:00"/>
        <d v="2025-06-02T00:00:00"/>
        <d v="2024-06-28T00:00:00"/>
        <d v="2025-06-30T00:00:00"/>
        <d v="2024-12-13T00:00:00"/>
        <d v="2024-01-10T00:00:00"/>
        <d v="2025-02-02T00:00:00"/>
        <d v="2023-08-16T00:00:00"/>
        <d v="2025-07-05T00:00:00"/>
        <d v="2024-07-07T00:00:00"/>
        <d v="2023-12-26T00:00:00"/>
        <d v="2025-04-27T00:00:00"/>
        <d v="2024-08-06T00:00:00"/>
        <d v="2025-07-24T00:00:00"/>
        <d v="2023-11-14T00:00:00"/>
        <d v="2024-07-31T00:00:00"/>
        <d v="2023-11-23T00:00:00"/>
        <d v="2025-04-25T00:00:00"/>
        <d v="2024-04-14T00:00:00"/>
        <d v="2024-07-08T00:00:00"/>
        <d v="2025-07-16T00:00:00"/>
        <d v="2024-07-23T00:00:00"/>
        <d v="2025-07-08T00:00:00"/>
        <d v="2025-03-11T00:00:00"/>
        <d v="2024-08-14T00:00:00"/>
        <d v="2024-07-26T00:00:00"/>
        <d v="2024-02-29T00:00:00"/>
        <d v="2025-05-25T00:00:00"/>
        <d v="2024-12-19T00:00:00"/>
        <d v="2024-09-19T00:00:00"/>
        <d v="2024-08-22T00:00:00"/>
        <d v="2024-12-10T00:00:00"/>
        <d v="2024-07-18T00:00:00"/>
        <d v="2023-10-11T00:00:00"/>
        <d v="2025-02-16T00:00:00"/>
        <d v="2024-04-16T00:00:00"/>
        <d v="2023-12-07T00:00:00"/>
        <d v="2024-02-07T00:00:00"/>
        <d v="2025-02-01T00:00:00"/>
        <d v="2024-06-29T00:00:00"/>
        <d v="2023-09-29T00:00:00"/>
        <d v="2024-01-19T00:00:00"/>
        <d v="2025-05-19T00:00:00"/>
        <d v="2024-06-09T00:00:00"/>
        <d v="2025-03-31T00:00:00"/>
        <d v="2025-06-07T00:00:00"/>
        <d v="2024-05-11T00:00:00"/>
        <d v="2024-10-09T00:00:00"/>
        <d v="2023-09-03T00:00:00"/>
        <d v="2025-04-22T00:00:00"/>
        <d v="2024-06-21T00:00:00"/>
        <d v="2025-02-24T00:00:00"/>
        <d v="2024-12-07T00:00:00"/>
        <d v="2024-06-13T00:00:00"/>
        <d v="2024-11-13T00:00:00"/>
        <d v="2024-10-23T00:00:00"/>
        <d v="2023-11-25T00:00:00"/>
        <d v="2024-08-04T00:00:00"/>
        <d v="2023-12-31T00:00:00"/>
        <d v="2025-06-25T00:00:00"/>
        <d v="2025-03-18T00:00:00"/>
        <d v="2023-09-21T00:00:00"/>
        <d v="2025-04-09T00:00:00"/>
        <d v="2023-09-12T00:00:00"/>
        <d v="2025-05-24T00:00:00"/>
        <d v="2025-02-05T00:00:00"/>
        <d v="2024-02-27T00:00:00"/>
        <d v="2025-03-29T00:00:00"/>
        <d v="2023-12-20T00:00:00"/>
        <d v="2025-05-09T00:00:00"/>
        <d v="2024-05-29T00:00:00"/>
        <d v="2024-06-15T00:00:00"/>
        <d v="2025-02-17T00:00:00"/>
        <d v="2023-10-10T00:00:00"/>
        <d v="2024-11-20T00:00:00"/>
        <d v="2024-05-07T00:00:00"/>
        <d v="2024-12-26T00:00:00"/>
        <d v="2024-05-03T00:00:00"/>
        <d v="2023-08-21T00:00:00"/>
        <d v="2024-08-26T00:00:00"/>
        <d v="2023-11-01T00:00:00"/>
        <d v="2024-07-13T00:00:00"/>
        <d v="2025-05-16T00:00:00"/>
        <d v="2025-03-03T00:00:00"/>
        <d v="2024-09-20T00:00:00"/>
        <d v="2024-12-29T00:00:00"/>
        <d v="2025-04-04T00:00:00"/>
        <d v="2024-08-21T00:00:00"/>
        <d v="2025-05-14T00:00:00"/>
        <d v="2024-11-14T00:00:00"/>
        <d v="2024-03-07T00:00:00"/>
        <d v="2025-08-06T00:00:00"/>
        <d v="2024-04-20T00:00:00"/>
        <d v="2024-02-28T00:00:00"/>
        <d v="2024-03-16T00:00:00"/>
        <d v="2024-09-16T00:00:00"/>
        <d v="2025-03-22T00:00:00"/>
        <d v="2024-02-14T00:00:00"/>
        <d v="2025-02-14T00:00:00"/>
        <d v="2024-08-27T00:00:00"/>
        <d v="2023-08-25T00:00:00"/>
        <d v="2024-03-27T00:00:00"/>
        <d v="2025-01-30T00:00:00"/>
        <d v="2024-11-05T00:00:00"/>
        <d v="2025-03-13T00:00:00"/>
        <d v="2024-03-09T00:00:00"/>
        <d v="2023-11-12T00:00:00"/>
        <d v="2024-01-02T00:00:00"/>
        <d v="2024-01-27T00:00:00"/>
        <d v="2025-03-07T00:00:00"/>
        <d v="2024-09-22T00:00:00"/>
        <d v="2024-03-18T00:00:00"/>
        <d v="2023-08-22T00:00:00"/>
        <d v="2024-03-25T00:00:00"/>
        <d v="2025-06-16T00:00:00"/>
        <d v="2024-10-30T00:00:00"/>
        <d v="2024-08-10T00:00:00"/>
        <d v="2024-08-17T00:00:00"/>
        <d v="2024-07-19T00:00:00"/>
        <d v="2024-02-24T00:00:00"/>
        <d v="2023-10-01T00:00:00"/>
        <d v="2023-10-08T00:00:00"/>
        <d v="2023-09-22T00:00:00"/>
        <d v="2025-05-03T00:00:00"/>
        <d v="2024-04-03T00:00:00"/>
        <d v="2024-10-18T00:00:00"/>
        <d v="2024-06-30T00:00:00"/>
        <d v="2025-04-17T00:00:00"/>
        <d v="2024-02-03T00:00:00"/>
        <d v="2024-10-26T00:00:00"/>
        <d v="2023-09-27T00:00:00"/>
        <d v="2025-03-08T00:00:00"/>
        <d v="2024-01-20T00:00:00"/>
        <d v="2023-12-11T00:00:00"/>
        <d v="2023-09-06T00:00:00"/>
        <d v="2024-03-22T00:00:00"/>
        <d v="2024-02-09T00:00:00"/>
        <d v="2024-10-07T00:00:00"/>
        <d v="2025-05-15T00:00:00"/>
        <d v="2025-05-13T00:00:00"/>
        <d v="2024-11-18T00:00:00"/>
        <d v="2025-07-02T00:00:00"/>
        <d v="2024-07-12T00:00:00"/>
        <d v="2024-10-31T00:00:00"/>
        <d v="2025-07-23T00:00:00"/>
        <d v="2023-12-30T00:00:00"/>
        <d v="2025-05-05T00:00:00"/>
        <d v="2024-05-08T00:00:00"/>
        <d v="2024-04-17T00:00:00"/>
        <d v="2025-01-31T00:00:00"/>
        <d v="2024-08-30T00:00:00"/>
        <d v="2025-05-04T00:00:00"/>
        <d v="2023-09-09T00:00:00"/>
        <d v="2023-10-19T00:00:00"/>
        <d v="2023-11-10T00:00:00"/>
        <d v="2024-01-04T00:00:00"/>
        <d v="2024-10-11T00:00:00"/>
        <d v="2025-08-01T00:00:00"/>
        <d v="2024-11-26T00:00:00"/>
        <d v="2025-04-23T00:00:00"/>
        <d v="2025-02-13T00:00:00"/>
        <d v="2023-11-11T00:00:00"/>
        <d v="2023-12-09T00:00:00"/>
        <d v="2024-03-11T00:00:00"/>
        <d v="2024-08-20T00:00:00"/>
        <d v="2024-08-12T00:00:00"/>
        <d v="2023-12-02T00:00:00"/>
        <d v="2023-11-26T00:00:00"/>
        <d v="2025-04-16T00:00:00"/>
        <d v="2025-06-05T00:00:00"/>
        <d v="2025-02-25T00:00:00"/>
        <d v="2025-05-23T00:00:00"/>
        <d v="2024-11-09T00:00:00"/>
        <d v="2025-06-14T00:00:00"/>
        <d v="2024-05-30T00:00:00"/>
        <d v="2024-01-05T00:00:00"/>
        <d v="2024-10-29T00:00:00"/>
        <d v="2024-04-15T00:00:00"/>
        <d v="2025-05-29T00:00:00"/>
        <d v="2024-09-23T00:00:00"/>
        <d v="2025-07-19T00:00:00"/>
        <d v="2023-12-01T00:00:00"/>
        <d v="2024-06-25T00:00:00"/>
        <d v="2024-04-23T00:00:00"/>
        <d v="2025-07-01T00:00:00"/>
        <d v="2024-10-05T00:00:00"/>
        <d v="2024-12-03T00:00:00"/>
        <d v="2023-12-03T00:00:00"/>
        <d v="2024-09-01T00:00:00"/>
        <d v="2024-02-26T00:00:00"/>
        <d v="2023-08-29T00:00:00"/>
        <d v="2025-01-25T00:00:00"/>
        <d v="2024-08-31T00:00:00"/>
        <d v="2025-04-15T00:00:00"/>
        <d v="2025-07-18T00:00:00"/>
        <d v="2024-05-22T00:00:00"/>
        <d v="2024-09-04T00:00:00"/>
        <d v="2023-11-29T00:00:00"/>
        <d v="2023-11-15T00:00:00"/>
        <d v="2024-05-26T00:00:00"/>
        <d v="2025-05-12T00:00:00"/>
        <d v="2024-08-28T00:00:00"/>
        <d v="2024-06-08T00:00:00"/>
        <d v="2025-02-26T00:00:00"/>
        <d v="2024-07-22T00:00:00"/>
        <d v="2024-05-23T00:00:00"/>
        <d v="2024-12-24T00:00:00"/>
        <d v="2024-01-18T00:00:00"/>
        <d v="2023-11-20T00:00:00"/>
        <d v="2023-08-24T00:00:00"/>
        <d v="2024-09-13T00:00:00"/>
        <d v="2024-07-28T00:00:00"/>
        <d v="2024-09-06T00:00:00"/>
        <d v="2024-12-01T00:00:00"/>
        <d v="2024-08-18T00:00:00"/>
      </sharedItems>
      <fieldGroup par="13"/>
    </cacheField>
    <cacheField name="CustomerName" numFmtId="0">
      <sharedItems/>
    </cacheField>
    <cacheField name="Region" numFmtId="0">
      <sharedItems count="4">
        <s v="North"/>
        <s v="East"/>
        <s v="South"/>
        <s v="West"/>
      </sharedItems>
    </cacheField>
    <cacheField name="Category" numFmtId="0">
      <sharedItems count="3">
        <s v="Office Supplies"/>
        <s v="Furniture"/>
        <s v="Technology"/>
      </sharedItems>
    </cacheField>
    <cacheField name="ProductName" numFmtId="0">
      <sharedItems/>
    </cacheField>
    <cacheField name="Quantity" numFmtId="0">
      <sharedItems containsSemiMixedTypes="0" containsString="0" containsNumber="1" containsInteger="1" minValue="1" maxValue="9" count="9">
        <n v="7"/>
        <n v="4"/>
        <n v="8"/>
        <n v="5"/>
        <n v="3"/>
        <n v="6"/>
        <n v="2"/>
        <n v="1"/>
        <n v="9"/>
      </sharedItems>
    </cacheField>
    <cacheField name="UnitPrice" numFmtId="0">
      <sharedItems containsSemiMixedTypes="0" containsString="0" containsNumber="1" minValue="50.37" maxValue="1999.44"/>
    </cacheField>
    <cacheField name="Discount%" numFmtId="0">
      <sharedItems containsSemiMixedTypes="0" containsString="0" containsNumber="1" containsInteger="1" minValue="0" maxValue="20"/>
    </cacheField>
    <cacheField name="PaymentMethod" numFmtId="0">
      <sharedItems/>
    </cacheField>
    <cacheField name="TotalPrice" numFmtId="0">
      <sharedItems containsSemiMixedTypes="0" containsString="0" containsNumber="1" minValue="48.84" maxValue="17598.150000000001" count="1997">
        <n v="3382.04"/>
        <n v="5239.5200000000004"/>
        <n v="6961.16"/>
        <n v="2274.96"/>
        <n v="1909.66"/>
        <n v="894.12"/>
        <n v="10329.74"/>
        <n v="3358.59"/>
        <n v="6273.99"/>
        <n v="6197.19"/>
        <n v="8482.73"/>
        <n v="13809.2"/>
        <n v="1956.41"/>
        <n v="11487.78"/>
        <n v="1470.74"/>
        <n v="398.7"/>
        <n v="10675.6"/>
        <n v="10198.01"/>
        <n v="2766.44"/>
        <n v="845.79"/>
        <n v="535.29"/>
        <n v="10625.48"/>
        <n v="3912.91"/>
        <n v="1337.29"/>
        <n v="4479.33"/>
        <n v="6401.62"/>
        <n v="3052.84"/>
        <n v="7932.18"/>
        <n v="1477.74"/>
        <n v="7583.32"/>
        <n v="2786.13"/>
        <n v="11156.04"/>
        <n v="1024.4000000000001"/>
        <n v="14235.41"/>
        <n v="6080.63"/>
        <n v="229.23"/>
        <n v="397.25"/>
        <n v="10836.72"/>
        <n v="2403.2199999999998"/>
        <n v="11621.88"/>
        <n v="1021.88"/>
        <n v="190.98"/>
        <n v="4166.92"/>
        <n v="5076.6000000000004"/>
        <n v="7226.08"/>
        <n v="5950.8"/>
        <n v="1651.52"/>
        <n v="6795.07"/>
        <n v="2841.28"/>
        <n v="5045.1899999999996"/>
        <n v="2902.44"/>
        <n v="1906.98"/>
        <n v="9516.3799999999992"/>
        <n v="883.15"/>
        <n v="3158.57"/>
        <n v="1013.28"/>
        <n v="1685.73"/>
        <n v="3064.86"/>
        <n v="5988.23"/>
        <n v="3954.32"/>
        <n v="12988.65"/>
        <n v="9729.58"/>
        <n v="534.51"/>
        <n v="2329.25"/>
        <n v="1116.78"/>
        <n v="786.46"/>
        <n v="15373.28"/>
        <n v="7074.72"/>
        <n v="16171.56"/>
        <n v="678.32"/>
        <n v="2647.89"/>
        <n v="6483.48"/>
        <n v="2327.48"/>
        <n v="6385.47"/>
        <n v="1844.58"/>
        <n v="7671.6"/>
        <n v="8013.89"/>
        <n v="1066.32"/>
        <n v="135.28"/>
        <n v="2022.21"/>
        <n v="2921.14"/>
        <n v="705.81"/>
        <n v="783.19"/>
        <n v="4490.72"/>
        <n v="5089.58"/>
        <n v="2658.1"/>
        <n v="3269.78"/>
        <n v="15067.78"/>
        <n v="8756.2900000000009"/>
        <n v="2034.58"/>
        <n v="59.83"/>
        <n v="12506.82"/>
        <n v="8088.07"/>
        <n v="4275.2"/>
        <n v="8381.7099999999991"/>
        <n v="1661.82"/>
        <n v="8886.64"/>
        <n v="7354.94"/>
        <n v="1371.05"/>
        <n v="1566.3"/>
        <n v="4300.5600000000004"/>
        <n v="4835.3900000000003"/>
        <n v="1085.83"/>
        <n v="147.27000000000001"/>
        <n v="3202.07"/>
        <n v="9036.3799999999992"/>
        <n v="4026.4"/>
        <n v="9919.17"/>
        <n v="3526.8"/>
        <n v="1549.92"/>
        <n v="1247.7"/>
        <n v="824.94"/>
        <n v="6568.8"/>
        <n v="4510.67"/>
        <n v="2406.7399999999998"/>
        <n v="4521.2"/>
        <n v="3082.18"/>
        <n v="9094.34"/>
        <n v="3824.18"/>
        <n v="6713.71"/>
        <n v="487.46"/>
        <n v="2643.53"/>
        <n v="931.32"/>
        <n v="5642.35"/>
        <n v="7041.68"/>
        <n v="5644.23"/>
        <n v="3109.21"/>
        <n v="7967.26"/>
        <n v="1469.63"/>
        <n v="1271.8900000000001"/>
        <n v="12735.58"/>
        <n v="5060.83"/>
        <n v="1370.27"/>
        <n v="13507.15"/>
        <n v="3597.05"/>
        <n v="3905.04"/>
        <n v="7637.66"/>
        <n v="10492.67"/>
        <n v="10680.75"/>
        <n v="5913.32"/>
        <n v="625.41"/>
        <n v="3136.31"/>
        <n v="7719.19"/>
        <n v="9199.93"/>
        <n v="13503.44"/>
        <n v="12050.86"/>
        <n v="271.74"/>
        <n v="1284.8699999999999"/>
        <n v="1376.48"/>
        <n v="5216.79"/>
        <n v="8538.43"/>
        <n v="3383.68"/>
        <n v="2611.2199999999998"/>
        <n v="977.55"/>
        <n v="1392.65"/>
        <n v="761.41"/>
        <n v="8349.18"/>
        <n v="1257.42"/>
        <n v="378.85"/>
        <n v="541.88"/>
        <n v="2551.5700000000002"/>
        <n v="289.82"/>
        <n v="2227.85"/>
        <n v="426.76"/>
        <n v="356.66"/>
        <n v="322.86"/>
        <n v="2055.1999999999998"/>
        <n v="1418.72"/>
        <n v="7019.24"/>
        <n v="5954.85"/>
        <n v="9713.26"/>
        <n v="961.67"/>
        <n v="3427.27"/>
        <n v="9092.74"/>
        <n v="145.32"/>
        <n v="5094.24"/>
        <n v="8775.14"/>
        <n v="5508.81"/>
        <n v="359.94"/>
        <n v="1220.5999999999999"/>
        <n v="6972.26"/>
        <n v="2043.3"/>
        <n v="1195.1500000000001"/>
        <n v="11509.81"/>
        <n v="11789.04"/>
        <n v="1377.57"/>
        <n v="5972.4"/>
        <n v="3406.66"/>
        <n v="2101.2800000000002"/>
        <n v="865.89"/>
        <n v="3784.81"/>
        <n v="1835.71"/>
        <n v="4335.91"/>
        <n v="619.05999999999995"/>
        <n v="13788.33"/>
        <n v="1390.36"/>
        <n v="11844.4"/>
        <n v="3771.76"/>
        <n v="660.09"/>
        <n v="10345.84"/>
        <n v="966.64"/>
        <n v="3578.31"/>
        <n v="11238.99"/>
        <n v="3965.4"/>
        <n v="10549.56"/>
        <n v="4254.96"/>
        <n v="11989.59"/>
        <n v="3209.26"/>
        <n v="3689.02"/>
        <n v="1666.26"/>
        <n v="744.64"/>
        <n v="1203.17"/>
        <n v="5663.57"/>
        <n v="4774.5200000000004"/>
        <n v="9873.2199999999993"/>
        <n v="15926.51"/>
        <n v="13475.06"/>
        <n v="478.41"/>
        <n v="4881.54"/>
        <n v="1469.43"/>
        <n v="3139.92"/>
        <n v="6842.74"/>
        <n v="5037.63"/>
        <n v="6829.36"/>
        <n v="1783.95"/>
        <n v="10272.530000000001"/>
        <n v="4610.8100000000004"/>
        <n v="132.47"/>
        <n v="11600.83"/>
        <n v="5834.59"/>
        <n v="7542.82"/>
        <n v="509.68"/>
        <n v="614.46"/>
        <n v="1247.43"/>
        <n v="2755.17"/>
        <n v="2359.0300000000002"/>
        <n v="15809.89"/>
        <n v="1746.94"/>
        <n v="137.05000000000001"/>
        <n v="1202.7"/>
        <n v="739.58"/>
        <n v="344.17"/>
        <n v="4759.96"/>
        <n v="1879.81"/>
        <n v="1426.41"/>
        <n v="7413.53"/>
        <n v="773.85"/>
        <n v="3766.9"/>
        <n v="6110.42"/>
        <n v="4353.8100000000004"/>
        <n v="2413.59"/>
        <n v="10195.44"/>
        <n v="337.63"/>
        <n v="1069.6500000000001"/>
        <n v="1088.5999999999999"/>
        <n v="2064.94"/>
        <n v="3588.95"/>
        <n v="9797.26"/>
        <n v="1180.06"/>
        <n v="2609.8200000000002"/>
        <n v="7539.23"/>
        <n v="2686.15"/>
        <n v="1617.73"/>
        <n v="14161.28"/>
        <n v="1307.55"/>
        <n v="8321.7000000000007"/>
        <n v="1348.13"/>
        <n v="1014.1"/>
        <n v="4056.96"/>
        <n v="5586.34"/>
        <n v="1131.1099999999999"/>
        <n v="3733.33"/>
        <n v="338.26"/>
        <n v="603.16999999999996"/>
        <n v="2607.84"/>
        <n v="10811.3"/>
        <n v="4647.22"/>
        <n v="3112.63"/>
        <n v="395.12"/>
        <n v="9305.73"/>
        <n v="692.06"/>
        <n v="892.96"/>
        <n v="3734.96"/>
        <n v="946.02"/>
        <n v="6670.83"/>
        <n v="2220.52"/>
        <n v="4691.46"/>
        <n v="1052.56"/>
        <n v="3825.14"/>
        <n v="1792.38"/>
        <n v="10085.799999999999"/>
        <n v="2504.0500000000002"/>
        <n v="4083.58"/>
        <n v="6023.64"/>
        <n v="2598.96"/>
        <n v="2286.79"/>
        <n v="2686.87"/>
        <n v="1597.66"/>
        <n v="2769.39"/>
        <n v="1610.44"/>
        <n v="1208.8800000000001"/>
        <n v="4439.88"/>
        <n v="1505.36"/>
        <n v="1931.62"/>
        <n v="4018.41"/>
        <n v="10960.43"/>
        <n v="9509.77"/>
        <n v="2600.11"/>
        <n v="1211.3699999999999"/>
        <n v="13392.55"/>
        <n v="8899.6"/>
        <n v="9632.26"/>
        <n v="12316.13"/>
        <n v="288.97000000000003"/>
        <n v="1184.76"/>
        <n v="1135.8399999999999"/>
        <n v="2921.28"/>
        <n v="1397.94"/>
        <n v="12608"/>
        <n v="2170.48"/>
        <n v="2422.27"/>
        <n v="6771.46"/>
        <n v="6087.96"/>
        <n v="560.64"/>
        <n v="6157.2"/>
        <n v="3063.77"/>
        <n v="3897.22"/>
        <n v="1365.75"/>
        <n v="2946.03"/>
        <n v="4467.8900000000003"/>
        <n v="4701.87"/>
        <n v="1160.75"/>
        <n v="864.59"/>
        <n v="2933.79"/>
        <n v="1863.5"/>
        <n v="1108.51"/>
        <n v="4696.71"/>
        <n v="6108.36"/>
        <n v="2827.49"/>
        <n v="2109.06"/>
        <n v="3518.69"/>
        <n v="2418.58"/>
        <n v="13672.93"/>
        <n v="3831.73"/>
        <n v="1568.81"/>
        <n v="3242.59"/>
        <n v="355.08"/>
        <n v="9471.65"/>
        <n v="1933.03"/>
        <n v="12596.57"/>
        <n v="1517.08"/>
        <n v="4674.38"/>
        <n v="8514.24"/>
        <n v="932.31"/>
        <n v="3036.8"/>
        <n v="1256.8399999999999"/>
        <n v="1567.25"/>
        <n v="1255.27"/>
        <n v="8197.0300000000007"/>
        <n v="17434.080000000002"/>
        <n v="13767.2"/>
        <n v="1257.3499999999999"/>
        <n v="1268.5999999999999"/>
        <n v="4713.45"/>
        <n v="8403.99"/>
        <n v="4782.96"/>
        <n v="1920.19"/>
        <n v="4172.71"/>
        <n v="1937.63"/>
        <n v="8475.7800000000007"/>
        <n v="9998.9599999999991"/>
        <n v="10768.63"/>
        <n v="1440.01"/>
        <n v="1250.44"/>
        <n v="879.36"/>
        <n v="482.67"/>
        <n v="7446.46"/>
        <n v="2570.5100000000002"/>
        <n v="2840.76"/>
        <n v="1656"/>
        <n v="3180.78"/>
        <n v="4177.26"/>
        <n v="9938.75"/>
        <n v="1329.8"/>
        <n v="5818.52"/>
        <n v="3953.46"/>
        <n v="6868.61"/>
        <n v="3367.91"/>
        <n v="563.05999999999995"/>
        <n v="3712.32"/>
        <n v="8237.75"/>
        <n v="5650.08"/>
        <n v="8166.96"/>
        <n v="3132.44"/>
        <n v="513.46"/>
        <n v="220"/>
        <n v="4647.04"/>
        <n v="6953.84"/>
        <n v="3449.36"/>
        <n v="3581.66"/>
        <n v="338.37"/>
        <n v="1246.8699999999999"/>
        <n v="2293.06"/>
        <n v="5584.29"/>
        <n v="4020.92"/>
        <n v="1459.87"/>
        <n v="1695.29"/>
        <n v="4143.8999999999996"/>
        <n v="210.29"/>
        <n v="4474.8599999999997"/>
        <n v="489"/>
        <n v="1693.43"/>
        <n v="402.08"/>
        <n v="1172.3699999999999"/>
        <n v="2856.92"/>
        <n v="2655.6"/>
        <n v="5654.12"/>
        <n v="1725.39"/>
        <n v="1332"/>
        <n v="2426.7199999999998"/>
        <n v="7392.66"/>
        <n v="893.53"/>
        <n v="6021.92"/>
        <n v="660.92"/>
        <n v="11766.85"/>
        <n v="3596.35"/>
        <n v="12397.37"/>
        <n v="6885.75"/>
        <n v="2519.4499999999998"/>
        <n v="13888.79"/>
        <n v="1057.47"/>
        <n v="4597.01"/>
        <n v="1055.2"/>
        <n v="4474.59"/>
        <n v="171.26"/>
        <n v="607.54"/>
        <n v="648.02"/>
        <n v="5253.7"/>
        <n v="3149.57"/>
        <n v="5281.03"/>
        <n v="1430.94"/>
        <n v="812.14"/>
        <n v="9606.81"/>
        <n v="5855.93"/>
        <n v="612.72"/>
        <n v="2223.14"/>
        <n v="741.53"/>
        <n v="1644.04"/>
        <n v="298.54000000000002"/>
        <n v="5719.96"/>
        <n v="14017.75"/>
        <n v="8469.98"/>
        <n v="3604.83"/>
        <n v="1602.6"/>
        <n v="7072.24"/>
        <n v="9083.66"/>
        <n v="3079.11"/>
        <n v="10327.99"/>
        <n v="6096.83"/>
        <n v="4380.63"/>
        <n v="2225.2600000000002"/>
        <n v="2141.8200000000002"/>
        <n v="1209.04"/>
        <n v="549.78"/>
        <n v="4056.98"/>
        <n v="447.81"/>
        <n v="4912.92"/>
        <n v="2413.88"/>
        <n v="8289.2000000000007"/>
        <n v="1158.8800000000001"/>
        <n v="4201.38"/>
        <n v="8254.2900000000009"/>
        <n v="4870.72"/>
        <n v="1107.29"/>
        <n v="7482.63"/>
        <n v="4753.78"/>
        <n v="4374.09"/>
        <n v="1427.58"/>
        <n v="14245.99"/>
        <n v="1143.94"/>
        <n v="6516.42"/>
        <n v="10022.18"/>
        <n v="4365.5"/>
        <n v="6385.75"/>
        <n v="1029.8900000000001"/>
        <n v="2701.06"/>
        <n v="5256.14"/>
        <n v="5338.84"/>
        <n v="3252"/>
        <n v="1150.6600000000001"/>
        <n v="8018.64"/>
        <n v="1413.84"/>
        <n v="5156.26"/>
        <n v="363.71"/>
        <n v="1482.13"/>
        <n v="1109.68"/>
        <n v="17224.740000000002"/>
        <n v="396.12"/>
        <n v="4774.21"/>
        <n v="1072.53"/>
        <n v="4929.71"/>
        <n v="5160.46"/>
        <n v="1781.75"/>
        <n v="2036.58"/>
        <n v="2339.88"/>
        <n v="975.71"/>
        <n v="3417.86"/>
        <n v="3672.92"/>
        <n v="12070.02"/>
        <n v="9340.06"/>
        <n v="9583.2099999999991"/>
        <n v="306.8"/>
        <n v="1443.98"/>
        <n v="11405.95"/>
        <n v="1651.54"/>
        <n v="4047.98"/>
        <n v="4172.83"/>
        <n v="972.15"/>
        <n v="10629.85"/>
        <n v="2441.5"/>
        <n v="4555.4399999999996"/>
        <n v="7153.56"/>
        <n v="300.77999999999997"/>
        <n v="542.04999999999995"/>
        <n v="5218.75"/>
        <n v="6185.93"/>
        <n v="1237.8499999999999"/>
        <n v="2462.79"/>
        <n v="3713.64"/>
        <n v="7438.02"/>
        <n v="2275.04"/>
        <n v="7824.6"/>
        <n v="830.3"/>
        <n v="779.89"/>
        <n v="5409.86"/>
        <n v="5266.37"/>
        <n v="8234.74"/>
        <n v="373.63"/>
        <n v="11724.79"/>
        <n v="12971.72"/>
        <n v="4117.88"/>
        <n v="4572.29"/>
        <n v="5792.96"/>
        <n v="2142.4"/>
        <n v="5931"/>
        <n v="464.3"/>
        <n v="4497.3"/>
        <n v="3120.81"/>
        <n v="2722.05"/>
        <n v="14069.02"/>
        <n v="3911.83"/>
        <n v="8475.5"/>
        <n v="995.2"/>
        <n v="970.65"/>
        <n v="1162.01"/>
        <n v="618.57000000000005"/>
        <n v="3343.18"/>
        <n v="4749.07"/>
        <n v="2009.61"/>
        <n v="1539.48"/>
        <n v="4198.71"/>
        <n v="7966.8"/>
        <n v="11002.55"/>
        <n v="1051.54"/>
        <n v="9831.5300000000007"/>
        <n v="1131.52"/>
        <n v="6166.5"/>
        <n v="13372.52"/>
        <n v="11071.07"/>
        <n v="1472.73"/>
        <n v="324.60000000000002"/>
        <n v="1304.3399999999999"/>
        <n v="3001.86"/>
        <n v="109.73"/>
        <n v="7873.29"/>
        <n v="3963.96"/>
        <n v="6871.33"/>
        <n v="1610.69"/>
        <n v="1140.8699999999999"/>
        <n v="436.92"/>
        <n v="9278.15"/>
        <n v="3028.56"/>
        <n v="1625.07"/>
        <n v="3353.08"/>
        <n v="3786.22"/>
        <n v="7258.61"/>
        <n v="854.72"/>
        <n v="5239.5600000000004"/>
        <n v="6552.9"/>
        <n v="8552.06"/>
        <n v="3652.35"/>
        <n v="4374.1000000000004"/>
        <n v="1908.76"/>
        <n v="1240.5999999999999"/>
        <n v="1754.65"/>
        <n v="1829.22"/>
        <n v="3493.42"/>
        <n v="1270.67"/>
        <n v="5417.4"/>
        <n v="11999.38"/>
        <n v="1883.81"/>
        <n v="4205"/>
        <n v="5058.07"/>
        <n v="1088.3599999999999"/>
        <n v="879"/>
        <n v="1716.56"/>
        <n v="1326.03"/>
        <n v="13138.27"/>
        <n v="11379.48"/>
        <n v="801.21"/>
        <n v="5183.41"/>
        <n v="8377.31"/>
        <n v="544.20000000000005"/>
        <n v="1449.76"/>
        <n v="1454.43"/>
        <n v="4020.48"/>
        <n v="805.4"/>
        <n v="9971.4599999999991"/>
        <n v="1557.36"/>
        <n v="7987.05"/>
        <n v="2210.58"/>
        <n v="3197.08"/>
        <n v="1577.16"/>
        <n v="3361.77"/>
        <n v="10715.11"/>
        <n v="1383.96"/>
        <n v="3569.64"/>
        <n v="421.8"/>
        <n v="1543.2"/>
        <n v="206.94"/>
        <n v="1550.97"/>
        <n v="3064.69"/>
        <n v="2095.56"/>
        <n v="1193.54"/>
        <n v="11193.57"/>
        <n v="1305.3599999999999"/>
        <n v="15167.68"/>
        <n v="4987.8500000000004"/>
        <n v="2699.48"/>
        <n v="631.1"/>
        <n v="268.13"/>
        <n v="3049.35"/>
        <n v="10838.18"/>
        <n v="1212.18"/>
        <n v="210.34"/>
        <n v="6126.91"/>
        <n v="8250.7099999999991"/>
        <n v="7188.28"/>
        <n v="2362.86"/>
        <n v="6505.92"/>
        <n v="1276.3"/>
        <n v="602.16"/>
        <n v="5252.72"/>
        <n v="3567.96"/>
        <n v="12322.99"/>
        <n v="6469.02"/>
        <n v="1794.3"/>
        <n v="1656.75"/>
        <n v="1646.21"/>
        <n v="13355.93"/>
        <n v="3087.32"/>
        <n v="5649.41"/>
        <n v="858.76"/>
        <n v="2553.34"/>
        <n v="485.74"/>
        <n v="4533.8100000000004"/>
        <n v="2085.13"/>
        <n v="3513.92"/>
        <n v="4140.82"/>
        <n v="1465.68"/>
        <n v="11939.82"/>
        <n v="5289.08"/>
        <n v="1331.94"/>
        <n v="1048.4000000000001"/>
        <n v="1555.16"/>
        <n v="943.32"/>
        <n v="3303.02"/>
        <n v="1324.64"/>
        <n v="15003.26"/>
        <n v="8394.9"/>
        <n v="9301.5400000000009"/>
        <n v="1815.65"/>
        <n v="3401.41"/>
        <n v="1685.17"/>
        <n v="2829.33"/>
        <n v="1579.18"/>
        <n v="10887.61"/>
        <n v="316.38"/>
        <n v="2650.78"/>
        <n v="4935.28"/>
        <n v="3253.25"/>
        <n v="9518.09"/>
        <n v="6229.5"/>
        <n v="2977.76"/>
        <n v="2254.96"/>
        <n v="15995.52"/>
        <n v="979.03"/>
        <n v="9199.01"/>
        <n v="1158.3399999999999"/>
        <n v="9926.66"/>
        <n v="2964.86"/>
        <n v="3052.56"/>
        <n v="1747.67"/>
        <n v="3829.01"/>
        <n v="8548.3799999999992"/>
        <n v="9293.1299999999992"/>
        <n v="1354.28"/>
        <n v="11388.06"/>
        <n v="10987.16"/>
        <n v="1454.83"/>
        <n v="1833.37"/>
        <n v="6876.37"/>
        <n v="9868.15"/>
        <n v="665.32"/>
        <n v="3587.24"/>
        <n v="949.06"/>
        <n v="4814.18"/>
        <n v="3195.36"/>
        <n v="1463.4"/>
        <n v="2341.6999999999998"/>
        <n v="3456.83"/>
        <n v="668.04"/>
        <n v="3493.33"/>
        <n v="12925.24"/>
        <n v="7561.15"/>
        <n v="221.03"/>
        <n v="3879.85"/>
        <n v="9083.43"/>
        <n v="3038.91"/>
        <n v="4839.7"/>
        <n v="4061.33"/>
        <n v="1950.39"/>
        <n v="6918.96"/>
        <n v="7387.32"/>
        <n v="9207.65"/>
        <n v="5446.22"/>
        <n v="1318.64"/>
        <n v="7625.26"/>
        <n v="4789.72"/>
        <n v="4116.33"/>
        <n v="7344.78"/>
        <n v="7219.44"/>
        <n v="10791.95"/>
        <n v="3133.25"/>
        <n v="12751.62"/>
        <n v="929.43"/>
        <n v="480.34"/>
        <n v="7270.98"/>
        <n v="1706.26"/>
        <n v="1478.44"/>
        <n v="4739.04"/>
        <n v="2609.13"/>
        <n v="352.13"/>
        <n v="14000.33"/>
        <n v="2594.4299999999998"/>
        <n v="2666.45"/>
        <n v="5840.83"/>
        <n v="6330.97"/>
        <n v="525.94000000000005"/>
        <n v="9452.65"/>
        <n v="916.38"/>
        <n v="8214.14"/>
        <n v="6272.26"/>
        <n v="4451.25"/>
        <n v="5671.13"/>
        <n v="2810.96"/>
        <n v="7348.96"/>
        <n v="4072.66"/>
        <n v="8917.02"/>
        <n v="2118.1"/>
        <n v="10743.62"/>
        <n v="720.42"/>
        <n v="130.85"/>
        <n v="490.03"/>
        <n v="716.48"/>
        <n v="4366.18"/>
        <n v="147.69"/>
        <n v="48.84"/>
        <n v="11263.98"/>
        <n v="7850.61"/>
        <n v="6511.64"/>
        <n v="5323.89"/>
        <n v="1132.06"/>
        <n v="1293.31"/>
        <n v="1656.5"/>
        <n v="11097.06"/>
        <n v="2684.92"/>
        <n v="9733.08"/>
        <n v="195.54"/>
        <n v="4916.97"/>
        <n v="1905.36"/>
        <n v="5130.32"/>
        <n v="1175.23"/>
        <n v="5995.13"/>
        <n v="528.99"/>
        <n v="246.84"/>
        <n v="13344.97"/>
        <n v="11035.28"/>
        <n v="1459.19"/>
        <n v="9475.48"/>
        <n v="1410.35"/>
        <n v="982.61"/>
        <n v="1582.37"/>
        <n v="2295.54"/>
        <n v="6076.66"/>
        <n v="3139.36"/>
        <n v="14822.54"/>
        <n v="1498.59"/>
        <n v="1582.02"/>
        <n v="1041.1199999999999"/>
        <n v="483.68"/>
        <n v="669.24"/>
        <n v="6411.69"/>
        <n v="13538.8"/>
        <n v="8571.9"/>
        <n v="2029.72"/>
        <n v="346.95"/>
        <n v="1991.21"/>
        <n v="4307.2"/>
        <n v="7273.39"/>
        <n v="1123.98"/>
        <n v="5523.64"/>
        <n v="12531.74"/>
        <n v="6733.44"/>
        <n v="2642.86"/>
        <n v="9052.64"/>
        <n v="8787.84"/>
        <n v="7157"/>
        <n v="7244.24"/>
        <n v="1446.57"/>
        <n v="3655.01"/>
        <n v="492.35"/>
        <n v="7636.93"/>
        <n v="241.32"/>
        <n v="13231.73"/>
        <n v="1382.52"/>
        <n v="832.82"/>
        <n v="2263.7199999999998"/>
        <n v="3185.78"/>
        <n v="7453.66"/>
        <n v="9327.1"/>
        <n v="4404.3500000000004"/>
        <n v="2003.45"/>
        <n v="1489.64"/>
        <n v="1255.8900000000001"/>
        <n v="9461.2800000000007"/>
        <n v="7799.38"/>
        <n v="3259.71"/>
        <n v="11319.02"/>
        <n v="3384"/>
        <n v="6532.01"/>
        <n v="2426.65"/>
        <n v="1601.29"/>
        <n v="718.42"/>
        <n v="11750.95"/>
        <n v="6648.36"/>
        <n v="1638.14"/>
        <n v="8810.66"/>
        <n v="1565.79"/>
        <n v="4951.38"/>
        <n v="10186.620000000001"/>
        <n v="1888.82"/>
        <n v="2795.68"/>
        <n v="4478.83"/>
        <n v="3376.49"/>
        <n v="6490.97"/>
        <n v="248.62"/>
        <n v="635.86"/>
        <n v="5870.25"/>
        <n v="6337.02"/>
        <n v="12213.22"/>
        <n v="4650.8599999999997"/>
        <n v="2056.19"/>
        <n v="3711.1"/>
        <n v="7029"/>
        <n v="1544.59"/>
        <n v="948.74"/>
        <n v="908.16"/>
        <n v="4105.2299999999996"/>
        <n v="7563.08"/>
        <n v="2068.16"/>
        <n v="4396.68"/>
        <n v="4633.0600000000004"/>
        <n v="12793.34"/>
        <n v="1373.65"/>
        <n v="5826.6"/>
        <n v="6407.84"/>
        <n v="9734.76"/>
        <n v="7825.12"/>
        <n v="479.54"/>
        <n v="9267.34"/>
        <n v="1320.07"/>
        <n v="422.71"/>
        <n v="6209.89"/>
        <n v="1485.86"/>
        <n v="5351.06"/>
        <n v="6542.16"/>
        <n v="6176.61"/>
        <n v="5571.14"/>
        <n v="1571.44"/>
        <n v="13270.23"/>
        <n v="6302.59"/>
        <n v="3846.41"/>
        <n v="12162.72"/>
        <n v="864.58"/>
        <n v="4672.46"/>
        <n v="10444.39"/>
        <n v="236.13"/>
        <n v="7436.7"/>
        <n v="8289.41"/>
        <n v="485.73"/>
        <n v="6625.34"/>
        <n v="5729.26"/>
        <n v="10614.51"/>
        <n v="183.96"/>
        <n v="803.16"/>
        <n v="8980.09"/>
        <n v="4966.3500000000004"/>
        <n v="11969.47"/>
        <n v="5274.5"/>
        <n v="2202.66"/>
        <n v="6262.6"/>
        <n v="4695.12"/>
        <n v="5845.06"/>
        <n v="12129.26"/>
        <n v="6449.85"/>
        <n v="16247.14"/>
        <n v="300.43"/>
        <n v="4753.8900000000003"/>
        <n v="5621.16"/>
        <n v="10900.98"/>
        <n v="1026.04"/>
        <n v="9732.08"/>
        <n v="3522.82"/>
        <n v="223.09"/>
        <n v="660.33"/>
        <n v="3687.6"/>
        <n v="5060.29"/>
        <n v="4569.12"/>
        <n v="3661.44"/>
        <n v="2145.2199999999998"/>
        <n v="5508.48"/>
        <n v="7031.64"/>
        <n v="845.54"/>
        <n v="5731.42"/>
        <n v="728.73"/>
        <n v="404.39"/>
        <n v="5125.67"/>
        <n v="1116.1400000000001"/>
        <n v="3224.34"/>
        <n v="1341.99"/>
        <n v="3397.52"/>
        <n v="1171.47"/>
        <n v="4651.08"/>
        <n v="10420.02"/>
        <n v="1275.72"/>
        <n v="4029.62"/>
        <n v="10587.3"/>
        <n v="7794.07"/>
        <n v="7592.74"/>
        <n v="1584.64"/>
        <n v="8192.73"/>
        <n v="617.73"/>
        <n v="2541.5"/>
        <n v="832.9"/>
        <n v="11545.22"/>
        <n v="4089.07"/>
        <n v="1877.89"/>
        <n v="8830.2199999999993"/>
        <n v="2773.42"/>
        <n v="316.25"/>
        <n v="1359.7"/>
        <n v="3022.54"/>
        <n v="3763.73"/>
        <n v="877.81"/>
        <n v="5533.19"/>
        <n v="1055.5"/>
        <n v="2613.9"/>
        <n v="5837.05"/>
        <n v="4695.03"/>
        <n v="1439.07"/>
        <n v="1464.97"/>
        <n v="9564.4500000000007"/>
        <n v="10694.23"/>
        <n v="11914.21"/>
        <n v="1794.26"/>
        <n v="1765.98"/>
        <n v="3339.17"/>
        <n v="862.54"/>
        <n v="10178.11"/>
        <n v="2198.94"/>
        <n v="2476.65"/>
        <n v="10834.38"/>
        <n v="12143.49"/>
        <n v="566.25"/>
        <n v="11197.38"/>
        <n v="7319.59"/>
        <n v="403.75"/>
        <n v="10605.8"/>
        <n v="7815.86"/>
        <n v="14917.44"/>
        <n v="5506.7"/>
        <n v="4490.91"/>
        <n v="547.6"/>
        <n v="2323.35"/>
        <n v="1724.6"/>
        <n v="1227.3"/>
        <n v="4741.25"/>
        <n v="3611.31"/>
        <n v="4623.6000000000004"/>
        <n v="8573.24"/>
        <n v="11909.7"/>
        <n v="5214.4799999999996"/>
        <n v="3572.42"/>
        <n v="1907.6"/>
        <n v="4815.78"/>
        <n v="5718.55"/>
        <n v="10321.64"/>
        <n v="1878.34"/>
        <n v="10712.8"/>
        <n v="7643.89"/>
        <n v="253.72"/>
        <n v="13234.9"/>
        <n v="4851.45"/>
        <n v="1953.89"/>
        <n v="4005.81"/>
        <n v="996.89"/>
        <n v="2195.12"/>
        <n v="1736.65"/>
        <n v="843.01"/>
        <n v="7633.56"/>
        <n v="4062.01"/>
        <n v="954.56"/>
        <n v="2267.9499999999998"/>
        <n v="12254.69"/>
        <n v="2340.67"/>
        <n v="1775.44"/>
        <n v="339.34"/>
        <n v="368.93"/>
        <n v="9003.4699999999993"/>
        <n v="12633.82"/>
        <n v="1336.19"/>
        <n v="5999.77"/>
        <n v="1969.56"/>
        <n v="6869.34"/>
        <n v="10453.049999999999"/>
        <n v="5548.46"/>
        <n v="1544.16"/>
        <n v="12460.16"/>
        <n v="3894.28"/>
        <n v="502.48"/>
        <n v="1604.05"/>
        <n v="4248.8"/>
        <n v="1922.33"/>
        <n v="12465.74"/>
        <n v="11680.02"/>
        <n v="2206.7600000000002"/>
        <n v="15111.45"/>
        <n v="11057.34"/>
        <n v="6359.47"/>
        <n v="6420.37"/>
        <n v="8258.2800000000007"/>
        <n v="475.35"/>
        <n v="2926.35"/>
        <n v="2639.25"/>
        <n v="5268.15"/>
        <n v="7805.47"/>
        <n v="871.92"/>
        <n v="2381.94"/>
        <n v="3174.48"/>
        <n v="15343.4"/>
        <n v="259.39"/>
        <n v="3615.4"/>
        <n v="332.42"/>
        <n v="7922.68"/>
        <n v="17207.55"/>
        <n v="6087.72"/>
        <n v="6613.74"/>
        <n v="4697.84"/>
        <n v="6961.25"/>
        <n v="1077.82"/>
        <n v="869.04"/>
        <n v="877.61"/>
        <n v="6598.87"/>
        <n v="939.71"/>
        <n v="10230.14"/>
        <n v="9429.98"/>
        <n v="4498.6499999999996"/>
        <n v="1052.0899999999999"/>
        <n v="3871.94"/>
        <n v="2893.71"/>
        <n v="9770.5400000000009"/>
        <n v="1760.84"/>
        <n v="4680.07"/>
        <n v="518.29999999999995"/>
        <n v="5400.45"/>
        <n v="3865.7"/>
        <n v="2231.7800000000002"/>
        <n v="13786.7"/>
        <n v="1220.22"/>
        <n v="1100.0999999999999"/>
        <n v="3077.8"/>
        <n v="7129.52"/>
        <n v="3921.37"/>
        <n v="5857.25"/>
        <n v="1767.26"/>
        <n v="4324.07"/>
        <n v="12148.85"/>
        <n v="1883.51"/>
        <n v="4265.76"/>
        <n v="9061.65"/>
        <n v="12915.52"/>
        <n v="707.06"/>
        <n v="4921.79"/>
        <n v="6620.64"/>
        <n v="4814.99"/>
        <n v="3335.37"/>
        <n v="1615.32"/>
        <n v="438.28"/>
        <n v="1127.8800000000001"/>
        <n v="9240.51"/>
        <n v="205.16"/>
        <n v="5483.69"/>
        <n v="5475.53"/>
        <n v="4505.18"/>
        <n v="14120.16"/>
        <n v="804.95"/>
        <n v="200.05"/>
        <n v="14211.47"/>
        <n v="1086.04"/>
        <n v="12544.22"/>
        <n v="9822.4599999999991"/>
        <n v="2102.1"/>
        <n v="4228.7700000000004"/>
        <n v="1899.97"/>
        <n v="3813.68"/>
        <n v="415.62"/>
        <n v="3508.69"/>
        <n v="2984.75"/>
        <n v="2075.85"/>
        <n v="5580.35"/>
        <n v="869.95"/>
        <n v="1201.3399999999999"/>
        <n v="1450.08"/>
        <n v="4499.63"/>
        <n v="1460.1"/>
        <n v="2822.98"/>
        <n v="1273.8900000000001"/>
        <n v="529.57000000000005"/>
        <n v="3612.36"/>
        <n v="1417.06"/>
        <n v="1058.47"/>
        <n v="1902.06"/>
        <n v="3731.56"/>
        <n v="8861.16"/>
        <n v="8315.14"/>
        <n v="7749.81"/>
        <n v="2448.29"/>
        <n v="9476.67"/>
        <n v="12940.42"/>
        <n v="9212.84"/>
        <n v="434.39"/>
        <n v="3649.65"/>
        <n v="1177.8"/>
        <n v="4030.36"/>
        <n v="13294.08"/>
        <n v="4206.05"/>
        <n v="3023.68"/>
        <n v="13831.56"/>
        <n v="3157.29"/>
        <n v="2597.0700000000002"/>
        <n v="1346.98"/>
        <n v="4806.03"/>
        <n v="2887.94"/>
        <n v="361.24"/>
        <n v="4022.13"/>
        <n v="2542.34"/>
        <n v="918.8"/>
        <n v="7588.93"/>
        <n v="890.68"/>
        <n v="6042.64"/>
        <n v="4562.3"/>
        <n v="2565.42"/>
        <n v="728.14"/>
        <n v="5425.36"/>
        <n v="12579.44"/>
        <n v="9519.81"/>
        <n v="2698.99"/>
        <n v="12261.19"/>
        <n v="6291.29"/>
        <n v="342.1"/>
        <n v="1284.42"/>
        <n v="1304.42"/>
        <n v="14551.74"/>
        <n v="547.12"/>
        <n v="293.99"/>
        <n v="3416.84"/>
        <n v="5053.8599999999997"/>
        <n v="280.93"/>
        <n v="257.04000000000002"/>
        <n v="1832.49"/>
        <n v="885.63"/>
        <n v="3637.01"/>
        <n v="2247.7800000000002"/>
        <n v="1014.52"/>
        <n v="1541.2"/>
        <n v="5773.88"/>
        <n v="7685.42"/>
        <n v="8969.2000000000007"/>
        <n v="5036.53"/>
        <n v="7580.23"/>
        <n v="6902.77"/>
        <n v="3059.42"/>
        <n v="8634.64"/>
        <n v="81.319999999999993"/>
        <n v="1260.18"/>
        <n v="833.77"/>
        <n v="10273.41"/>
        <n v="2502.06"/>
        <n v="5422.05"/>
        <n v="432.27"/>
        <n v="4560.04"/>
        <n v="8781.8799999999992"/>
        <n v="1427.08"/>
        <n v="5186.38"/>
        <n v="8945.8799999999992"/>
        <n v="843.32"/>
        <n v="5576.57"/>
        <n v="7527.19"/>
        <n v="955.6"/>
        <n v="8662.2800000000007"/>
        <n v="6854.72"/>
        <n v="10871.67"/>
        <n v="3272.6"/>
        <n v="14117.68"/>
        <n v="11064.55"/>
        <n v="2740.9"/>
        <n v="9706.4"/>
        <n v="4437.3500000000004"/>
        <n v="5911.2"/>
        <n v="3289.47"/>
        <n v="1204.74"/>
        <n v="2508.3000000000002"/>
        <n v="11242.98"/>
        <n v="7689.74"/>
        <n v="5010.04"/>
        <n v="2421.7199999999998"/>
        <n v="4314.38"/>
        <n v="2976.67"/>
        <n v="352.31"/>
        <n v="239.22"/>
        <n v="6494.64"/>
        <n v="2539.6799999999998"/>
        <n v="4263.6499999999996"/>
        <n v="8429.58"/>
        <n v="5337.3"/>
        <n v="10484.32"/>
        <n v="1107.6600000000001"/>
        <n v="3829.75"/>
        <n v="2008.58"/>
        <n v="726.38"/>
        <n v="560.20000000000005"/>
        <n v="3702.24"/>
        <n v="381.24"/>
        <n v="856.01"/>
        <n v="754.12"/>
        <n v="15720"/>
        <n v="4504.37"/>
        <n v="4218.8500000000004"/>
        <n v="1659.42"/>
        <n v="12583.52"/>
        <n v="12808.29"/>
        <n v="9899.42"/>
        <n v="7924.84"/>
        <n v="2908.06"/>
        <n v="3582.41"/>
        <n v="14853.21"/>
        <n v="550.16"/>
        <n v="2226.5500000000002"/>
        <n v="17598.150000000001"/>
        <n v="640.28"/>
        <n v="8050.9"/>
        <n v="3134.35"/>
        <n v="8159.18"/>
        <n v="3361.12"/>
        <n v="9600.61"/>
        <n v="2243.3000000000002"/>
        <n v="1914.16"/>
        <n v="1244.03"/>
        <n v="5907.31"/>
        <n v="7192.63"/>
        <n v="6719.9"/>
        <n v="2047.79"/>
        <n v="6393.86"/>
        <n v="5929.05"/>
        <n v="1653.45"/>
        <n v="1029.31"/>
        <n v="732.68"/>
        <n v="13354.34"/>
        <n v="549.75"/>
        <n v="2667.69"/>
        <n v="10129.030000000001"/>
        <n v="6413.35"/>
        <n v="367.34"/>
        <n v="7677.81"/>
        <n v="1236.1199999999999"/>
        <n v="6827.52"/>
        <n v="5289.45"/>
        <n v="3102.68"/>
        <n v="7059.18"/>
        <n v="1292.48"/>
        <n v="10156.89"/>
        <n v="7741.58"/>
        <n v="2682.85"/>
        <n v="172.61"/>
        <n v="1986.25"/>
        <n v="1947.96"/>
        <n v="3934.31"/>
        <n v="11195.1"/>
        <n v="1117.25"/>
        <n v="12509.71"/>
        <n v="283.64"/>
        <n v="10347.33"/>
        <n v="2030.64"/>
        <n v="3113.72"/>
        <n v="282.05"/>
        <n v="7132.16"/>
        <n v="1363.32"/>
        <n v="1688.15"/>
        <n v="9463.82"/>
        <n v="1882.32"/>
        <n v="3263.59"/>
        <n v="2344.27"/>
        <n v="9026.2099999999991"/>
        <n v="4475.55"/>
        <n v="2249.2800000000002"/>
        <n v="3232.18"/>
        <n v="6790.85"/>
        <n v="12812.26"/>
        <n v="1375.48"/>
        <n v="7142.44"/>
        <n v="1222.02"/>
        <n v="5846.47"/>
        <n v="6226.45"/>
        <n v="5259.65"/>
        <n v="1994.66"/>
        <n v="3619.4"/>
        <n v="1992.71"/>
        <n v="2981.34"/>
        <n v="1004.77"/>
        <n v="7739.57"/>
        <n v="1345.86"/>
        <n v="2418.39"/>
        <n v="10602.32"/>
        <n v="3291.64"/>
        <n v="236.06"/>
        <n v="6213.4"/>
        <n v="306.45999999999998"/>
        <n v="2827.73"/>
        <n v="537.59"/>
        <n v="170.37"/>
        <n v="8768.5400000000009"/>
        <n v="1892.05"/>
        <n v="6148.1"/>
        <n v="939.84"/>
        <n v="2307.25"/>
        <n v="4355.53"/>
        <n v="737"/>
        <n v="1888.43"/>
        <n v="13583.95"/>
        <n v="5581.8"/>
        <n v="6377.68"/>
        <n v="2048.3000000000002"/>
        <n v="3168.4"/>
        <n v="2970.07"/>
        <n v="5993.78"/>
        <n v="1550.54"/>
        <n v="1877.14"/>
        <n v="4205.26"/>
        <n v="7376.51"/>
        <n v="3534.48"/>
        <n v="1808.48"/>
        <n v="8208.2000000000007"/>
        <n v="1996.51"/>
        <n v="15634.17"/>
        <n v="8256.3799999999992"/>
        <n v="4920.9799999999996"/>
        <n v="118.27"/>
        <n v="7609.82"/>
        <n v="1533.8"/>
        <n v="4209.0200000000004"/>
        <n v="1294.01"/>
        <n v="12064.32"/>
        <n v="8191.12"/>
        <n v="2186.6"/>
        <n v="2121.98"/>
        <n v="14209.02"/>
        <n v="824.42"/>
        <n v="5125.8"/>
        <n v="10750.39"/>
        <n v="2435.5"/>
        <n v="1503.28"/>
        <n v="8406.65"/>
        <n v="2534.64"/>
        <n v="3862.28"/>
        <n v="799.6"/>
        <n v="1309.75"/>
        <n v="2152.87"/>
        <n v="10369.94"/>
        <n v="405.5"/>
        <n v="804.76"/>
        <n v="5925.92"/>
        <n v="1019.05"/>
        <n v="7610.62"/>
        <n v="9502.32"/>
        <n v="16141.89"/>
        <n v="8585.4"/>
        <n v="7421.01"/>
        <n v="6646.6"/>
        <n v="3680.36"/>
        <n v="3080.66"/>
        <n v="524.24"/>
        <n v="14823.12"/>
        <n v="914.45"/>
        <n v="7226.18"/>
        <n v="2324.84"/>
        <n v="2846.09"/>
        <n v="358.99"/>
        <n v="8933.36"/>
        <n v="13485.12"/>
        <n v="400.62"/>
        <n v="9769.08"/>
        <n v="11400.48"/>
        <n v="9236.2999999999993"/>
        <n v="3969.64"/>
        <n v="1390.61"/>
        <n v="3614.26"/>
        <n v="5739.53"/>
        <n v="1540.15"/>
        <n v="1721.97"/>
        <n v="9997.7999999999993"/>
        <n v="4162.9399999999996"/>
        <n v="4055.06"/>
        <n v="1359.36"/>
        <n v="14196.24"/>
        <n v="1372.41"/>
        <n v="760.47"/>
        <n v="1544.96"/>
        <n v="72.05"/>
        <n v="627.09"/>
        <n v="8083.34"/>
        <n v="766.47"/>
        <n v="5831.04"/>
        <n v="4081.89"/>
        <n v="7029.96"/>
        <n v="1509.16"/>
        <n v="8965.32"/>
        <n v="10916.64"/>
        <n v="1956.92"/>
        <n v="3178.78"/>
        <n v="4181.05"/>
        <n v="995.1"/>
        <n v="4917.76"/>
        <n v="2187.11"/>
        <n v="7095.41"/>
        <n v="13534.69"/>
        <n v="1377.22"/>
        <n v="11587.95"/>
        <n v="8296.26"/>
        <n v="2528.19"/>
        <n v="880.06"/>
        <n v="4989.0200000000004"/>
        <n v="2403.33"/>
        <n v="1944.19"/>
        <n v="4931.92"/>
        <n v="5440.72"/>
        <n v="4427.87"/>
        <n v="11247.13"/>
        <n v="5152.38"/>
        <n v="4332.1099999999997"/>
        <n v="15744.24"/>
        <n v="2198.42"/>
        <n v="4351.01"/>
        <n v="9572.91"/>
        <n v="3420.7"/>
        <n v="1756.26"/>
        <n v="2678.5"/>
        <n v="7794.13"/>
        <n v="335.45"/>
        <n v="14386.57"/>
        <n v="8380.1"/>
        <n v="5083.1000000000004"/>
        <n v="11124.12"/>
        <n v="2582.7800000000002"/>
        <n v="3335.14"/>
        <n v="6293.76"/>
        <n v="436.58"/>
        <n v="4392.88"/>
        <n v="7006.63"/>
        <n v="7397.27"/>
        <n v="12193.98"/>
        <n v="11965.75"/>
        <n v="3167.38"/>
        <n v="4906.99"/>
        <n v="3884.07"/>
        <n v="5074.9799999999996"/>
        <n v="1421.57"/>
        <n v="3378.97"/>
        <n v="1227.02"/>
        <n v="8402.99"/>
        <n v="10037.280000000001"/>
        <n v="4792.95"/>
        <n v="6829.38"/>
        <n v="3444.7"/>
        <n v="5965.74"/>
        <n v="3394.92"/>
        <n v="507.28"/>
        <n v="546.07000000000005"/>
        <n v="3096.75"/>
        <n v="7998.84"/>
        <n v="5280.54"/>
        <n v="3355.64"/>
        <n v="1690.6"/>
        <n v="289.07"/>
        <n v="1443.28"/>
        <n v="2232.37"/>
        <n v="288.86"/>
        <n v="2869.06"/>
        <n v="2869.71"/>
        <n v="356.05"/>
        <n v="2510.63"/>
        <n v="2183.54"/>
        <n v="3597.62"/>
        <n v="3066.23"/>
        <n v="7128.9"/>
        <n v="8839.48"/>
        <n v="742.74"/>
        <n v="2837.89"/>
        <n v="14248.58"/>
        <n v="1905.78"/>
        <n v="10572.58"/>
        <n v="213.65"/>
        <n v="5154.5200000000004"/>
        <n v="932.55"/>
        <n v="6624.04"/>
        <n v="5934.72"/>
        <n v="12851.46"/>
        <n v="4447.37"/>
        <n v="4931.1400000000003"/>
        <n v="774.87"/>
        <n v="6591.51"/>
        <n v="6703.6"/>
        <n v="1500.03"/>
        <n v="9358.5499999999993"/>
        <n v="9139.66"/>
        <n v="738.93"/>
        <n v="9810.2099999999991"/>
        <n v="1805.17"/>
        <n v="479.12"/>
        <n v="434.64"/>
        <n v="5619.16"/>
        <n v="4183.99"/>
        <n v="1118.6600000000001"/>
        <n v="8528.7199999999993"/>
        <n v="5276.88"/>
        <n v="4935.8500000000004"/>
        <n v="10703.56"/>
        <n v="200.25"/>
        <n v="2316.0100000000002"/>
        <n v="12318.93"/>
        <n v="643.13"/>
        <n v="6373.74"/>
        <n v="2761"/>
        <n v="5196.6099999999997"/>
        <n v="359.42"/>
        <n v="4234.66"/>
        <n v="7014.13"/>
        <n v="2862.94"/>
        <n v="12635.11"/>
        <n v="8134.56"/>
        <n v="4701.3900000000003"/>
        <n v="7643.1"/>
        <n v="616.04"/>
        <n v="816.23"/>
        <n v="9215.49"/>
        <n v="5782.39"/>
        <n v="6466.93"/>
        <n v="1645.92"/>
        <n v="2073.23"/>
        <n v="3459.9"/>
        <n v="14909.92"/>
        <n v="6946.73"/>
        <n v="5415.19"/>
        <n v="967.27"/>
        <n v="6664.56"/>
        <n v="792.08"/>
        <n v="5218.5200000000004"/>
        <n v="3716.04"/>
        <n v="8156.05"/>
        <n v="3785.14"/>
        <n v="896.98"/>
        <n v="1035.3499999999999"/>
        <n v="3293.81"/>
        <n v="4828.96"/>
        <n v="2321.94"/>
        <n v="1729.62"/>
        <n v="10627.46"/>
        <n v="1620.22"/>
        <n v="5070.0600000000004"/>
        <n v="2255.36"/>
        <n v="14907.15"/>
        <n v="1211.8399999999999"/>
        <n v="11892.02"/>
        <n v="2643.54"/>
        <n v="5652.32"/>
        <n v="10034"/>
        <n v="6019.5"/>
        <n v="10364.959999999999"/>
        <n v="6033.16"/>
        <n v="618.64"/>
        <n v="3149.44"/>
        <n v="6874.42"/>
        <n v="1073.1400000000001"/>
        <n v="3438.88"/>
        <n v="1426.01"/>
        <n v="11602.08"/>
        <n v="10228.64"/>
        <n v="9305.98"/>
        <n v="7497.21"/>
        <n v="4521.25"/>
        <n v="884.16"/>
        <n v="894.79"/>
        <n v="8839.6200000000008"/>
        <n v="5991.78"/>
        <n v="2430.38"/>
        <n v="444.49"/>
        <n v="1508.61"/>
        <n v="11116.57"/>
        <n v="10855.31"/>
        <n v="1839.35"/>
        <n v="12630.97"/>
        <n v="16299.27"/>
        <n v="6733.66"/>
        <n v="1532"/>
        <n v="1364.8"/>
        <n v="155.93"/>
        <n v="3833.44"/>
        <n v="5818.85"/>
        <n v="4628.59"/>
        <n v="1273.57"/>
        <n v="3656.09"/>
        <n v="10733.04"/>
        <n v="12282.48"/>
        <n v="799.63"/>
        <n v="586.83000000000004"/>
        <n v="1672.08"/>
        <n v="5336.12"/>
        <n v="383.32"/>
        <n v="600.77"/>
        <n v="6982.04"/>
        <n v="2283.2199999999998"/>
        <n v="3327.55"/>
        <n v="987.71"/>
        <n v="5971.83"/>
        <n v="154.1"/>
        <n v="11279.46"/>
        <n v="1546"/>
        <n v="1585.64"/>
        <n v="6939.69"/>
        <n v="1231.51"/>
        <n v="3301.56"/>
        <n v="1479.36"/>
        <n v="8758.02"/>
        <n v="1919.7"/>
        <n v="7013.5"/>
        <n v="9922.19"/>
        <n v="7845.3"/>
        <n v="749.83"/>
        <n v="4336.6400000000003"/>
        <n v="5652.59"/>
        <n v="3660.8"/>
        <n v="7817.39"/>
        <n v="913.97"/>
        <n v="861.55"/>
        <n v="1642.59"/>
        <n v="2278.27"/>
        <n v="11297.22"/>
        <n v="2943.51"/>
        <n v="15207.52"/>
        <n v="2678.43"/>
        <n v="6470.13"/>
        <n v="4161.84"/>
        <n v="1190.79"/>
        <n v="11864.58"/>
        <n v="2307.06"/>
        <n v="889.54"/>
        <n v="5878.35"/>
        <n v="16670.62"/>
        <n v="884.02"/>
        <n v="1923.79"/>
        <n v="7163.95"/>
        <n v="5868"/>
        <n v="5098.91"/>
        <n v="2285.41"/>
        <n v="251.88"/>
        <n v="4721.88"/>
        <n v="5225.8100000000004"/>
        <n v="11305.3"/>
        <n v="798.86"/>
        <n v="9982.94"/>
        <n v="374.98"/>
        <n v="1095.26"/>
        <n v="3177.23"/>
        <n v="3982.25"/>
        <n v="8322.7199999999993"/>
        <n v="4379.8100000000004"/>
        <n v="2073.7800000000002"/>
        <n v="6110.05"/>
        <n v="7961.18"/>
        <n v="4521.13"/>
        <n v="4273.5200000000004"/>
        <n v="8339.39"/>
        <n v="812.76"/>
        <n v="2390.56"/>
        <n v="446.63"/>
        <n v="1148.04"/>
        <n v="4828.51"/>
        <n v="1455.81"/>
        <n v="2975.3"/>
        <n v="10279.14"/>
        <n v="8762.67"/>
        <n v="3605.77"/>
        <n v="1257.1500000000001"/>
        <n v="8253.23"/>
        <n v="3906.67"/>
        <n v="6251.39"/>
        <n v="4424.74"/>
        <n v="3754.13"/>
        <n v="9016.7800000000007"/>
        <n v="8519.7099999999991"/>
        <n v="235.34"/>
        <n v="3528.64"/>
        <n v="2971.33"/>
        <n v="6709.73"/>
        <n v="6620.02"/>
        <n v="5028.12"/>
        <n v="9611"/>
        <n v="11253.82"/>
        <n v="2560.5500000000002"/>
        <n v="5821.12"/>
        <n v="6877.5"/>
        <n v="5590.48"/>
        <n v="10299.14"/>
        <n v="1431.35"/>
        <n v="3234"/>
        <n v="3828.94"/>
        <n v="3178.7"/>
        <n v="5859.08"/>
        <n v="906.79"/>
        <n v="3318.91"/>
        <n v="938.2"/>
        <n v="15289.97"/>
        <n v="313.44"/>
        <n v="2579.2199999999998"/>
        <n v="4116.43"/>
        <n v="1577.07"/>
        <n v="2485.37"/>
        <n v="437.02"/>
        <n v="318.16000000000003"/>
        <n v="318.02"/>
        <n v="1294.4100000000001"/>
        <n v="2175.37"/>
        <n v="382.74"/>
        <n v="630.14"/>
        <n v="8309.5499999999993"/>
        <n v="610.33000000000004"/>
        <n v="3994.43"/>
        <n v="3039.19"/>
        <n v="5270.35"/>
        <n v="2672.11"/>
        <n v="12971.23"/>
        <n v="11266.34"/>
        <n v="1613.03"/>
        <n v="3553.42"/>
        <n v="1650.61"/>
        <n v="1441.33"/>
        <n v="7085.43"/>
        <n v="2713.24"/>
        <n v="3196.63"/>
        <n v="2124.96"/>
        <n v="5849.27"/>
        <n v="13441.28"/>
        <n v="545.76"/>
        <n v="3683.68"/>
        <n v="404.06"/>
        <n v="1169.31"/>
        <n v="5622.53"/>
        <n v="4374.7700000000004"/>
        <n v="13095.58"/>
        <n v="2957.87"/>
        <n v="10401.19"/>
        <n v="2998.7"/>
        <n v="721.46"/>
        <n v="1687.68"/>
        <n v="1853.26"/>
        <n v="8043.19"/>
        <n v="15871.68"/>
        <n v="1076.1500000000001"/>
        <n v="2499.62"/>
        <n v="1053.18"/>
        <n v="1971.06"/>
        <n v="3899.73"/>
        <n v="1310.75"/>
        <n v="3014.11"/>
        <n v="384.08"/>
        <n v="5079.5600000000004"/>
        <n v="7745.52"/>
        <n v="7577.07"/>
        <n v="9129.44"/>
        <n v="2501.5100000000002"/>
        <n v="3599.8"/>
        <n v="1502.12"/>
        <n v="4586.93"/>
        <n v="1654.71"/>
        <n v="8472.7800000000007"/>
        <n v="1464.52"/>
        <n v="7364.07"/>
        <n v="3260.57"/>
        <n v="10711.62"/>
        <n v="1398.1"/>
        <n v="2977.65"/>
        <n v="2971.34"/>
        <n v="6615.95"/>
        <n v="6284.63"/>
        <n v="6349.12"/>
        <n v="11651.76"/>
        <n v="6351.3"/>
        <n v="7106.62"/>
        <n v="5353.74"/>
        <n v="1717.63"/>
        <n v="13905.03"/>
        <n v="2215.42"/>
        <n v="1458.44"/>
        <n v="6847.53"/>
        <n v="3034.04"/>
        <n v="5433.66"/>
        <n v="8162.94"/>
        <n v="3523.2"/>
        <n v="8660.8799999999992"/>
        <n v="3946.28"/>
        <n v="7910"/>
        <n v="1846.06"/>
        <n v="12037.44"/>
        <n v="12194.24"/>
        <n v="601.88"/>
        <n v="12589.45"/>
        <n v="4671.16"/>
        <n v="2408.63"/>
        <n v="10085.86"/>
        <n v="476.21"/>
        <n v="868.26"/>
        <n v="8513.1200000000008"/>
        <n v="7100.94"/>
        <n v="958.74"/>
        <n v="6063.08"/>
        <n v="6835.21"/>
        <n v="3905.76"/>
        <n v="293.26"/>
        <n v="2666.38"/>
        <n v="427.13"/>
        <n v="3376.45"/>
        <n v="1922.63"/>
        <n v="790.27"/>
        <n v="4487.04"/>
        <n v="2177.36"/>
        <n v="3799.16"/>
        <n v="14474.56"/>
        <n v="8923.61"/>
        <n v="1574.9"/>
        <n v="4272.29"/>
        <n v="4561.5200000000004"/>
        <n v="415.96"/>
        <n v="4980.51"/>
        <n v="2697.71"/>
        <n v="8310.77"/>
        <n v="9196.98"/>
        <n v="2520.48"/>
        <n v="6830.21"/>
        <n v="10679.46"/>
        <n v="3718.4"/>
        <n v="5437.19"/>
        <n v="879.83"/>
        <n v="6961.91"/>
        <n v="2767.75"/>
        <n v="332.71"/>
        <n v="10486.96"/>
        <n v="2509.96"/>
        <n v="4069.68"/>
        <n v="5394.14"/>
        <n v="4986.9799999999996"/>
        <n v="2615.67"/>
        <n v="6356.65"/>
        <n v="1779.06"/>
        <n v="2741.3"/>
        <n v="3534.66"/>
        <n v="5978.94"/>
        <n v="2723.76"/>
        <n v="4863.3"/>
        <n v="846.41"/>
        <n v="5712.2"/>
        <n v="1628.74"/>
        <n v="13321.67"/>
        <n v="11005.08"/>
        <n v="335.06"/>
        <n v="7394.48"/>
        <n v="1125.18"/>
        <n v="6701.4"/>
        <n v="1758.76"/>
        <n v="403.59"/>
        <n v="3301.75"/>
        <n v="10101.52"/>
        <n v="2627.81"/>
        <n v="10215.81"/>
        <n v="8600.7999999999993"/>
        <n v="3188.92"/>
        <n v="13380.05"/>
        <n v="3053.92"/>
        <n v="1139.3399999999999"/>
        <n v="5138.6899999999996"/>
        <n v="6813.63"/>
        <n v="882.88"/>
        <n v="2044.96"/>
        <n v="1385.98"/>
        <n v="2977.97"/>
        <n v="1325.82"/>
        <n v="4360.0200000000004"/>
        <n v="314.20999999999998"/>
        <n v="3489.29"/>
        <n v="6073.6"/>
        <n v="3972.3"/>
        <n v="680"/>
        <n v="5074.8900000000003"/>
        <n v="2390.67"/>
        <n v="1950.83"/>
        <n v="7468.85"/>
        <n v="6599.79"/>
        <n v="11530.39"/>
        <n v="2137.65"/>
        <n v="6756.91"/>
        <n v="3293.57"/>
        <n v="4712.78"/>
        <n v="5557.19"/>
        <n v="2293.75"/>
        <n v="8955.74"/>
        <n v="562.73"/>
        <n v="1047.68"/>
        <n v="2378.41"/>
        <n v="9556.9"/>
        <n v="1430.59"/>
        <n v="1983.81"/>
        <n v="5524.8"/>
        <n v="13793.15"/>
        <n v="6019.33"/>
        <n v="3545.36"/>
        <n v="1573.42"/>
        <n v="2006.26"/>
        <n v="3444.57"/>
        <n v="2726.04"/>
        <n v="2620.12"/>
        <n v="2433.65"/>
        <n v="2775.36"/>
        <n v="12815.6"/>
        <n v="2264.33"/>
        <n v="397.67"/>
        <n v="710.56"/>
        <n v="9797.17"/>
        <n v="6563.3"/>
        <n v="3261.61"/>
        <n v="751.51"/>
        <n v="2495.2800000000002"/>
        <n v="1478.79"/>
        <n v="11315.94"/>
        <n v="6711.6"/>
        <n v="5329.3"/>
        <n v="11809.42"/>
        <n v="3755.08"/>
        <n v="5793.56"/>
        <n v="1461.54"/>
        <n v="3169.22"/>
        <n v="2443.3000000000002"/>
        <n v="3126.95"/>
        <n v="2689.27"/>
        <n v="465.77"/>
        <n v="3632.44"/>
        <n v="5597.17"/>
        <n v="1789.26"/>
        <n v="3682.2"/>
      </sharedItems>
    </cacheField>
    <cacheField name="Months (OrderDate)" numFmtId="0" databaseField="0">
      <fieldGroup base="1">
        <rangePr groupBy="months" startDate="2023-08-12T00:00:00" endDate="2025-08-12T00:00:00"/>
        <groupItems count="14">
          <s v="&lt;12-08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-08-2025"/>
        </groupItems>
      </fieldGroup>
    </cacheField>
    <cacheField name="Quarters (OrderDate)" numFmtId="0" databaseField="0">
      <fieldGroup base="1">
        <rangePr groupBy="quarters" startDate="2023-08-12T00:00:00" endDate="2025-08-12T00:00:00"/>
        <groupItems count="6">
          <s v="&lt;12-08-2023"/>
          <s v="Qtr1"/>
          <s v="Qtr2"/>
          <s v="Qtr3"/>
          <s v="Qtr4"/>
          <s v="&gt;12-08-2025"/>
        </groupItems>
      </fieldGroup>
    </cacheField>
    <cacheField name="Years (OrderDate)" numFmtId="0" databaseField="0">
      <fieldGroup base="1">
        <rangePr groupBy="years" startDate="2023-08-12T00:00:00" endDate="2025-08-12T00:00:00"/>
        <groupItems count="5">
          <s v="&lt;12-08-2023"/>
          <s v="2023"/>
          <s v="2024"/>
          <s v="2025"/>
          <s v="&gt;12-08-2025"/>
        </groupItems>
      </fieldGroup>
    </cacheField>
  </cacheFields>
  <extLst>
    <ext xmlns:x14="http://schemas.microsoft.com/office/spreadsheetml/2009/9/main" uri="{725AE2AE-9491-48be-B2B4-4EB974FC3084}">
      <x14:pivotCacheDefinition pivotCacheId="182982103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78.997613541665" createdVersion="8" refreshedVersion="8" minRefreshableVersion="3" recordCount="2000" xr:uid="{D8AB4A52-3AEF-4DD9-9F9F-B3143F2822E0}">
  <cacheSource type="worksheet">
    <worksheetSource ref="A1:K2001" sheet="Data"/>
  </cacheSource>
  <cacheFields count="11">
    <cacheField name="OrderID" numFmtId="0">
      <sharedItems/>
    </cacheField>
    <cacheField name="OrderDate" numFmtId="14">
      <sharedItems containsSemiMixedTypes="0" containsNonDate="0" containsDate="1" containsString="0" minDate="2023-08-12T00:00:00" maxDate="2025-08-12T00:00:00"/>
    </cacheField>
    <cacheField name="CustomerName" numFmtId="0">
      <sharedItems/>
    </cacheField>
    <cacheField name="Region" numFmtId="0">
      <sharedItems/>
    </cacheField>
    <cacheField name="Category" numFmtId="0">
      <sharedItems/>
    </cacheField>
    <cacheField name="ProductName" numFmtId="0">
      <sharedItems/>
    </cacheField>
    <cacheField name="Quantity" numFmtId="0">
      <sharedItems containsSemiMixedTypes="0" containsString="0" containsNumber="1" containsInteger="1" minValue="1" maxValue="9" count="9">
        <n v="7"/>
        <n v="4"/>
        <n v="8"/>
        <n v="5"/>
        <n v="3"/>
        <n v="6"/>
        <n v="2"/>
        <n v="1"/>
        <n v="9"/>
      </sharedItems>
    </cacheField>
    <cacheField name="UnitPrice" numFmtId="0">
      <sharedItems containsSemiMixedTypes="0" containsString="0" containsNumber="1" minValue="50.37" maxValue="1999.44"/>
    </cacheField>
    <cacheField name="Discount%" numFmtId="0">
      <sharedItems containsSemiMixedTypes="0" containsString="0" containsNumber="1" containsInteger="1" minValue="0" maxValue="20"/>
    </cacheField>
    <cacheField name="PaymentMethod" numFmtId="0">
      <sharedItems/>
    </cacheField>
    <cacheField name="TotalPrice" numFmtId="0">
      <sharedItems containsSemiMixedTypes="0" containsString="0" containsNumber="1" minValue="48.84" maxValue="17598.15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ORD1000"/>
    <x v="0"/>
    <s v="Zachary Schmidt"/>
    <x v="0"/>
    <x v="0"/>
    <s v="SANFORD Liquid Accent™ Tank-Style Highlighters"/>
    <x v="0"/>
    <n v="568.41"/>
    <n v="15"/>
    <s v="Net Banking"/>
    <x v="0"/>
  </r>
  <r>
    <s v="ORD1001"/>
    <x v="1"/>
    <s v="Larry Garcia"/>
    <x v="0"/>
    <x v="1"/>
    <s v="Global Troy™ Executive Leather Low-Back Tilter"/>
    <x v="1"/>
    <n v="1309.8800000000001"/>
    <n v="0"/>
    <s v="Credit Card"/>
    <x v="1"/>
  </r>
  <r>
    <s v="ORD1002"/>
    <x v="2"/>
    <s v="Sarah Curtis"/>
    <x v="1"/>
    <x v="1"/>
    <s v="DAX Two-Tone Rosewood/Black Document Frame, Desktop, 5 x 7"/>
    <x v="2"/>
    <n v="1023.7"/>
    <n v="15"/>
    <s v="Cash"/>
    <x v="2"/>
  </r>
  <r>
    <s v="ORD1003"/>
    <x v="3"/>
    <s v="Michelle Lewis"/>
    <x v="2"/>
    <x v="1"/>
    <s v="Howard Miller 12-3/4 Diameter Accuwave DS ™ Wall Clock"/>
    <x v="3"/>
    <n v="568.74"/>
    <n v="20"/>
    <s v="Cash"/>
    <x v="3"/>
  </r>
  <r>
    <s v="ORD1004"/>
    <x v="4"/>
    <s v="Darryl Morgan"/>
    <x v="2"/>
    <x v="0"/>
    <s v="Newell 321"/>
    <x v="0"/>
    <n v="341.01"/>
    <n v="20"/>
    <s v="Cash"/>
    <x v="4"/>
  </r>
  <r>
    <s v="ORD1005"/>
    <x v="5"/>
    <s v="Jason Davis"/>
    <x v="2"/>
    <x v="0"/>
    <s v="Newell 351"/>
    <x v="4"/>
    <n v="298.04000000000002"/>
    <n v="0"/>
    <s v="Cash"/>
    <x v="5"/>
  </r>
  <r>
    <s v="ORD1006"/>
    <x v="6"/>
    <s v="Maurice Brooks"/>
    <x v="0"/>
    <x v="0"/>
    <s v="OIC Colored Binder Clips, Assorted Sizes"/>
    <x v="0"/>
    <n v="1736.09"/>
    <n v="15"/>
    <s v="Credit Card"/>
    <x v="6"/>
  </r>
  <r>
    <s v="ORD1007"/>
    <x v="7"/>
    <s v="Thomas Jones"/>
    <x v="0"/>
    <x v="0"/>
    <s v="Grip Seal Envelopes"/>
    <x v="2"/>
    <n v="524.78"/>
    <n v="20"/>
    <s v="Cash"/>
    <x v="7"/>
  </r>
  <r>
    <s v="ORD1008"/>
    <x v="8"/>
    <s v="Anna Davis"/>
    <x v="3"/>
    <x v="0"/>
    <s v="Tyvek ® Top-Opening Peel &amp; Seel ® Envelopes, Gray"/>
    <x v="3"/>
    <n v="1320.84"/>
    <n v="5"/>
    <s v="Credit Card"/>
    <x v="8"/>
  </r>
  <r>
    <s v="ORD1009"/>
    <x v="9"/>
    <s v="Robin Hawkins"/>
    <x v="0"/>
    <x v="0"/>
    <s v="Staples Gold Paper Clips"/>
    <x v="1"/>
    <n v="1630.84"/>
    <n v="5"/>
    <s v="UPI"/>
    <x v="9"/>
  </r>
  <r>
    <s v="ORD1010"/>
    <x v="10"/>
    <s v="Kristina Rivera"/>
    <x v="0"/>
    <x v="2"/>
    <s v="StarTAC 7797"/>
    <x v="2"/>
    <n v="1247.46"/>
    <n v="15"/>
    <s v="Credit Card"/>
    <x v="10"/>
  </r>
  <r>
    <s v="ORD1011"/>
    <x v="3"/>
    <s v="Hayden Ortega"/>
    <x v="0"/>
    <x v="1"/>
    <s v="DAX Natural Wood-Tone Poster Frame"/>
    <x v="2"/>
    <n v="1726.15"/>
    <n v="0"/>
    <s v="Net Banking"/>
    <x v="11"/>
  </r>
  <r>
    <s v="ORD1012"/>
    <x v="11"/>
    <s v="Shawna Griffith"/>
    <x v="2"/>
    <x v="2"/>
    <s v="Hewlett Packard 6S Scientific Calculator"/>
    <x v="4"/>
    <n v="815.17"/>
    <n v="20"/>
    <s v="UPI"/>
    <x v="12"/>
  </r>
  <r>
    <s v="ORD1013"/>
    <x v="12"/>
    <s v="Lindsay Bell"/>
    <x v="2"/>
    <x v="1"/>
    <s v="DAX Natural Wood-Tone Poster Frame"/>
    <x v="5"/>
    <n v="1914.63"/>
    <n v="0"/>
    <s v="Credit Card"/>
    <x v="13"/>
  </r>
  <r>
    <s v="ORD1014"/>
    <x v="13"/>
    <s v="Christy Douglas"/>
    <x v="0"/>
    <x v="0"/>
    <s v="Advantus Plastic Paper Clips"/>
    <x v="3"/>
    <n v="309.63"/>
    <n v="5"/>
    <s v="Credit Card"/>
    <x v="14"/>
  </r>
  <r>
    <s v="ORD1015"/>
    <x v="14"/>
    <s v="Brian Bruce"/>
    <x v="2"/>
    <x v="2"/>
    <s v="Hewlett Packard 6S Scientific Calculator"/>
    <x v="6"/>
    <n v="249.19"/>
    <n v="20"/>
    <s v="Credit Card"/>
    <x v="15"/>
  </r>
  <r>
    <s v="ORD1016"/>
    <x v="15"/>
    <s v="Phillip Andrews"/>
    <x v="3"/>
    <x v="0"/>
    <s v="Xerox 194"/>
    <x v="2"/>
    <n v="1334.45"/>
    <n v="0"/>
    <s v="Credit Card"/>
    <x v="16"/>
  </r>
  <r>
    <s v="ORD1017"/>
    <x v="16"/>
    <s v="Sarah Villegas"/>
    <x v="2"/>
    <x v="0"/>
    <s v="Newell 323"/>
    <x v="5"/>
    <n v="1888.52"/>
    <n v="10"/>
    <s v="Credit Card"/>
    <x v="17"/>
  </r>
  <r>
    <s v="ORD1018"/>
    <x v="17"/>
    <s v="Lisa Day"/>
    <x v="3"/>
    <x v="1"/>
    <s v="Eldon Image Series Black Desk Accessories"/>
    <x v="6"/>
    <n v="1627.32"/>
    <n v="15"/>
    <s v="Credit Card"/>
    <x v="18"/>
  </r>
  <r>
    <s v="ORD1019"/>
    <x v="18"/>
    <s v="Timothy Gallegos"/>
    <x v="1"/>
    <x v="0"/>
    <s v="Hunt Boston® Vacuum Mount KS Pencil Sharpener"/>
    <x v="3"/>
    <n v="199.01"/>
    <n v="15"/>
    <s v="Net Banking"/>
    <x v="19"/>
  </r>
  <r>
    <s v="ORD1020"/>
    <x v="19"/>
    <s v="Christopher Park"/>
    <x v="0"/>
    <x v="2"/>
    <s v="Canon P1-DHIII Palm Printing Calculator"/>
    <x v="7"/>
    <n v="594.77"/>
    <n v="10"/>
    <s v="Net Banking"/>
    <x v="20"/>
  </r>
  <r>
    <s v="ORD1021"/>
    <x v="20"/>
    <s v="Gerald Smith"/>
    <x v="2"/>
    <x v="2"/>
    <s v="StarTAC 3000"/>
    <x v="5"/>
    <n v="1864.12"/>
    <n v="5"/>
    <s v="Net Banking"/>
    <x v="21"/>
  </r>
  <r>
    <s v="ORD1022"/>
    <x v="21"/>
    <s v="Kylie Morales"/>
    <x v="3"/>
    <x v="2"/>
    <s v="TimeportP7382"/>
    <x v="8"/>
    <n v="543.46"/>
    <n v="20"/>
    <s v="Credit Card"/>
    <x v="22"/>
  </r>
  <r>
    <s v="ORD1023"/>
    <x v="22"/>
    <s v="Mark Johnson"/>
    <x v="1"/>
    <x v="0"/>
    <s v="Storex DuraTech Recycled Plastic Frosted Binders"/>
    <x v="7"/>
    <n v="1573.28"/>
    <n v="15"/>
    <s v="UPI"/>
    <x v="23"/>
  </r>
  <r>
    <s v="ORD1024"/>
    <x v="23"/>
    <s v="Cindy Barnes"/>
    <x v="1"/>
    <x v="0"/>
    <s v="Newell 338"/>
    <x v="4"/>
    <n v="1659.01"/>
    <n v="10"/>
    <s v="Net Banking"/>
    <x v="24"/>
  </r>
  <r>
    <s v="ORD1025"/>
    <x v="24"/>
    <s v="Jacob Griffith"/>
    <x v="2"/>
    <x v="2"/>
    <s v="AT&amp;T 2230 Dual Handset Phone With Caller ID/Call Waiting"/>
    <x v="0"/>
    <n v="1016.13"/>
    <n v="10"/>
    <s v="Cash"/>
    <x v="25"/>
  </r>
  <r>
    <s v="ORD1026"/>
    <x v="25"/>
    <s v="Latoya Miller"/>
    <x v="2"/>
    <x v="2"/>
    <s v="6160"/>
    <x v="1"/>
    <n v="803.38"/>
    <n v="5"/>
    <s v="Cash"/>
    <x v="26"/>
  </r>
  <r>
    <s v="ORD1027"/>
    <x v="26"/>
    <s v="Christopher Williamson"/>
    <x v="1"/>
    <x v="2"/>
    <s v="Okidata Pacemark 4410N Wide Format Dot Matrix Printer"/>
    <x v="8"/>
    <n v="927.74"/>
    <n v="5"/>
    <s v="Credit Card"/>
    <x v="27"/>
  </r>
  <r>
    <s v="ORD1028"/>
    <x v="27"/>
    <s v="Denise Stanley"/>
    <x v="0"/>
    <x v="0"/>
    <s v="Xerox 1903"/>
    <x v="4"/>
    <n v="492.58"/>
    <n v="0"/>
    <s v="UPI"/>
    <x v="28"/>
  </r>
  <r>
    <s v="ORD1029"/>
    <x v="28"/>
    <s v="Mr. Donald Fischer"/>
    <x v="0"/>
    <x v="0"/>
    <s v="Durable Pressboard Binders"/>
    <x v="3"/>
    <n v="1784.31"/>
    <n v="15"/>
    <s v="Net Banking"/>
    <x v="29"/>
  </r>
  <r>
    <s v="ORD1030"/>
    <x v="12"/>
    <s v="Jeffrey Campbell"/>
    <x v="3"/>
    <x v="0"/>
    <s v="Newell 310"/>
    <x v="4"/>
    <n v="928.71"/>
    <n v="0"/>
    <s v="Credit Card"/>
    <x v="30"/>
  </r>
  <r>
    <s v="ORD1031"/>
    <x v="29"/>
    <s v="Katelyn Estrada"/>
    <x v="0"/>
    <x v="0"/>
    <s v="Xerox 193"/>
    <x v="0"/>
    <n v="1770.8"/>
    <n v="10"/>
    <s v="UPI"/>
    <x v="31"/>
  </r>
  <r>
    <s v="ORD1032"/>
    <x v="30"/>
    <s v="James Greene"/>
    <x v="1"/>
    <x v="0"/>
    <s v="Snap-A-Way® Black Print Carbonless Speed Message, No Reply Area, Duplicate"/>
    <x v="3"/>
    <n v="256.10000000000002"/>
    <n v="20"/>
    <s v="Cash"/>
    <x v="32"/>
  </r>
  <r>
    <s v="ORD1033"/>
    <x v="31"/>
    <s v="Eric Clark"/>
    <x v="1"/>
    <x v="0"/>
    <s v="Avery 501"/>
    <x v="8"/>
    <n v="1977.14"/>
    <n v="20"/>
    <s v="Net Banking"/>
    <x v="33"/>
  </r>
  <r>
    <s v="ORD1034"/>
    <x v="32"/>
    <s v="David Murphy"/>
    <x v="1"/>
    <x v="2"/>
    <s v="5165"/>
    <x v="0"/>
    <n v="914.38"/>
    <n v="5"/>
    <s v="Credit Card"/>
    <x v="34"/>
  </r>
  <r>
    <s v="ORD1035"/>
    <x v="33"/>
    <s v="Paul Thompson"/>
    <x v="0"/>
    <x v="0"/>
    <s v="Dual Level, Single-Width Filing Carts"/>
    <x v="6"/>
    <n v="143.27000000000001"/>
    <n v="20"/>
    <s v="Credit Card"/>
    <x v="35"/>
  </r>
  <r>
    <s v="ORD1036"/>
    <x v="34"/>
    <s v="Michael Mason"/>
    <x v="3"/>
    <x v="1"/>
    <s v="Hon 4070 Series Pagoda™ Armless Upholstered Stacking Chairs"/>
    <x v="1"/>
    <n v="124.14"/>
    <n v="20"/>
    <s v="UPI"/>
    <x v="36"/>
  </r>
  <r>
    <s v="ORD1037"/>
    <x v="35"/>
    <s v="Renee Jones"/>
    <x v="0"/>
    <x v="1"/>
    <s v="Hon Valutask™ Swivel Chairs"/>
    <x v="8"/>
    <n v="1505.1"/>
    <n v="20"/>
    <s v="Credit Card"/>
    <x v="37"/>
  </r>
  <r>
    <s v="ORD1038"/>
    <x v="36"/>
    <s v="Amanda Smith"/>
    <x v="3"/>
    <x v="0"/>
    <s v="Dual Level, Single-Width Filing Carts"/>
    <x v="6"/>
    <n v="1335.12"/>
    <n v="10"/>
    <s v="Credit Card"/>
    <x v="38"/>
  </r>
  <r>
    <s v="ORD1039"/>
    <x v="37"/>
    <s v="Shannon Johnston"/>
    <x v="0"/>
    <x v="1"/>
    <s v="Global High-Back Leather Tilter, Burgundy"/>
    <x v="8"/>
    <n v="1614.15"/>
    <n v="20"/>
    <s v="Net Banking"/>
    <x v="39"/>
  </r>
  <r>
    <s v="ORD1040"/>
    <x v="38"/>
    <s v="Michelle Butler"/>
    <x v="1"/>
    <x v="1"/>
    <s v="Global High-Back Leather Tilter, Burgundy"/>
    <x v="3"/>
    <n v="255.47"/>
    <n v="20"/>
    <s v="Cash"/>
    <x v="40"/>
  </r>
  <r>
    <s v="ORD1041"/>
    <x v="39"/>
    <s v="Alex Nguyen"/>
    <x v="1"/>
    <x v="1"/>
    <s v="Hon 94000 Series Round Tables"/>
    <x v="6"/>
    <n v="119.36"/>
    <n v="20"/>
    <s v="Cash"/>
    <x v="41"/>
  </r>
  <r>
    <s v="ORD1042"/>
    <x v="40"/>
    <s v="Lisa Collier"/>
    <x v="2"/>
    <x v="1"/>
    <s v="6&quot; Cubicle Wall Clock, Black"/>
    <x v="1"/>
    <n v="1041.73"/>
    <n v="0"/>
    <s v="UPI"/>
    <x v="42"/>
  </r>
  <r>
    <s v="ORD1043"/>
    <x v="41"/>
    <s v="Anita Richard"/>
    <x v="0"/>
    <x v="0"/>
    <s v="GBC DocuBind TL300 Electric Binding System"/>
    <x v="0"/>
    <n v="805.81"/>
    <n v="10"/>
    <s v="Cash"/>
    <x v="43"/>
  </r>
  <r>
    <s v="ORD1044"/>
    <x v="42"/>
    <s v="Kevin Warren"/>
    <x v="0"/>
    <x v="0"/>
    <s v="Fellowes Super Stor/Drawer® Files"/>
    <x v="2"/>
    <n v="950.8"/>
    <n v="5"/>
    <s v="UPI"/>
    <x v="44"/>
  </r>
  <r>
    <s v="ORD1045"/>
    <x v="43"/>
    <s v="Eric Morgan"/>
    <x v="2"/>
    <x v="0"/>
    <s v="Avery 493"/>
    <x v="4"/>
    <n v="1983.6"/>
    <n v="0"/>
    <s v="Net Banking"/>
    <x v="45"/>
  </r>
  <r>
    <s v="ORD1046"/>
    <x v="44"/>
    <s v="Christopher Dixon"/>
    <x v="1"/>
    <x v="1"/>
    <s v="Hon 94000 Series Round Tables"/>
    <x v="7"/>
    <n v="1942.96"/>
    <n v="15"/>
    <s v="UPI"/>
    <x v="46"/>
  </r>
  <r>
    <s v="ORD1047"/>
    <x v="45"/>
    <s v="Jordan Bullock"/>
    <x v="0"/>
    <x v="0"/>
    <s v="Prismacolor Color Pencil Set"/>
    <x v="1"/>
    <n v="1887.52"/>
    <n v="10"/>
    <s v="Cash"/>
    <x v="47"/>
  </r>
  <r>
    <s v="ORD1048"/>
    <x v="46"/>
    <s v="Nicholas Fuentes"/>
    <x v="2"/>
    <x v="0"/>
    <s v="Array® Memo Cubes"/>
    <x v="6"/>
    <n v="1578.49"/>
    <n v="10"/>
    <s v="Credit Card"/>
    <x v="48"/>
  </r>
  <r>
    <s v="ORD1049"/>
    <x v="47"/>
    <s v="Cynthia Thomas"/>
    <x v="0"/>
    <x v="2"/>
    <s v="2180"/>
    <x v="2"/>
    <n v="741.94"/>
    <n v="15"/>
    <s v="Net Banking"/>
    <x v="49"/>
  </r>
  <r>
    <s v="ORD1050"/>
    <x v="9"/>
    <s v="Lance Wolf"/>
    <x v="3"/>
    <x v="0"/>
    <s v="REDIFORM Incoming/Outgoing Call Register, 11&quot; X 8 1/2&quot;, 100 Messages"/>
    <x v="1"/>
    <n v="853.66"/>
    <n v="15"/>
    <s v="Cash"/>
    <x v="50"/>
  </r>
  <r>
    <s v="ORD1051"/>
    <x v="18"/>
    <s v="Cassandra Mejia"/>
    <x v="1"/>
    <x v="0"/>
    <s v="Xerox 1897"/>
    <x v="6"/>
    <n v="1121.75"/>
    <n v="15"/>
    <s v="Net Banking"/>
    <x v="51"/>
  </r>
  <r>
    <s v="ORD1052"/>
    <x v="48"/>
    <s v="Paul Wolf MD"/>
    <x v="3"/>
    <x v="0"/>
    <s v="Acme® 8&quot; Straight Scissors"/>
    <x v="5"/>
    <n v="1669.54"/>
    <n v="5"/>
    <s v="UPI"/>
    <x v="52"/>
  </r>
  <r>
    <s v="ORD1053"/>
    <x v="49"/>
    <s v="Kristy Reid"/>
    <x v="1"/>
    <x v="1"/>
    <s v="Office Star - Mid Back Dual function Ergonomic High Back Chair with 2-Way Adjustable Arms"/>
    <x v="5"/>
    <n v="183.99"/>
    <n v="20"/>
    <s v="Cash"/>
    <x v="53"/>
  </r>
  <r>
    <s v="ORD1054"/>
    <x v="50"/>
    <s v="Sharon Burton"/>
    <x v="2"/>
    <x v="2"/>
    <s v="Belkin 107-key enhanced keyboard, USB/PS/2 interface"/>
    <x v="1"/>
    <n v="877.38"/>
    <n v="10"/>
    <s v="Credit Card"/>
    <x v="54"/>
  </r>
  <r>
    <s v="ORD1055"/>
    <x v="51"/>
    <s v="Barry Ramos"/>
    <x v="1"/>
    <x v="1"/>
    <s v="Office Star - Mid Back Dual function Ergonomic High Back Chair with 2-Way Adjustable Arms"/>
    <x v="5"/>
    <n v="211.1"/>
    <n v="20"/>
    <s v="Credit Card"/>
    <x v="55"/>
  </r>
  <r>
    <s v="ORD1056"/>
    <x v="52"/>
    <s v="Donald Brown"/>
    <x v="1"/>
    <x v="2"/>
    <s v="5185"/>
    <x v="6"/>
    <n v="1053.58"/>
    <n v="20"/>
    <s v="Credit Card"/>
    <x v="56"/>
  </r>
  <r>
    <s v="ORD1057"/>
    <x v="53"/>
    <s v="Emily Hayes"/>
    <x v="2"/>
    <x v="2"/>
    <s v="Belkin 105-Key Black Keyboard"/>
    <x v="6"/>
    <n v="1802.86"/>
    <n v="15"/>
    <s v="Credit Card"/>
    <x v="57"/>
  </r>
  <r>
    <s v="ORD1058"/>
    <x v="54"/>
    <s v="Ronald Jones"/>
    <x v="1"/>
    <x v="1"/>
    <s v="Atlantic Metals Mobile 5-Shelf Bookcases, Custom Colors"/>
    <x v="1"/>
    <n v="1575.85"/>
    <n v="5"/>
    <s v="Net Banking"/>
    <x v="58"/>
  </r>
  <r>
    <s v="ORD1059"/>
    <x v="55"/>
    <s v="Savannah Gilbert"/>
    <x v="0"/>
    <x v="2"/>
    <s v="Belkin 105-Key Black Keyboard"/>
    <x v="2"/>
    <n v="494.29"/>
    <n v="0"/>
    <s v="Cash"/>
    <x v="59"/>
  </r>
  <r>
    <s v="ORD1060"/>
    <x v="56"/>
    <s v="Julie Spencer"/>
    <x v="2"/>
    <x v="0"/>
    <s v="Avery Durable Binders"/>
    <x v="0"/>
    <n v="1953.18"/>
    <n v="5"/>
    <s v="Credit Card"/>
    <x v="60"/>
  </r>
  <r>
    <s v="ORD1061"/>
    <x v="57"/>
    <s v="Stephanie Cole"/>
    <x v="2"/>
    <x v="1"/>
    <s v="Atlantic Metals Mobile 5-Shelf Bookcases, Custom Colors"/>
    <x v="8"/>
    <n v="1351.33"/>
    <n v="20"/>
    <s v="Credit Card"/>
    <x v="61"/>
  </r>
  <r>
    <s v="ORD1062"/>
    <x v="58"/>
    <s v="Marissa Morris"/>
    <x v="2"/>
    <x v="0"/>
    <s v="Avery Durable Binders"/>
    <x v="2"/>
    <n v="70.33"/>
    <n v="5"/>
    <s v="Credit Card"/>
    <x v="62"/>
  </r>
  <r>
    <s v="ORD1063"/>
    <x v="59"/>
    <s v="Chris Brown"/>
    <x v="3"/>
    <x v="0"/>
    <s v="Dixon Prang® Watercolor Pencils, 10-Color Set with Brush"/>
    <x v="3"/>
    <n v="548.05999999999995"/>
    <n v="15"/>
    <s v="UPI"/>
    <x v="63"/>
  </r>
  <r>
    <s v="ORD1064"/>
    <x v="60"/>
    <s v="Steven Cooper"/>
    <x v="3"/>
    <x v="0"/>
    <s v="Avery 493"/>
    <x v="6"/>
    <n v="558.39"/>
    <n v="0"/>
    <s v="Cash"/>
    <x v="64"/>
  </r>
  <r>
    <s v="ORD1065"/>
    <x v="61"/>
    <s v="Kathy Thompson"/>
    <x v="1"/>
    <x v="0"/>
    <s v="EcoTones® Memo Sheets"/>
    <x v="3"/>
    <n v="185.05"/>
    <n v="15"/>
    <s v="Net Banking"/>
    <x v="65"/>
  </r>
  <r>
    <s v="ORD1066"/>
    <x v="62"/>
    <s v="Jeffrey Gonzales"/>
    <x v="2"/>
    <x v="2"/>
    <s v="Fuji Slim Jewel Case CD-R"/>
    <x v="2"/>
    <n v="1921.66"/>
    <n v="0"/>
    <s v="UPI"/>
    <x v="66"/>
  </r>
  <r>
    <s v="ORD1067"/>
    <x v="63"/>
    <s v="Caitlin Watson"/>
    <x v="1"/>
    <x v="0"/>
    <s v="Dixon Prang® Watercolor Pencils, 10-Color Set with Brush"/>
    <x v="8"/>
    <n v="982.6"/>
    <n v="20"/>
    <s v="UPI"/>
    <x v="67"/>
  </r>
  <r>
    <s v="ORD1068"/>
    <x v="64"/>
    <s v="Jason Morgan"/>
    <x v="0"/>
    <x v="0"/>
    <s v="Avery 493"/>
    <x v="8"/>
    <n v="1796.84"/>
    <n v="0"/>
    <s v="Net Banking"/>
    <x v="68"/>
  </r>
  <r>
    <s v="ORD1069"/>
    <x v="65"/>
    <s v="Rachel Holland"/>
    <x v="2"/>
    <x v="0"/>
    <s v="EcoTones® Memo Sheets"/>
    <x v="7"/>
    <n v="678.32"/>
    <n v="0"/>
    <s v="Credit Card"/>
    <x v="69"/>
  </r>
  <r>
    <s v="ORD1070"/>
    <x v="66"/>
    <s v="Brandon Gregory"/>
    <x v="0"/>
    <x v="2"/>
    <s v="Fuji Slim Jewel Case CD-R"/>
    <x v="8"/>
    <n v="294.20999999999998"/>
    <n v="0"/>
    <s v="Credit Card"/>
    <x v="70"/>
  </r>
  <r>
    <s v="ORD1071"/>
    <x v="67"/>
    <s v="Nathaniel Douglas"/>
    <x v="1"/>
    <x v="0"/>
    <s v="Avery 51"/>
    <x v="0"/>
    <n v="974.96"/>
    <n v="5"/>
    <s v="Cash"/>
    <x v="71"/>
  </r>
  <r>
    <s v="ORD1072"/>
    <x v="68"/>
    <s v="Shelley Cook"/>
    <x v="3"/>
    <x v="2"/>
    <s v="6185"/>
    <x v="8"/>
    <n v="272.22000000000003"/>
    <n v="5"/>
    <s v="Credit Card"/>
    <x v="72"/>
  </r>
  <r>
    <s v="ORD1073"/>
    <x v="69"/>
    <s v="Brenda Bailey"/>
    <x v="1"/>
    <x v="0"/>
    <s v="Acme® Office Executive Series Stainless Steel Trimmers"/>
    <x v="2"/>
    <n v="997.73"/>
    <n v="20"/>
    <s v="UPI"/>
    <x v="73"/>
  </r>
  <r>
    <s v="ORD1074"/>
    <x v="70"/>
    <s v="Melissa Myers"/>
    <x v="0"/>
    <x v="1"/>
    <s v="Eldon Regeneration Recycled Desk Accessories, Smoke"/>
    <x v="7"/>
    <n v="1844.58"/>
    <n v="0"/>
    <s v="UPI"/>
    <x v="74"/>
  </r>
  <r>
    <s v="ORD1075"/>
    <x v="71"/>
    <s v="Teresa Collins"/>
    <x v="2"/>
    <x v="0"/>
    <s v="#10-4 1/8&quot; x 9 1/2&quot; Premium Diagonal Seam Envelopes"/>
    <x v="2"/>
    <n v="1065.5"/>
    <n v="10"/>
    <s v="UPI"/>
    <x v="75"/>
  </r>
  <r>
    <s v="ORD1076"/>
    <x v="72"/>
    <s v="Rickey Li"/>
    <x v="1"/>
    <x v="0"/>
    <s v="Xerox 1939"/>
    <x v="2"/>
    <n v="1252.17"/>
    <n v="20"/>
    <s v="Net Banking"/>
    <x v="76"/>
  </r>
  <r>
    <s v="ORD1077"/>
    <x v="73"/>
    <s v="Sandra Rodgers"/>
    <x v="2"/>
    <x v="0"/>
    <s v="Fiskars® Softgrip Scissors"/>
    <x v="4"/>
    <n v="355.44"/>
    <n v="0"/>
    <s v="Credit Card"/>
    <x v="77"/>
  </r>
  <r>
    <s v="ORD1078"/>
    <x v="74"/>
    <s v="Kelsey Lucas"/>
    <x v="3"/>
    <x v="0"/>
    <s v="Xerox 1964"/>
    <x v="7"/>
    <n v="135.28"/>
    <n v="0"/>
    <s v="Credit Card"/>
    <x v="78"/>
  </r>
  <r>
    <s v="ORD1079"/>
    <x v="75"/>
    <s v="Ivan Cox"/>
    <x v="3"/>
    <x v="0"/>
    <s v="Fiskars® Softgrip Scissors"/>
    <x v="2"/>
    <n v="266.08"/>
    <n v="5"/>
    <s v="Credit Card"/>
    <x v="79"/>
  </r>
  <r>
    <s v="ORD1080"/>
    <x v="76"/>
    <s v="Daniel Meza"/>
    <x v="3"/>
    <x v="0"/>
    <s v="Wirebound Message Books, 2 7/8&quot; x 5&quot;, 3 Forms per Page"/>
    <x v="4"/>
    <n v="1217.1400000000001"/>
    <n v="20"/>
    <s v="Credit Card"/>
    <x v="80"/>
  </r>
  <r>
    <s v="ORD1081"/>
    <x v="77"/>
    <s v="Mr. Chad Jones"/>
    <x v="2"/>
    <x v="1"/>
    <s v="Laminate Occasional Tables"/>
    <x v="4"/>
    <n v="235.27"/>
    <n v="0"/>
    <s v="Cash"/>
    <x v="81"/>
  </r>
  <r>
    <s v="ORD1082"/>
    <x v="78"/>
    <s v="Ashley Wise"/>
    <x v="1"/>
    <x v="1"/>
    <s v="Tenex B1-RE Series Chair Mats for Low Pile Carpets"/>
    <x v="7"/>
    <n v="783.19"/>
    <n v="0"/>
    <s v="Cash"/>
    <x v="82"/>
  </r>
  <r>
    <s v="ORD1083"/>
    <x v="79"/>
    <s v="Sophia Johnson"/>
    <x v="2"/>
    <x v="1"/>
    <s v="Global Ergonomic Managers Chair"/>
    <x v="3"/>
    <n v="1122.68"/>
    <n v="20"/>
    <s v="UPI"/>
    <x v="83"/>
  </r>
  <r>
    <s v="ORD1084"/>
    <x v="80"/>
    <s v="Ralph Anderson"/>
    <x v="2"/>
    <x v="2"/>
    <s v="PC Concepts 116 Key Quantum 3000 Keyboard"/>
    <x v="0"/>
    <n v="807.87"/>
    <n v="10"/>
    <s v="UPI"/>
    <x v="84"/>
  </r>
  <r>
    <s v="ORD1085"/>
    <x v="63"/>
    <s v="Christopher Guerra"/>
    <x v="1"/>
    <x v="0"/>
    <s v="Wausau Papers Astrobrights® Colored Envelopes"/>
    <x v="8"/>
    <n v="369.18"/>
    <n v="20"/>
    <s v="Net Banking"/>
    <x v="85"/>
  </r>
  <r>
    <s v="ORD1086"/>
    <x v="81"/>
    <s v="Rhonda Martin"/>
    <x v="3"/>
    <x v="0"/>
    <s v="Newell 335"/>
    <x v="0"/>
    <n v="583.89"/>
    <n v="20"/>
    <s v="UPI"/>
    <x v="86"/>
  </r>
  <r>
    <s v="ORD1087"/>
    <x v="20"/>
    <s v="Jason Rhodes"/>
    <x v="3"/>
    <x v="1"/>
    <s v="Eldon Cleatmat Plus™ Chair Mats for High Pile Carpets"/>
    <x v="8"/>
    <n v="1860.22"/>
    <n v="10"/>
    <s v="Credit Card"/>
    <x v="87"/>
  </r>
  <r>
    <s v="ORD1088"/>
    <x v="82"/>
    <s v="Jeremy Mitchell"/>
    <x v="1"/>
    <x v="2"/>
    <s v="StarTAC Analog"/>
    <x v="2"/>
    <n v="1368.17"/>
    <n v="20"/>
    <s v="UPI"/>
    <x v="88"/>
  </r>
  <r>
    <s v="ORD1089"/>
    <x v="83"/>
    <s v="Joann Ferguson"/>
    <x v="2"/>
    <x v="2"/>
    <s v="Microsoft Natural Keyboard Elite"/>
    <x v="6"/>
    <n v="1017.29"/>
    <n v="0"/>
    <s v="UPI"/>
    <x v="89"/>
  </r>
  <r>
    <s v="ORD1090"/>
    <x v="48"/>
    <s v="Robert Harrison"/>
    <x v="2"/>
    <x v="2"/>
    <s v="T60"/>
    <x v="7"/>
    <n v="74.790000000000006"/>
    <n v="20"/>
    <s v="Cash"/>
    <x v="90"/>
  </r>
  <r>
    <s v="ORD1091"/>
    <x v="43"/>
    <s v="Holly Valentine"/>
    <x v="3"/>
    <x v="0"/>
    <s v="Belkin 6 Outlet Metallic Surge Strip"/>
    <x v="0"/>
    <n v="1985.21"/>
    <n v="10"/>
    <s v="Credit Card"/>
    <x v="91"/>
  </r>
  <r>
    <s v="ORD1092"/>
    <x v="84"/>
    <s v="Mrs. Diane Reyes"/>
    <x v="0"/>
    <x v="1"/>
    <s v="Bush Westfield Collection Bookcases, Fully Assembled"/>
    <x v="0"/>
    <n v="1359.34"/>
    <n v="15"/>
    <s v="Net Banking"/>
    <x v="92"/>
  </r>
  <r>
    <s v="ORD1093"/>
    <x v="85"/>
    <s v="Tracy Montoya"/>
    <x v="0"/>
    <x v="0"/>
    <s v="Xerox 1952"/>
    <x v="2"/>
    <n v="668"/>
    <n v="20"/>
    <s v="Net Banking"/>
    <x v="93"/>
  </r>
  <r>
    <s v="ORD1094"/>
    <x v="86"/>
    <s v="Brenda Wright"/>
    <x v="0"/>
    <x v="2"/>
    <s v="Okidata ML320 Series Turbo Dot Matrix Printers"/>
    <x v="3"/>
    <n v="1764.57"/>
    <n v="5"/>
    <s v="Net Banking"/>
    <x v="94"/>
  </r>
  <r>
    <s v="ORD1095"/>
    <x v="87"/>
    <s v="Shelly Spencer"/>
    <x v="2"/>
    <x v="2"/>
    <s v="Fellowes Mobile Numeric Keypad, Graphite"/>
    <x v="4"/>
    <n v="553.94000000000005"/>
    <n v="0"/>
    <s v="UPI"/>
    <x v="95"/>
  </r>
  <r>
    <s v="ORD1096"/>
    <x v="88"/>
    <s v="Ryan Rosales"/>
    <x v="2"/>
    <x v="2"/>
    <s v="Polycom ViaVideo™ Desktop Video Communications Unit"/>
    <x v="2"/>
    <n v="1110.83"/>
    <n v="0"/>
    <s v="Net Banking"/>
    <x v="96"/>
  </r>
  <r>
    <s v="ORD1097"/>
    <x v="89"/>
    <s v="Phillip Nelson"/>
    <x v="3"/>
    <x v="0"/>
    <s v="Staples Wirebound Steno Books, 6&quot; x 9&quot;, 12/Pack"/>
    <x v="5"/>
    <n v="1290.3399999999999"/>
    <n v="5"/>
    <s v="Net Banking"/>
    <x v="97"/>
  </r>
  <r>
    <s v="ORD1098"/>
    <x v="90"/>
    <s v="Brittany Kim"/>
    <x v="0"/>
    <x v="0"/>
    <s v="Staples® General Use 3-Ring Binders"/>
    <x v="4"/>
    <n v="481.07"/>
    <n v="5"/>
    <s v="Net Banking"/>
    <x v="98"/>
  </r>
  <r>
    <s v="ORD1099"/>
    <x v="91"/>
    <s v="Courtney Hayes"/>
    <x v="3"/>
    <x v="2"/>
    <s v="Zoom V.92 USB External Faxmodem"/>
    <x v="7"/>
    <n v="1957.87"/>
    <n v="20"/>
    <s v="Cash"/>
    <x v="99"/>
  </r>
  <r>
    <s v="ORD1100"/>
    <x v="92"/>
    <s v="Alexander Brown"/>
    <x v="3"/>
    <x v="0"/>
    <s v="Newell 323"/>
    <x v="4"/>
    <n v="1508.97"/>
    <n v="5"/>
    <s v="Credit Card"/>
    <x v="100"/>
  </r>
  <r>
    <s v="ORD1101"/>
    <x v="93"/>
    <s v="Cynthia Vang"/>
    <x v="3"/>
    <x v="2"/>
    <s v="Zoom V.92 USB External Faxmodem"/>
    <x v="3"/>
    <n v="1137.74"/>
    <n v="15"/>
    <s v="Cash"/>
    <x v="101"/>
  </r>
  <r>
    <s v="ORD1102"/>
    <x v="94"/>
    <s v="Alfred Galvan"/>
    <x v="1"/>
    <x v="0"/>
    <s v="Riverleaf Stik-Withit® Designer Note Cubes®"/>
    <x v="4"/>
    <n v="402.16"/>
    <n v="10"/>
    <s v="Credit Card"/>
    <x v="102"/>
  </r>
  <r>
    <s v="ORD1103"/>
    <x v="95"/>
    <s v="Marie Moody"/>
    <x v="0"/>
    <x v="0"/>
    <s v="Newell 323"/>
    <x v="7"/>
    <n v="155.02000000000001"/>
    <n v="5"/>
    <s v="Cash"/>
    <x v="103"/>
  </r>
  <r>
    <s v="ORD1104"/>
    <x v="96"/>
    <s v="Dustin Gallegos"/>
    <x v="0"/>
    <x v="0"/>
    <s v="Avery Arch Ring Binders"/>
    <x v="3"/>
    <n v="674.12"/>
    <n v="5"/>
    <s v="Credit Card"/>
    <x v="104"/>
  </r>
  <r>
    <s v="ORD1105"/>
    <x v="97"/>
    <s v="Brenda Thornton"/>
    <x v="1"/>
    <x v="0"/>
    <s v="APC 7 Outlet Network SurgeArrest Surge Protector"/>
    <x v="0"/>
    <n v="1518.72"/>
    <n v="15"/>
    <s v="Net Banking"/>
    <x v="105"/>
  </r>
  <r>
    <s v="ORD1106"/>
    <x v="98"/>
    <s v="Aaron Miller"/>
    <x v="1"/>
    <x v="0"/>
    <s v="Durable Pressboard Binders"/>
    <x v="0"/>
    <n v="575.20000000000005"/>
    <n v="0"/>
    <s v="Net Banking"/>
    <x v="106"/>
  </r>
  <r>
    <s v="ORD1107"/>
    <x v="99"/>
    <s v="Ruben Dunn"/>
    <x v="0"/>
    <x v="2"/>
    <s v="Fellowes 17-key keypad for PS/2 interface"/>
    <x v="8"/>
    <n v="1102.1300000000001"/>
    <n v="0"/>
    <s v="Net Banking"/>
    <x v="107"/>
  </r>
  <r>
    <s v="ORD1108"/>
    <x v="85"/>
    <s v="Kelsey Rodriguez"/>
    <x v="1"/>
    <x v="2"/>
    <s v="StarTAC ST7762"/>
    <x v="4"/>
    <n v="1469.5"/>
    <n v="20"/>
    <s v="Cash"/>
    <x v="108"/>
  </r>
  <r>
    <s v="ORD1109"/>
    <x v="100"/>
    <s v="Eric Williams"/>
    <x v="3"/>
    <x v="2"/>
    <s v="Panasonic KX-P2130 Dot Matrix Printer"/>
    <x v="0"/>
    <n v="260.49"/>
    <n v="15"/>
    <s v="Net Banking"/>
    <x v="109"/>
  </r>
  <r>
    <s v="ORD1110"/>
    <x v="101"/>
    <s v="Riley Bryant"/>
    <x v="2"/>
    <x v="0"/>
    <s v="Wilson Jones® Four-Pocket Poly Binders"/>
    <x v="7"/>
    <n v="1386.33"/>
    <n v="10"/>
    <s v="UPI"/>
    <x v="110"/>
  </r>
  <r>
    <s v="ORD1111"/>
    <x v="57"/>
    <s v="Taylor Carlson"/>
    <x v="3"/>
    <x v="0"/>
    <s v="Xerox 1996"/>
    <x v="1"/>
    <n v="229.15"/>
    <n v="10"/>
    <s v="Credit Card"/>
    <x v="111"/>
  </r>
  <r>
    <s v="ORD1112"/>
    <x v="5"/>
    <s v="Jose Allen"/>
    <x v="0"/>
    <x v="0"/>
    <s v="Acco® Hot Clips™ Clips to Go"/>
    <x v="1"/>
    <n v="1932"/>
    <n v="15"/>
    <s v="Cash"/>
    <x v="112"/>
  </r>
  <r>
    <s v="ORD1113"/>
    <x v="88"/>
    <s v="Jeffrey Mendez"/>
    <x v="1"/>
    <x v="0"/>
    <s v="Fellowes Super Stor/Drawer® Files"/>
    <x v="3"/>
    <n v="1002.37"/>
    <n v="10"/>
    <s v="Net Banking"/>
    <x v="113"/>
  </r>
  <r>
    <s v="ORD1114"/>
    <x v="102"/>
    <s v="Jason Beck"/>
    <x v="2"/>
    <x v="0"/>
    <s v="Fellowes Super Stor/Drawer® Files"/>
    <x v="0"/>
    <n v="343.82"/>
    <n v="0"/>
    <s v="Net Banking"/>
    <x v="114"/>
  </r>
  <r>
    <s v="ORD1115"/>
    <x v="62"/>
    <s v="William Jones"/>
    <x v="0"/>
    <x v="0"/>
    <s v="Xerox 1933"/>
    <x v="0"/>
    <n v="717.65"/>
    <n v="10"/>
    <s v="Credit Card"/>
    <x v="115"/>
  </r>
  <r>
    <s v="ORD1116"/>
    <x v="103"/>
    <s v="Katie Mcneil"/>
    <x v="1"/>
    <x v="2"/>
    <s v="Imation 3.5&quot; Unformatted DS/HD Diskettes, 10/Box"/>
    <x v="1"/>
    <n v="856.16"/>
    <n v="10"/>
    <s v="Net Banking"/>
    <x v="116"/>
  </r>
  <r>
    <s v="ORD1117"/>
    <x v="104"/>
    <s v="Jeanette Harrison"/>
    <x v="2"/>
    <x v="0"/>
    <s v="Super Bands, 12/Pack"/>
    <x v="0"/>
    <n v="1528.46"/>
    <n v="15"/>
    <s v="Net Banking"/>
    <x v="117"/>
  </r>
  <r>
    <s v="ORD1118"/>
    <x v="105"/>
    <s v="Veronica King"/>
    <x v="2"/>
    <x v="0"/>
    <s v="3M Organizer Strips"/>
    <x v="4"/>
    <n v="1499.68"/>
    <n v="15"/>
    <s v="Credit Card"/>
    <x v="118"/>
  </r>
  <r>
    <s v="ORD1119"/>
    <x v="106"/>
    <s v="Richard Cooper"/>
    <x v="1"/>
    <x v="1"/>
    <s v="Seth Thomas 8 1/2&quot; Cubicle Clock"/>
    <x v="5"/>
    <n v="1243.28"/>
    <n v="10"/>
    <s v="Credit Card"/>
    <x v="119"/>
  </r>
  <r>
    <s v="ORD1120"/>
    <x v="107"/>
    <s v="Lori Ingram"/>
    <x v="2"/>
    <x v="0"/>
    <s v="Newell 309"/>
    <x v="6"/>
    <n v="256.56"/>
    <n v="5"/>
    <s v="UPI"/>
    <x v="120"/>
  </r>
  <r>
    <s v="ORD1121"/>
    <x v="108"/>
    <s v="Evelyn Williams"/>
    <x v="0"/>
    <x v="0"/>
    <s v="Riverleaf Stik-Withit® Designer Note Cubes®"/>
    <x v="8"/>
    <n v="345.56"/>
    <n v="15"/>
    <s v="UPI"/>
    <x v="121"/>
  </r>
  <r>
    <s v="ORD1122"/>
    <x v="109"/>
    <s v="Robin Thompson"/>
    <x v="1"/>
    <x v="2"/>
    <s v="252"/>
    <x v="3"/>
    <n v="232.83"/>
    <n v="20"/>
    <s v="Credit Card"/>
    <x v="122"/>
  </r>
  <r>
    <s v="ORD1123"/>
    <x v="110"/>
    <s v="Julie Dominguez"/>
    <x v="3"/>
    <x v="0"/>
    <s v="Kleencut® Forged Office Shears by Acme United Corporation"/>
    <x v="5"/>
    <n v="1175.49"/>
    <n v="20"/>
    <s v="Cash"/>
    <x v="123"/>
  </r>
  <r>
    <s v="ORD1124"/>
    <x v="111"/>
    <s v="Robin Brown"/>
    <x v="0"/>
    <x v="2"/>
    <s v="Hewlett-Packard 2600DN Business Color Inkjet Printer"/>
    <x v="1"/>
    <n v="1760.42"/>
    <n v="0"/>
    <s v="UPI"/>
    <x v="124"/>
  </r>
  <r>
    <s v="ORD1125"/>
    <x v="112"/>
    <s v="Judith Carter"/>
    <x v="0"/>
    <x v="1"/>
    <s v="Global Push Button Manager's Chair, Indigo"/>
    <x v="0"/>
    <n v="895.91"/>
    <n v="10"/>
    <s v="Credit Card"/>
    <x v="125"/>
  </r>
  <r>
    <s v="ORD1126"/>
    <x v="113"/>
    <s v="Curtis Williams"/>
    <x v="1"/>
    <x v="0"/>
    <s v="Fellowes Black Plastic Comb Bindings"/>
    <x v="8"/>
    <n v="363.65"/>
    <n v="5"/>
    <s v="Net Banking"/>
    <x v="126"/>
  </r>
  <r>
    <s v="ORD1127"/>
    <x v="114"/>
    <s v="Kaylee Hays"/>
    <x v="1"/>
    <x v="1"/>
    <s v="Eldon Expressions™ Desk Accessory, Wood Pencil Holder, Oak"/>
    <x v="0"/>
    <n v="1138.18"/>
    <n v="0"/>
    <s v="Cash"/>
    <x v="127"/>
  </r>
  <r>
    <s v="ORD1128"/>
    <x v="78"/>
    <s v="Dawn Mullins"/>
    <x v="2"/>
    <x v="0"/>
    <s v="Sanyo 2.5 Cubic Foot Mid-Size Office Refrigerators"/>
    <x v="7"/>
    <n v="1632.92"/>
    <n v="10"/>
    <s v="Net Banking"/>
    <x v="128"/>
  </r>
  <r>
    <s v="ORD1129"/>
    <x v="115"/>
    <s v="Howard Norman"/>
    <x v="0"/>
    <x v="0"/>
    <s v="Lock-Up Easel 'Spel-Binder'"/>
    <x v="7"/>
    <n v="1496.34"/>
    <n v="15"/>
    <s v="UPI"/>
    <x v="129"/>
  </r>
  <r>
    <s v="ORD1130"/>
    <x v="16"/>
    <s v="Evelyn Martinez"/>
    <x v="2"/>
    <x v="2"/>
    <s v="Memorex 4.7GB DVD+R, 3/Pack"/>
    <x v="8"/>
    <n v="1768.83"/>
    <n v="20"/>
    <s v="Net Banking"/>
    <x v="130"/>
  </r>
  <r>
    <s v="ORD1131"/>
    <x v="38"/>
    <s v="Steve Paul"/>
    <x v="0"/>
    <x v="0"/>
    <s v="Eldon Spacemaker® Box, Quick-Snap Lid, Clear"/>
    <x v="8"/>
    <n v="591.91"/>
    <n v="5"/>
    <s v="Cash"/>
    <x v="131"/>
  </r>
  <r>
    <s v="ORD1132"/>
    <x v="116"/>
    <s v="Jasmine Beltran"/>
    <x v="0"/>
    <x v="2"/>
    <s v="Okidata ML390 Turbo Dot Matrix Printers"/>
    <x v="1"/>
    <n v="428.21"/>
    <n v="20"/>
    <s v="Credit Card"/>
    <x v="132"/>
  </r>
  <r>
    <s v="ORD1133"/>
    <x v="117"/>
    <s v="Jonathan Glass MD"/>
    <x v="3"/>
    <x v="0"/>
    <s v="Xerox Blank Computer Paper"/>
    <x v="8"/>
    <n v="1765.64"/>
    <n v="15"/>
    <s v="Credit Card"/>
    <x v="133"/>
  </r>
  <r>
    <s v="ORD1134"/>
    <x v="93"/>
    <s v="Monica Miller"/>
    <x v="0"/>
    <x v="1"/>
    <s v="Bevis Round Bullnose 29&quot; High Table Top"/>
    <x v="4"/>
    <n v="1332.24"/>
    <n v="10"/>
    <s v="Cash"/>
    <x v="134"/>
  </r>
  <r>
    <s v="ORD1135"/>
    <x v="118"/>
    <s v="Samantha Gardner"/>
    <x v="2"/>
    <x v="0"/>
    <s v="Storex Dura Pro™ Binders"/>
    <x v="0"/>
    <n v="656.31"/>
    <n v="15"/>
    <s v="Net Banking"/>
    <x v="135"/>
  </r>
  <r>
    <s v="ORD1136"/>
    <x v="119"/>
    <s v="Bobby Guerrero"/>
    <x v="2"/>
    <x v="2"/>
    <s v="270c"/>
    <x v="5"/>
    <n v="1497.58"/>
    <n v="15"/>
    <s v="Net Banking"/>
    <x v="136"/>
  </r>
  <r>
    <s v="ORD1137"/>
    <x v="120"/>
    <s v="Lance Simmons"/>
    <x v="3"/>
    <x v="1"/>
    <s v="BPI Conference Tables"/>
    <x v="2"/>
    <n v="1639.48"/>
    <n v="20"/>
    <s v="Cash"/>
    <x v="137"/>
  </r>
  <r>
    <s v="ORD1138"/>
    <x v="121"/>
    <s v="Heather Williams"/>
    <x v="2"/>
    <x v="2"/>
    <s v="252"/>
    <x v="8"/>
    <n v="1249.21"/>
    <n v="5"/>
    <s v="Credit Card"/>
    <x v="138"/>
  </r>
  <r>
    <s v="ORD1139"/>
    <x v="122"/>
    <s v="Heather Bolton"/>
    <x v="1"/>
    <x v="0"/>
    <s v="Avery 514"/>
    <x v="3"/>
    <n v="1391.37"/>
    <n v="15"/>
    <s v="Net Banking"/>
    <x v="139"/>
  </r>
  <r>
    <s v="ORD1140"/>
    <x v="123"/>
    <s v="William Gould"/>
    <x v="3"/>
    <x v="0"/>
    <s v="DIXON Oriole® Pencils"/>
    <x v="7"/>
    <n v="781.76"/>
    <n v="20"/>
    <s v="UPI"/>
    <x v="140"/>
  </r>
  <r>
    <s v="ORD1141"/>
    <x v="124"/>
    <s v="Mark Cox"/>
    <x v="2"/>
    <x v="2"/>
    <s v="StarTAC Series"/>
    <x v="4"/>
    <n v="1100.46"/>
    <n v="5"/>
    <s v="Cash"/>
    <x v="141"/>
  </r>
  <r>
    <s v="ORD1142"/>
    <x v="125"/>
    <s v="Meghan Cisneros"/>
    <x v="2"/>
    <x v="1"/>
    <s v="Global Adaptabilities™ Conference Tables"/>
    <x v="2"/>
    <n v="1072.1099999999999"/>
    <n v="10"/>
    <s v="UPI"/>
    <x v="142"/>
  </r>
  <r>
    <s v="ORD1143"/>
    <x v="126"/>
    <s v="Lawrence Harrington"/>
    <x v="1"/>
    <x v="0"/>
    <s v="Acme® Elite Stainless Steel Scissors"/>
    <x v="5"/>
    <n v="1703.69"/>
    <n v="10"/>
    <s v="UPI"/>
    <x v="143"/>
  </r>
  <r>
    <s v="ORD1144"/>
    <x v="127"/>
    <s v="Austin Osborne"/>
    <x v="3"/>
    <x v="2"/>
    <s v="Maxell Pro 80 Minute CD-R, 10/Pack"/>
    <x v="2"/>
    <n v="1687.93"/>
    <n v="0"/>
    <s v="Credit Card"/>
    <x v="144"/>
  </r>
  <r>
    <s v="ORD1145"/>
    <x v="128"/>
    <s v="James Bradley"/>
    <x v="1"/>
    <x v="0"/>
    <s v="Newell 340"/>
    <x v="8"/>
    <n v="1673.73"/>
    <n v="20"/>
    <s v="Cash"/>
    <x v="145"/>
  </r>
  <r>
    <s v="ORD1146"/>
    <x v="69"/>
    <s v="Meghan Rush"/>
    <x v="3"/>
    <x v="1"/>
    <s v="Hon iLevel™ Computer Training Table"/>
    <x v="1"/>
    <n v="71.510000000000005"/>
    <n v="5"/>
    <s v="Net Banking"/>
    <x v="146"/>
  </r>
  <r>
    <s v="ORD1147"/>
    <x v="129"/>
    <s v="Phillip Berry"/>
    <x v="3"/>
    <x v="2"/>
    <s v="Keytronic 105-Key Spanish Keyboard"/>
    <x v="7"/>
    <n v="1511.61"/>
    <n v="15"/>
    <s v="Net Banking"/>
    <x v="147"/>
  </r>
  <r>
    <s v="ORD1148"/>
    <x v="130"/>
    <s v="Jennifer Banks"/>
    <x v="0"/>
    <x v="0"/>
    <s v="Xerox 214"/>
    <x v="7"/>
    <n v="1529.42"/>
    <n v="10"/>
    <s v="Cash"/>
    <x v="148"/>
  </r>
  <r>
    <s v="ORD1149"/>
    <x v="58"/>
    <s v="Brian Fitzgerald"/>
    <x v="2"/>
    <x v="0"/>
    <s v="Tennsco Commercial Shelving"/>
    <x v="1"/>
    <n v="1372.84"/>
    <n v="5"/>
    <s v="Credit Card"/>
    <x v="149"/>
  </r>
  <r>
    <s v="ORD1150"/>
    <x v="131"/>
    <s v="Mr. Justin Green III"/>
    <x v="2"/>
    <x v="0"/>
    <s v="Staples Brown Kraft Recycled Clasp Envelopes"/>
    <x v="0"/>
    <n v="1524.72"/>
    <n v="20"/>
    <s v="Net Banking"/>
    <x v="150"/>
  </r>
  <r>
    <s v="ORD1151"/>
    <x v="54"/>
    <s v="Zachary Mitchell"/>
    <x v="0"/>
    <x v="1"/>
    <s v="Eldon Executive Woodline II Cherry Finish Desk Accessories"/>
    <x v="6"/>
    <n v="1691.84"/>
    <n v="0"/>
    <s v="Net Banking"/>
    <x v="151"/>
  </r>
  <r>
    <s v="ORD1152"/>
    <x v="7"/>
    <s v="Katherine Martinez"/>
    <x v="1"/>
    <x v="0"/>
    <s v="Tyvek ® Top-Opening Peel &amp; Seel ® Envelopes, Gray"/>
    <x v="4"/>
    <n v="967.12"/>
    <n v="10"/>
    <s v="Net Banking"/>
    <x v="152"/>
  </r>
  <r>
    <s v="ORD1153"/>
    <x v="132"/>
    <s v="Jodi Roach"/>
    <x v="0"/>
    <x v="1"/>
    <s v="Tenex Antistatic Computer Chair Mats"/>
    <x v="7"/>
    <n v="1029"/>
    <n v="5"/>
    <s v="Credit Card"/>
    <x v="153"/>
  </r>
  <r>
    <s v="ORD1154"/>
    <x v="133"/>
    <s v="Brandon Fleming"/>
    <x v="2"/>
    <x v="0"/>
    <s v="Xerox 1922"/>
    <x v="3"/>
    <n v="293.19"/>
    <n v="5"/>
    <s v="Net Banking"/>
    <x v="154"/>
  </r>
  <r>
    <s v="ORD1155"/>
    <x v="134"/>
    <s v="Emma Reed"/>
    <x v="2"/>
    <x v="2"/>
    <s v="Hewlett-Packard Deskjet 940 REFURBISHED Color Inkjet Printer"/>
    <x v="7"/>
    <n v="801.48"/>
    <n v="5"/>
    <s v="Net Banking"/>
    <x v="155"/>
  </r>
  <r>
    <s v="ORD1156"/>
    <x v="135"/>
    <s v="Joshua Vance"/>
    <x v="0"/>
    <x v="0"/>
    <s v="Staples Brown Kraft Recycled Clasp Envelopes"/>
    <x v="2"/>
    <n v="1304.56"/>
    <n v="20"/>
    <s v="UPI"/>
    <x v="156"/>
  </r>
  <r>
    <s v="ORD1157"/>
    <x v="136"/>
    <s v="Michelle Ho"/>
    <x v="0"/>
    <x v="1"/>
    <s v="Eldon Executive Woodline II Cherry Finish Desk Accessories"/>
    <x v="7"/>
    <n v="1571.78"/>
    <n v="20"/>
    <s v="Credit Card"/>
    <x v="157"/>
  </r>
  <r>
    <s v="ORD1158"/>
    <x v="137"/>
    <s v="Rebecca Hicks"/>
    <x v="0"/>
    <x v="0"/>
    <s v="Tyvek ® Top-Opening Peel &amp; Seel ® Envelopes, Gray"/>
    <x v="7"/>
    <n v="473.56"/>
    <n v="20"/>
    <s v="Net Banking"/>
    <x v="158"/>
  </r>
  <r>
    <s v="ORD1159"/>
    <x v="138"/>
    <s v="Curtis Taylor"/>
    <x v="2"/>
    <x v="0"/>
    <s v="Xerox 1922"/>
    <x v="6"/>
    <n v="318.75"/>
    <n v="15"/>
    <s v="Credit Card"/>
    <x v="159"/>
  </r>
  <r>
    <s v="ORD1160"/>
    <x v="139"/>
    <s v="Allison Spencer"/>
    <x v="0"/>
    <x v="0"/>
    <s v="Recycled Premium Regency Composition Covers"/>
    <x v="6"/>
    <n v="1342.93"/>
    <n v="5"/>
    <s v="Credit Card"/>
    <x v="160"/>
  </r>
  <r>
    <s v="ORD1161"/>
    <x v="140"/>
    <s v="Robert Arnold"/>
    <x v="0"/>
    <x v="0"/>
    <s v="Brites Rubber Bands, 1 1/2 oz. Box"/>
    <x v="5"/>
    <n v="53.67"/>
    <n v="10"/>
    <s v="Net Banking"/>
    <x v="161"/>
  </r>
  <r>
    <s v="ORD1162"/>
    <x v="141"/>
    <s v="Angelica Parker"/>
    <x v="1"/>
    <x v="2"/>
    <s v="Accessory36"/>
    <x v="0"/>
    <n v="397.83"/>
    <n v="20"/>
    <s v="Net Banking"/>
    <x v="162"/>
  </r>
  <r>
    <s v="ORD1163"/>
    <x v="142"/>
    <s v="Dr. Kelly Hammond DVM"/>
    <x v="0"/>
    <x v="0"/>
    <s v="Newell 323"/>
    <x v="3"/>
    <n v="106.69"/>
    <n v="20"/>
    <s v="Credit Card"/>
    <x v="163"/>
  </r>
  <r>
    <s v="ORD1164"/>
    <x v="143"/>
    <s v="William Day"/>
    <x v="2"/>
    <x v="0"/>
    <s v="ACCOHIDE® Binder by Acco"/>
    <x v="7"/>
    <n v="375.43"/>
    <n v="5"/>
    <s v="Credit Card"/>
    <x v="164"/>
  </r>
  <r>
    <s v="ORD1165"/>
    <x v="108"/>
    <s v="Michael Cooper"/>
    <x v="1"/>
    <x v="1"/>
    <s v="O'Sullivan Elevations Bookcase, Cherry Finish"/>
    <x v="7"/>
    <n v="403.57"/>
    <n v="20"/>
    <s v="Credit Card"/>
    <x v="165"/>
  </r>
  <r>
    <s v="ORD1166"/>
    <x v="144"/>
    <s v="Penny Bowman"/>
    <x v="3"/>
    <x v="2"/>
    <s v="Memorex 4.7GB DVD+RW, 3/Pack"/>
    <x v="4"/>
    <n v="805.96"/>
    <n v="15"/>
    <s v="UPI"/>
    <x v="166"/>
  </r>
  <r>
    <s v="ORD1167"/>
    <x v="145"/>
    <s v="Vincent Reynolds"/>
    <x v="2"/>
    <x v="2"/>
    <s v="MicroTAC 650"/>
    <x v="6"/>
    <n v="834.54"/>
    <n v="15"/>
    <s v="Cash"/>
    <x v="167"/>
  </r>
  <r>
    <s v="ORD1168"/>
    <x v="146"/>
    <s v="Amy Martinez"/>
    <x v="2"/>
    <x v="2"/>
    <s v="Imation 3.5&quot;, DISKETTE 44766 HGHLD3.52HD/FM, 10/Pack"/>
    <x v="3"/>
    <n v="1754.81"/>
    <n v="20"/>
    <s v="Net Banking"/>
    <x v="168"/>
  </r>
  <r>
    <s v="ORD1169"/>
    <x v="147"/>
    <s v="Christopher Morris"/>
    <x v="3"/>
    <x v="2"/>
    <s v="80 Minute Slim Jewel Case CD-R , 10/Pack - Staples"/>
    <x v="5"/>
    <n v="1044.71"/>
    <n v="5"/>
    <s v="UPI"/>
    <x v="169"/>
  </r>
  <r>
    <s v="ORD1170"/>
    <x v="148"/>
    <s v="Hannah Everett"/>
    <x v="2"/>
    <x v="2"/>
    <s v="Accessory34"/>
    <x v="0"/>
    <n v="1460.64"/>
    <n v="5"/>
    <s v="UPI"/>
    <x v="170"/>
  </r>
  <r>
    <s v="ORD1171"/>
    <x v="149"/>
    <s v="Sarah King"/>
    <x v="3"/>
    <x v="2"/>
    <s v="80 Minute Slim Jewel Case CD-R , 10/Pack - Staples"/>
    <x v="1"/>
    <n v="253.07"/>
    <n v="5"/>
    <s v="Credit Card"/>
    <x v="171"/>
  </r>
  <r>
    <s v="ORD1172"/>
    <x v="150"/>
    <s v="Krista Martinez"/>
    <x v="3"/>
    <x v="0"/>
    <s v="High Speed Automatic Electric Letter Opener"/>
    <x v="0"/>
    <n v="489.61"/>
    <n v="0"/>
    <s v="Cash"/>
    <x v="172"/>
  </r>
  <r>
    <s v="ORD1173"/>
    <x v="151"/>
    <s v="Joseph Shaw"/>
    <x v="2"/>
    <x v="2"/>
    <s v="Belkin 105-Key Black Keyboard"/>
    <x v="2"/>
    <n v="1420.74"/>
    <n v="20"/>
    <s v="Net Banking"/>
    <x v="173"/>
  </r>
  <r>
    <s v="ORD1174"/>
    <x v="152"/>
    <s v="Todd Moore"/>
    <x v="0"/>
    <x v="1"/>
    <s v="Eldon® Expressions™ Wood Desk Accessories, Oak"/>
    <x v="7"/>
    <n v="152.97"/>
    <n v="5"/>
    <s v="UPI"/>
    <x v="174"/>
  </r>
  <r>
    <s v="ORD1175"/>
    <x v="153"/>
    <s v="Michelle Jacobs"/>
    <x v="0"/>
    <x v="0"/>
    <s v="Xerox 193"/>
    <x v="5"/>
    <n v="998.87"/>
    <n v="15"/>
    <s v="Net Banking"/>
    <x v="175"/>
  </r>
  <r>
    <s v="ORD1176"/>
    <x v="39"/>
    <s v="Kristy Bryan"/>
    <x v="3"/>
    <x v="0"/>
    <s v="Decoflex Hanging Personal Folder File, Blue"/>
    <x v="2"/>
    <n v="1218.77"/>
    <n v="10"/>
    <s v="UPI"/>
    <x v="176"/>
  </r>
  <r>
    <s v="ORD1177"/>
    <x v="154"/>
    <s v="Angel May"/>
    <x v="1"/>
    <x v="2"/>
    <s v="80 Minute Slim Jewel Case CD-R , 10/Pack - Staples"/>
    <x v="3"/>
    <n v="1224.18"/>
    <n v="10"/>
    <s v="Net Banking"/>
    <x v="177"/>
  </r>
  <r>
    <s v="ORD1178"/>
    <x v="155"/>
    <s v="Marilyn Wang"/>
    <x v="3"/>
    <x v="2"/>
    <s v="Bell Sonecor JB700 Caller ID"/>
    <x v="1"/>
    <n v="94.72"/>
    <n v="5"/>
    <s v="Credit Card"/>
    <x v="178"/>
  </r>
  <r>
    <s v="ORD1179"/>
    <x v="15"/>
    <s v="Mark Jimenez"/>
    <x v="3"/>
    <x v="1"/>
    <s v="Hon 94000 Series Round Tables"/>
    <x v="6"/>
    <n v="678.11"/>
    <n v="10"/>
    <s v="Credit Card"/>
    <x v="179"/>
  </r>
  <r>
    <s v="ORD1180"/>
    <x v="156"/>
    <s v="Donna Frye"/>
    <x v="3"/>
    <x v="2"/>
    <s v="Acco Keyboard-In-A-Box®"/>
    <x v="5"/>
    <n v="1291.1600000000001"/>
    <n v="10"/>
    <s v="Cash"/>
    <x v="180"/>
  </r>
  <r>
    <s v="ORD1181"/>
    <x v="157"/>
    <s v="Dr. Michael Evans"/>
    <x v="0"/>
    <x v="1"/>
    <s v="SAFCO Arco Folding Chair"/>
    <x v="5"/>
    <n v="340.55"/>
    <n v="0"/>
    <s v="Credit Card"/>
    <x v="181"/>
  </r>
  <r>
    <s v="ORD1182"/>
    <x v="158"/>
    <s v="Anthony Gonzales"/>
    <x v="0"/>
    <x v="1"/>
    <s v="Eldon® 200 Class™ Desk Accessories, Burgundy"/>
    <x v="7"/>
    <n v="1406.06"/>
    <n v="15"/>
    <s v="UPI"/>
    <x v="182"/>
  </r>
  <r>
    <s v="ORD1183"/>
    <x v="159"/>
    <s v="Mr. Lawrence Edwards"/>
    <x v="0"/>
    <x v="0"/>
    <s v="Hoover Commercial Soft Guard Upright Vacuum And Disposable Filtration Bags"/>
    <x v="8"/>
    <n v="1504.55"/>
    <n v="15"/>
    <s v="UPI"/>
    <x v="183"/>
  </r>
  <r>
    <s v="ORD1184"/>
    <x v="160"/>
    <s v="Morgan Valencia"/>
    <x v="3"/>
    <x v="1"/>
    <s v="Master Giant Foot® Doorstop, Safety Yellow"/>
    <x v="5"/>
    <n v="1964.84"/>
    <n v="0"/>
    <s v="UPI"/>
    <x v="184"/>
  </r>
  <r>
    <s v="ORD1185"/>
    <x v="161"/>
    <s v="Bianca Wood"/>
    <x v="1"/>
    <x v="0"/>
    <s v="Avery Hi-Liter GlideStik Fluorescent Highlighter, Yellow Ink"/>
    <x v="4"/>
    <n v="459.19"/>
    <n v="0"/>
    <s v="UPI"/>
    <x v="185"/>
  </r>
  <r>
    <s v="ORD1186"/>
    <x v="162"/>
    <s v="Emma Owens"/>
    <x v="0"/>
    <x v="1"/>
    <s v="Anderson Hickey Conga Table Tops &amp; Accessories"/>
    <x v="1"/>
    <n v="1659"/>
    <n v="10"/>
    <s v="Credit Card"/>
    <x v="186"/>
  </r>
  <r>
    <s v="ORD1187"/>
    <x v="163"/>
    <s v="David Davis"/>
    <x v="2"/>
    <x v="0"/>
    <s v="Avery Hi-Liter GlideStik Fluorescent Highlighter, Yellow Ink"/>
    <x v="1"/>
    <n v="1064.58"/>
    <n v="20"/>
    <s v="Credit Card"/>
    <x v="187"/>
  </r>
  <r>
    <s v="ORD1188"/>
    <x v="164"/>
    <s v="James Gilbert"/>
    <x v="2"/>
    <x v="0"/>
    <s v="Acme® Elite Stainless Steel Scissors"/>
    <x v="4"/>
    <n v="778.25"/>
    <n v="10"/>
    <s v="Cash"/>
    <x v="188"/>
  </r>
  <r>
    <s v="ORD1189"/>
    <x v="150"/>
    <s v="Sean Moore"/>
    <x v="2"/>
    <x v="1"/>
    <s v="GE 48&quot; Fluorescent Tube, Cool White Energy Saver, 34 Watts, 30/Box"/>
    <x v="4"/>
    <n v="288.63"/>
    <n v="0"/>
    <s v="Net Banking"/>
    <x v="189"/>
  </r>
  <r>
    <s v="ORD1190"/>
    <x v="165"/>
    <s v="Kenneth Edwards"/>
    <x v="3"/>
    <x v="0"/>
    <s v="Acme® Elite Stainless Steel Scissors"/>
    <x v="4"/>
    <n v="1484.24"/>
    <n v="15"/>
    <s v="Cash"/>
    <x v="190"/>
  </r>
  <r>
    <s v="ORD1191"/>
    <x v="155"/>
    <s v="Kathleen Robertson"/>
    <x v="2"/>
    <x v="1"/>
    <s v="GE 48&quot; Fluorescent Tube, Cool White Energy Saver, 34 Watts, 30/Box"/>
    <x v="1"/>
    <n v="509.92"/>
    <n v="10"/>
    <s v="Net Banking"/>
    <x v="191"/>
  </r>
  <r>
    <s v="ORD1192"/>
    <x v="166"/>
    <s v="Mr. Alexander Landry MD"/>
    <x v="3"/>
    <x v="2"/>
    <s v="Maxell 3.5&quot; DS/HD IBM-Formatted Diskettes, 10/Pack"/>
    <x v="0"/>
    <n v="774.27"/>
    <n v="20"/>
    <s v="Credit Card"/>
    <x v="192"/>
  </r>
  <r>
    <s v="ORD1193"/>
    <x v="167"/>
    <s v="Cindy Gomez"/>
    <x v="2"/>
    <x v="0"/>
    <s v="Xerox 1898"/>
    <x v="1"/>
    <n v="171.96"/>
    <n v="10"/>
    <s v="UPI"/>
    <x v="193"/>
  </r>
  <r>
    <s v="ORD1194"/>
    <x v="168"/>
    <s v="Johnny Khan"/>
    <x v="1"/>
    <x v="1"/>
    <s v="Bevis 36 x 72 Conference Tables"/>
    <x v="8"/>
    <n v="1612.67"/>
    <n v="5"/>
    <s v="Cash"/>
    <x v="194"/>
  </r>
  <r>
    <s v="ORD1195"/>
    <x v="69"/>
    <s v="Julie Herrera"/>
    <x v="3"/>
    <x v="2"/>
    <s v="M70"/>
    <x v="7"/>
    <n v="1544.85"/>
    <n v="10"/>
    <s v="Cash"/>
    <x v="195"/>
  </r>
  <r>
    <s v="ORD1196"/>
    <x v="169"/>
    <s v="Jessica Khan"/>
    <x v="2"/>
    <x v="0"/>
    <s v="Sanyo Counter Height Refrigerator with Crisper, 3.6 Cubic Foot, Stainless Steel/Black"/>
    <x v="2"/>
    <n v="1480.55"/>
    <n v="0"/>
    <s v="Credit Card"/>
    <x v="196"/>
  </r>
  <r>
    <s v="ORD1197"/>
    <x v="170"/>
    <s v="Pamela Diaz"/>
    <x v="0"/>
    <x v="1"/>
    <s v="Executive Impressions 13&quot; Clairmont Wall Clock"/>
    <x v="0"/>
    <n v="633.91"/>
    <n v="15"/>
    <s v="Net Banking"/>
    <x v="197"/>
  </r>
  <r>
    <s v="ORD1198"/>
    <x v="93"/>
    <s v="Kelly Lee"/>
    <x v="3"/>
    <x v="2"/>
    <s v="1726 Digital Answering Machine"/>
    <x v="6"/>
    <n v="388.29"/>
    <n v="15"/>
    <s v="Cash"/>
    <x v="198"/>
  </r>
  <r>
    <s v="ORD1199"/>
    <x v="112"/>
    <s v="Angel Gordon"/>
    <x v="0"/>
    <x v="0"/>
    <s v="3M Organizer Strips"/>
    <x v="2"/>
    <n v="1293.23"/>
    <n v="0"/>
    <s v="Net Banking"/>
    <x v="199"/>
  </r>
  <r>
    <s v="ORD1200"/>
    <x v="105"/>
    <s v="Diana Hays"/>
    <x v="0"/>
    <x v="1"/>
    <s v="O'Sullivan Living Dimensions 3-Shelf Bookcases"/>
    <x v="7"/>
    <n v="1017.52"/>
    <n v="5"/>
    <s v="Cash"/>
    <x v="200"/>
  </r>
  <r>
    <s v="ORD1201"/>
    <x v="42"/>
    <s v="Barbara Hester"/>
    <x v="0"/>
    <x v="0"/>
    <s v="Xerox 1971"/>
    <x v="8"/>
    <n v="397.59"/>
    <n v="0"/>
    <s v="UPI"/>
    <x v="201"/>
  </r>
  <r>
    <s v="ORD1202"/>
    <x v="1"/>
    <s v="Robert Morgan"/>
    <x v="0"/>
    <x v="2"/>
    <s v="Accessory4"/>
    <x v="8"/>
    <n v="1387.53"/>
    <n v="10"/>
    <s v="Credit Card"/>
    <x v="202"/>
  </r>
  <r>
    <s v="ORD1203"/>
    <x v="65"/>
    <s v="Nicole Gonzalez"/>
    <x v="2"/>
    <x v="1"/>
    <s v="O'Sullivan Living Dimensions 3-Shelf Bookcases"/>
    <x v="6"/>
    <n v="1982.7"/>
    <n v="0"/>
    <s v="Net Banking"/>
    <x v="203"/>
  </r>
  <r>
    <s v="ORD1204"/>
    <x v="171"/>
    <s v="Kathryn Williams"/>
    <x v="2"/>
    <x v="0"/>
    <s v="Xerox 1971"/>
    <x v="0"/>
    <n v="1507.08"/>
    <n v="0"/>
    <s v="Credit Card"/>
    <x v="204"/>
  </r>
  <r>
    <s v="ORD1205"/>
    <x v="172"/>
    <s v="Gary Wells"/>
    <x v="3"/>
    <x v="0"/>
    <s v="3M Office Air Cleaner"/>
    <x v="4"/>
    <n v="1492.97"/>
    <n v="5"/>
    <s v="Credit Card"/>
    <x v="205"/>
  </r>
  <r>
    <s v="ORD1206"/>
    <x v="84"/>
    <s v="Larry Robertson"/>
    <x v="3"/>
    <x v="0"/>
    <s v="Deluxe Rollaway Locking File with Drawer"/>
    <x v="0"/>
    <n v="1903.11"/>
    <n v="10"/>
    <s v="Net Banking"/>
    <x v="206"/>
  </r>
  <r>
    <s v="ORD1207"/>
    <x v="173"/>
    <s v="Louis Martin"/>
    <x v="3"/>
    <x v="0"/>
    <s v="Pressboard Data Binder, Crimson, 12&quot; X 8 1/2&quot;"/>
    <x v="8"/>
    <n v="445.73"/>
    <n v="20"/>
    <s v="Net Banking"/>
    <x v="207"/>
  </r>
  <r>
    <s v="ORD1208"/>
    <x v="174"/>
    <s v="Nancy Evans MD"/>
    <x v="2"/>
    <x v="2"/>
    <s v="8860"/>
    <x v="1"/>
    <n v="1152.82"/>
    <n v="20"/>
    <s v="Cash"/>
    <x v="208"/>
  </r>
  <r>
    <s v="ORD1209"/>
    <x v="122"/>
    <s v="Kim Erickson"/>
    <x v="3"/>
    <x v="0"/>
    <s v="GBC Instant Index™ System for Binding Systems"/>
    <x v="7"/>
    <n v="1960.31"/>
    <n v="15"/>
    <s v="Net Banking"/>
    <x v="209"/>
  </r>
  <r>
    <s v="ORD1210"/>
    <x v="175"/>
    <s v="Robert Richardson"/>
    <x v="0"/>
    <x v="0"/>
    <s v="Xerox 4200 Series MultiUse Premium Copy Paper (20Lb. and 84 Bright)"/>
    <x v="6"/>
    <n v="372.32"/>
    <n v="0"/>
    <s v="Credit Card"/>
    <x v="210"/>
  </r>
  <r>
    <s v="ORD1211"/>
    <x v="136"/>
    <s v="Veronica Silva"/>
    <x v="2"/>
    <x v="2"/>
    <s v="T18"/>
    <x v="7"/>
    <n v="1415.49"/>
    <n v="15"/>
    <s v="Credit Card"/>
    <x v="211"/>
  </r>
  <r>
    <s v="ORD1212"/>
    <x v="176"/>
    <s v="Molly Watts"/>
    <x v="3"/>
    <x v="1"/>
    <s v="Office Star - Mid Back Dual function Ergonomic High Back Chair with 2-Way Adjustable Arms"/>
    <x v="3"/>
    <n v="1192.33"/>
    <n v="5"/>
    <s v="Net Banking"/>
    <x v="212"/>
  </r>
  <r>
    <s v="ORD1213"/>
    <x v="177"/>
    <s v="John Coffey"/>
    <x v="0"/>
    <x v="2"/>
    <s v="Fellowes EZ Multi-Media Keyboard"/>
    <x v="3"/>
    <n v="1193.6300000000001"/>
    <n v="20"/>
    <s v="Net Banking"/>
    <x v="213"/>
  </r>
  <r>
    <s v="ORD1214"/>
    <x v="178"/>
    <s v="Paula Lane"/>
    <x v="3"/>
    <x v="1"/>
    <s v="Telescoping Adjustable Floor Lamp"/>
    <x v="0"/>
    <n v="1410.46"/>
    <n v="0"/>
    <s v="Cash"/>
    <x v="214"/>
  </r>
  <r>
    <s v="ORD1215"/>
    <x v="179"/>
    <s v="Lauren Jackson"/>
    <x v="1"/>
    <x v="0"/>
    <s v="Filing/Storage Totes and Swivel Casters"/>
    <x v="8"/>
    <n v="1862.75"/>
    <n v="5"/>
    <s v="Cash"/>
    <x v="215"/>
  </r>
  <r>
    <s v="ORD1216"/>
    <x v="180"/>
    <s v="Lisa Randall"/>
    <x v="3"/>
    <x v="2"/>
    <s v="Logitech Access Keyboard"/>
    <x v="8"/>
    <n v="1576.03"/>
    <n v="5"/>
    <s v="Cash"/>
    <x v="216"/>
  </r>
  <r>
    <s v="ORD1217"/>
    <x v="181"/>
    <s v="Michael Johnson"/>
    <x v="1"/>
    <x v="0"/>
    <s v="Xerox 1929"/>
    <x v="4"/>
    <n v="159.47"/>
    <n v="0"/>
    <s v="Credit Card"/>
    <x v="217"/>
  </r>
  <r>
    <s v="ORD1218"/>
    <x v="182"/>
    <s v="Ashley Smith"/>
    <x v="3"/>
    <x v="1"/>
    <s v="Laminate Occasional Tables"/>
    <x v="4"/>
    <n v="1712.82"/>
    <n v="5"/>
    <s v="Net Banking"/>
    <x v="218"/>
  </r>
  <r>
    <s v="ORD1219"/>
    <x v="183"/>
    <s v="Christian Vaughn"/>
    <x v="3"/>
    <x v="1"/>
    <s v="Howard Miller 16&quot; Diameter Gallery Wall Clock"/>
    <x v="4"/>
    <n v="489.81"/>
    <n v="0"/>
    <s v="UPI"/>
    <x v="219"/>
  </r>
  <r>
    <s v="ORD1220"/>
    <x v="184"/>
    <s v="Reginald Knapp"/>
    <x v="2"/>
    <x v="0"/>
    <s v="Rediform S.O.S. Phone Message Books"/>
    <x v="1"/>
    <n v="784.98"/>
    <n v="0"/>
    <s v="Net Banking"/>
    <x v="220"/>
  </r>
  <r>
    <s v="ORD1221"/>
    <x v="185"/>
    <s v="Nancy Brown"/>
    <x v="2"/>
    <x v="0"/>
    <s v="Binding Machine Supplies"/>
    <x v="2"/>
    <n v="950.38"/>
    <n v="10"/>
    <s v="Net Banking"/>
    <x v="221"/>
  </r>
  <r>
    <s v="ORD1222"/>
    <x v="0"/>
    <s v="Daniel Nguyen"/>
    <x v="1"/>
    <x v="0"/>
    <s v="Hot File® 7-Pocket, Floor Stand"/>
    <x v="5"/>
    <n v="987.77"/>
    <n v="15"/>
    <s v="Cash"/>
    <x v="222"/>
  </r>
  <r>
    <s v="ORD1223"/>
    <x v="179"/>
    <s v="Kelly Edwards"/>
    <x v="2"/>
    <x v="2"/>
    <s v="Polycom Soundstation EX Audio-Conferencing Telephone, Black"/>
    <x v="2"/>
    <n v="898.6"/>
    <n v="5"/>
    <s v="UPI"/>
    <x v="223"/>
  </r>
  <r>
    <s v="ORD1224"/>
    <x v="99"/>
    <s v="Thomas Peterson"/>
    <x v="0"/>
    <x v="2"/>
    <s v="Memorex 4.7GB DVD+R, 3/Pack"/>
    <x v="7"/>
    <n v="1877.84"/>
    <n v="5"/>
    <s v="Net Banking"/>
    <x v="224"/>
  </r>
  <r>
    <s v="ORD1225"/>
    <x v="25"/>
    <s v="Raymond Le"/>
    <x v="0"/>
    <x v="2"/>
    <s v="Accessory20"/>
    <x v="2"/>
    <n v="1426.74"/>
    <n v="10"/>
    <s v="UPI"/>
    <x v="225"/>
  </r>
  <r>
    <s v="ORD1226"/>
    <x v="152"/>
    <s v="Melissa Bishop"/>
    <x v="1"/>
    <x v="0"/>
    <s v="Manila Recycled Extra-Heavyweight Clasp Envelopes, 6&quot; x 9&quot;"/>
    <x v="1"/>
    <n v="1280.78"/>
    <n v="10"/>
    <s v="UPI"/>
    <x v="226"/>
  </r>
  <r>
    <s v="ORD1227"/>
    <x v="186"/>
    <s v="David Grant"/>
    <x v="0"/>
    <x v="2"/>
    <s v="StarTAC ST7762"/>
    <x v="7"/>
    <n v="147.19"/>
    <n v="10"/>
    <s v="Net Banking"/>
    <x v="227"/>
  </r>
  <r>
    <s v="ORD1228"/>
    <x v="187"/>
    <s v="William Evans"/>
    <x v="0"/>
    <x v="1"/>
    <s v="Master Giant Foot® Doorstop, Safety Yellow"/>
    <x v="2"/>
    <n v="1812.63"/>
    <n v="20"/>
    <s v="Cash"/>
    <x v="228"/>
  </r>
  <r>
    <s v="ORD1229"/>
    <x v="188"/>
    <s v="Daniel Bush"/>
    <x v="3"/>
    <x v="0"/>
    <s v="14-7/8 x 11 Blue Bar Computer Printout Paper"/>
    <x v="1"/>
    <n v="1823.31"/>
    <n v="20"/>
    <s v="Cash"/>
    <x v="229"/>
  </r>
  <r>
    <s v="ORD1230"/>
    <x v="135"/>
    <s v="Gregory Peck"/>
    <x v="2"/>
    <x v="1"/>
    <s v="O'Sullivan Living Dimensions 3-Shelf Bookcases"/>
    <x v="5"/>
    <n v="1571.42"/>
    <n v="20"/>
    <s v="Net Banking"/>
    <x v="230"/>
  </r>
  <r>
    <s v="ORD1231"/>
    <x v="189"/>
    <s v="Denise Martinez"/>
    <x v="0"/>
    <x v="0"/>
    <s v="Newell 333"/>
    <x v="2"/>
    <n v="63.71"/>
    <n v="0"/>
    <s v="UPI"/>
    <x v="231"/>
  </r>
  <r>
    <s v="ORD1232"/>
    <x v="61"/>
    <s v="Jamie Baird"/>
    <x v="0"/>
    <x v="1"/>
    <s v="Office Star - Contemporary Task Swivel chair with 2-way adjustable arms, Plum"/>
    <x v="1"/>
    <n v="161.69999999999999"/>
    <n v="5"/>
    <s v="UPI"/>
    <x v="232"/>
  </r>
  <r>
    <s v="ORD1233"/>
    <x v="190"/>
    <s v="Tina Ballard"/>
    <x v="2"/>
    <x v="2"/>
    <s v="2160i"/>
    <x v="4"/>
    <n v="489.19"/>
    <n v="15"/>
    <s v="Cash"/>
    <x v="233"/>
  </r>
  <r>
    <s v="ORD1234"/>
    <x v="191"/>
    <s v="Dwayne Klein"/>
    <x v="0"/>
    <x v="2"/>
    <s v="210 Trimline Phone, White"/>
    <x v="8"/>
    <n v="306.13"/>
    <n v="0"/>
    <s v="Cash"/>
    <x v="234"/>
  </r>
  <r>
    <s v="ORD1235"/>
    <x v="192"/>
    <s v="Jeremy Scott"/>
    <x v="0"/>
    <x v="0"/>
    <s v="Vinyl Sectional Post Binders"/>
    <x v="4"/>
    <n v="827.73"/>
    <n v="5"/>
    <s v="Cash"/>
    <x v="235"/>
  </r>
  <r>
    <s v="ORD1236"/>
    <x v="193"/>
    <s v="Dale Ryan"/>
    <x v="2"/>
    <x v="0"/>
    <s v="GBC Instant Index™ System for Binding Systems"/>
    <x v="8"/>
    <n v="1849.11"/>
    <n v="5"/>
    <s v="UPI"/>
    <x v="236"/>
  </r>
  <r>
    <s v="ORD1237"/>
    <x v="110"/>
    <s v="Melissa Taylor"/>
    <x v="3"/>
    <x v="0"/>
    <s v="Avery 514"/>
    <x v="6"/>
    <n v="970.52"/>
    <n v="10"/>
    <s v="UPI"/>
    <x v="237"/>
  </r>
  <r>
    <s v="ORD1238"/>
    <x v="194"/>
    <s v="Laurie Sanchez"/>
    <x v="0"/>
    <x v="2"/>
    <s v="Accessory36"/>
    <x v="6"/>
    <n v="76.14"/>
    <n v="10"/>
    <s v="Cash"/>
    <x v="238"/>
  </r>
  <r>
    <s v="ORD1239"/>
    <x v="195"/>
    <s v="Kiara Little"/>
    <x v="2"/>
    <x v="1"/>
    <s v="Seth Thomas 14&quot; Putty-Colored Wall Clock"/>
    <x v="6"/>
    <n v="601.35"/>
    <n v="0"/>
    <s v="Cash"/>
    <x v="239"/>
  </r>
  <r>
    <s v="ORD1240"/>
    <x v="1"/>
    <s v="Jason Love"/>
    <x v="0"/>
    <x v="0"/>
    <s v="Tenex Personal Self-Stacking Standard File Box, Black/Gray"/>
    <x v="5"/>
    <n v="136.96"/>
    <n v="10"/>
    <s v="UPI"/>
    <x v="240"/>
  </r>
  <r>
    <s v="ORD1241"/>
    <x v="196"/>
    <s v="Randy Smith"/>
    <x v="0"/>
    <x v="0"/>
    <s v="Economy Rollaway Files"/>
    <x v="4"/>
    <n v="120.76"/>
    <n v="5"/>
    <s v="Credit Card"/>
    <x v="241"/>
  </r>
  <r>
    <s v="ORD1242"/>
    <x v="143"/>
    <s v="Tanya Russell"/>
    <x v="3"/>
    <x v="2"/>
    <s v="Panasonic KX-P3200 Dot Matrix Printer"/>
    <x v="8"/>
    <n v="587.65"/>
    <n v="10"/>
    <s v="UPI"/>
    <x v="242"/>
  </r>
  <r>
    <s v="ORD1243"/>
    <x v="197"/>
    <s v="Sherry Woods"/>
    <x v="1"/>
    <x v="1"/>
    <s v="Tensor &quot;Hersey Kiss&quot; Styled Floor Lamp"/>
    <x v="1"/>
    <n v="587.44000000000005"/>
    <n v="20"/>
    <s v="Net Banking"/>
    <x v="243"/>
  </r>
  <r>
    <s v="ORD1244"/>
    <x v="198"/>
    <s v="Victor Morris"/>
    <x v="1"/>
    <x v="0"/>
    <s v="Holmes Odor Grabber"/>
    <x v="7"/>
    <n v="1584.9"/>
    <n v="10"/>
    <s v="Net Banking"/>
    <x v="244"/>
  </r>
  <r>
    <s v="ORD1245"/>
    <x v="55"/>
    <s v="Susan Davis"/>
    <x v="2"/>
    <x v="1"/>
    <s v="Eldon Image Series Black Desk Accessories"/>
    <x v="1"/>
    <n v="1950.93"/>
    <n v="5"/>
    <s v="UPI"/>
    <x v="245"/>
  </r>
  <r>
    <s v="ORD1246"/>
    <x v="199"/>
    <s v="Kimberly Sharp"/>
    <x v="1"/>
    <x v="0"/>
    <s v="Xerox 188"/>
    <x v="7"/>
    <n v="773.85"/>
    <n v="0"/>
    <s v="Net Banking"/>
    <x v="246"/>
  </r>
  <r>
    <s v="ORD1247"/>
    <x v="200"/>
    <s v="Susan Thompson"/>
    <x v="2"/>
    <x v="2"/>
    <s v="Motorola SB4200 Cable Modem"/>
    <x v="3"/>
    <n v="886.33"/>
    <n v="15"/>
    <s v="Credit Card"/>
    <x v="247"/>
  </r>
  <r>
    <s v="ORD1248"/>
    <x v="201"/>
    <s v="Casey Gillespie"/>
    <x v="1"/>
    <x v="2"/>
    <s v="Motorola SB4200 Cable Modem"/>
    <x v="1"/>
    <n v="1697.34"/>
    <n v="10"/>
    <s v="Credit Card"/>
    <x v="248"/>
  </r>
  <r>
    <s v="ORD1249"/>
    <x v="202"/>
    <s v="Jennifer Simpson DVM"/>
    <x v="3"/>
    <x v="0"/>
    <s v="Staples 6 Outlet Surge"/>
    <x v="2"/>
    <n v="572.87"/>
    <n v="5"/>
    <s v="Credit Card"/>
    <x v="249"/>
  </r>
  <r>
    <s v="ORD1250"/>
    <x v="203"/>
    <s v="Tammy Mcdowell"/>
    <x v="2"/>
    <x v="0"/>
    <s v="Cardinal Poly Pocket Divider Pockets for Ring Binders"/>
    <x v="2"/>
    <n v="354.94"/>
    <n v="15"/>
    <s v="Net Banking"/>
    <x v="250"/>
  </r>
  <r>
    <s v="ORD1251"/>
    <x v="121"/>
    <s v="Keith Rodriguez"/>
    <x v="1"/>
    <x v="2"/>
    <s v="Canon PC1060 Personal Laser Copier"/>
    <x v="0"/>
    <n v="1713.52"/>
    <n v="15"/>
    <s v="Cash"/>
    <x v="251"/>
  </r>
  <r>
    <s v="ORD1252"/>
    <x v="63"/>
    <s v="Mrs. Virginia Daniels"/>
    <x v="3"/>
    <x v="0"/>
    <s v="Avery 49"/>
    <x v="4"/>
    <n v="140.68"/>
    <n v="20"/>
    <s v="Credit Card"/>
    <x v="252"/>
  </r>
  <r>
    <s v="ORD1253"/>
    <x v="204"/>
    <s v="Todd Rosales MD"/>
    <x v="1"/>
    <x v="0"/>
    <s v="Cardinal Poly Pocket Divider Pockets for Ring Binders"/>
    <x v="7"/>
    <n v="1258.4100000000001"/>
    <n v="15"/>
    <s v="Credit Card"/>
    <x v="253"/>
  </r>
  <r>
    <s v="ORD1254"/>
    <x v="205"/>
    <s v="Brian Martin"/>
    <x v="0"/>
    <x v="0"/>
    <s v="Xerox 1933"/>
    <x v="7"/>
    <n v="1145.8900000000001"/>
    <n v="5"/>
    <s v="Cash"/>
    <x v="254"/>
  </r>
  <r>
    <s v="ORD1255"/>
    <x v="206"/>
    <s v="David Lopez"/>
    <x v="0"/>
    <x v="2"/>
    <s v="Accessory25"/>
    <x v="4"/>
    <n v="724.54"/>
    <n v="5"/>
    <s v="UPI"/>
    <x v="255"/>
  </r>
  <r>
    <s v="ORD1256"/>
    <x v="207"/>
    <s v="Rachel Bradley"/>
    <x v="3"/>
    <x v="0"/>
    <s v="Newell 343"/>
    <x v="5"/>
    <n v="664.62"/>
    <n v="10"/>
    <s v="Cash"/>
    <x v="256"/>
  </r>
  <r>
    <s v="ORD1257"/>
    <x v="208"/>
    <s v="Casey Chase"/>
    <x v="0"/>
    <x v="0"/>
    <s v="Xerox 1897"/>
    <x v="0"/>
    <n v="1555.12"/>
    <n v="10"/>
    <s v="UPI"/>
    <x v="257"/>
  </r>
  <r>
    <s v="ORD1258"/>
    <x v="209"/>
    <s v="Samantha Robertson"/>
    <x v="0"/>
    <x v="2"/>
    <s v="Okidata ML395C Color Dot Matrix Printer"/>
    <x v="5"/>
    <n v="218.53"/>
    <n v="10"/>
    <s v="UPI"/>
    <x v="258"/>
  </r>
  <r>
    <s v="ORD1259"/>
    <x v="210"/>
    <s v="Michael Lopez"/>
    <x v="2"/>
    <x v="0"/>
    <s v="Southworth 25% Cotton Linen-Finish Paper &amp; Envelopes"/>
    <x v="5"/>
    <n v="511.73"/>
    <n v="15"/>
    <s v="Cash"/>
    <x v="259"/>
  </r>
  <r>
    <s v="ORD1260"/>
    <x v="211"/>
    <s v="Franklin Wright"/>
    <x v="1"/>
    <x v="0"/>
    <s v="Xerox 21"/>
    <x v="5"/>
    <n v="1478.28"/>
    <n v="15"/>
    <s v="Credit Card"/>
    <x v="260"/>
  </r>
  <r>
    <s v="ORD1261"/>
    <x v="212"/>
    <s v="David Molina"/>
    <x v="2"/>
    <x v="0"/>
    <s v="Advantus Rolling Storage Box"/>
    <x v="4"/>
    <n v="1119.23"/>
    <n v="20"/>
    <s v="UPI"/>
    <x v="261"/>
  </r>
  <r>
    <s v="ORD1262"/>
    <x v="213"/>
    <s v="Elizabeth Sharp"/>
    <x v="1"/>
    <x v="2"/>
    <s v="Imation 3.5 IBM Formatted Diskettes, 10/Box"/>
    <x v="5"/>
    <n v="299.58"/>
    <n v="10"/>
    <s v="Cash"/>
    <x v="262"/>
  </r>
  <r>
    <s v="ORD1263"/>
    <x v="214"/>
    <s v="Matthew Schwartz"/>
    <x v="0"/>
    <x v="0"/>
    <s v="Newell 343"/>
    <x v="2"/>
    <n v="1770.16"/>
    <n v="0"/>
    <s v="Credit Card"/>
    <x v="263"/>
  </r>
  <r>
    <s v="ORD1264"/>
    <x v="215"/>
    <s v="Bryan Parker"/>
    <x v="2"/>
    <x v="0"/>
    <s v="Xerox 1897"/>
    <x v="6"/>
    <n v="817.22"/>
    <n v="20"/>
    <s v="UPI"/>
    <x v="264"/>
  </r>
  <r>
    <s v="ORD1265"/>
    <x v="216"/>
    <s v="Jonathan Jacobson"/>
    <x v="1"/>
    <x v="2"/>
    <s v="Okidata ML395C Color Dot Matrix Printer"/>
    <x v="3"/>
    <n v="1664.34"/>
    <n v="0"/>
    <s v="Net Banking"/>
    <x v="265"/>
  </r>
  <r>
    <s v="ORD1266"/>
    <x v="217"/>
    <s v="Emily Wilson"/>
    <x v="1"/>
    <x v="0"/>
    <s v="Southworth 25% Cotton Linen-Finish Paper &amp; Envelopes"/>
    <x v="7"/>
    <n v="1586.04"/>
    <n v="15"/>
    <s v="Credit Card"/>
    <x v="266"/>
  </r>
  <r>
    <s v="ORD1267"/>
    <x v="54"/>
    <s v="Elizabeth Mendez"/>
    <x v="2"/>
    <x v="2"/>
    <s v="Adesso Programmable 142-Key Keyboard"/>
    <x v="7"/>
    <n v="1267.6300000000001"/>
    <n v="20"/>
    <s v="Cash"/>
    <x v="267"/>
  </r>
  <r>
    <s v="ORD1268"/>
    <x v="218"/>
    <s v="Casey Hernandez"/>
    <x v="3"/>
    <x v="0"/>
    <s v="Xerox 1908"/>
    <x v="3"/>
    <n v="1014.24"/>
    <n v="20"/>
    <s v="Net Banking"/>
    <x v="268"/>
  </r>
  <r>
    <s v="ORD1269"/>
    <x v="219"/>
    <s v="Lisa Perry"/>
    <x v="1"/>
    <x v="2"/>
    <s v="Talkabout T8367"/>
    <x v="4"/>
    <n v="1960.12"/>
    <n v="5"/>
    <s v="Cash"/>
    <x v="269"/>
  </r>
  <r>
    <s v="ORD1270"/>
    <x v="220"/>
    <s v="Kaitlin Medina"/>
    <x v="0"/>
    <x v="0"/>
    <s v="Tennsco Lockers, Gray"/>
    <x v="1"/>
    <n v="332.68"/>
    <n v="15"/>
    <s v="UPI"/>
    <x v="270"/>
  </r>
  <r>
    <s v="ORD1271"/>
    <x v="41"/>
    <s v="Colleen Wright"/>
    <x v="1"/>
    <x v="1"/>
    <s v="SAFCO Folding Chair Trolley"/>
    <x v="4"/>
    <n v="1464.05"/>
    <n v="15"/>
    <s v="Credit Card"/>
    <x v="271"/>
  </r>
  <r>
    <s v="ORD1272"/>
    <x v="221"/>
    <s v="Shelley Miller"/>
    <x v="0"/>
    <x v="0"/>
    <s v="Xerox 1910"/>
    <x v="7"/>
    <n v="422.82"/>
    <n v="20"/>
    <s v="Net Banking"/>
    <x v="272"/>
  </r>
  <r>
    <s v="ORD1273"/>
    <x v="196"/>
    <s v="Michael Miller"/>
    <x v="2"/>
    <x v="0"/>
    <s v="C-Line Peel &amp; Stick Add-On Filing Pockets, 8-3/4 x 5-1/8, 10/Pack"/>
    <x v="7"/>
    <n v="709.61"/>
    <n v="15"/>
    <s v="Net Banking"/>
    <x v="273"/>
  </r>
  <r>
    <s v="ORD1274"/>
    <x v="135"/>
    <s v="Amy Kelley"/>
    <x v="1"/>
    <x v="1"/>
    <s v="Nu-Dell Executive Frame"/>
    <x v="3"/>
    <n v="651.96"/>
    <n v="20"/>
    <s v="Net Banking"/>
    <x v="274"/>
  </r>
  <r>
    <s v="ORD1275"/>
    <x v="222"/>
    <s v="Laura Hernandez"/>
    <x v="0"/>
    <x v="2"/>
    <s v="Canon MP41DH Printing Calculator"/>
    <x v="5"/>
    <n v="1896.72"/>
    <n v="5"/>
    <s v="UPI"/>
    <x v="275"/>
  </r>
  <r>
    <s v="ORD1276"/>
    <x v="57"/>
    <s v="Joseph Wilson"/>
    <x v="0"/>
    <x v="0"/>
    <s v="Wirebound Message Book, 4 per Page"/>
    <x v="4"/>
    <n v="1936.34"/>
    <n v="20"/>
    <s v="Credit Card"/>
    <x v="276"/>
  </r>
  <r>
    <s v="ORD1277"/>
    <x v="223"/>
    <s v="Kevin Davis"/>
    <x v="2"/>
    <x v="1"/>
    <s v="Bevis Round Conference Table Top, X-Base"/>
    <x v="8"/>
    <n v="406.88"/>
    <n v="15"/>
    <s v="Credit Card"/>
    <x v="277"/>
  </r>
  <r>
    <s v="ORD1278"/>
    <x v="224"/>
    <s v="Rhonda Chavez"/>
    <x v="1"/>
    <x v="0"/>
    <s v="Fellowes PB500 Electric Punch Plastic Comb Binding Machine with Manual Bind"/>
    <x v="3"/>
    <n v="92.97"/>
    <n v="15"/>
    <s v="UPI"/>
    <x v="278"/>
  </r>
  <r>
    <s v="ORD1279"/>
    <x v="225"/>
    <s v="Joyce Brown"/>
    <x v="1"/>
    <x v="2"/>
    <s v="Lexmark 4227 Plus Dot Matrix Printer"/>
    <x v="2"/>
    <n v="1454.02"/>
    <n v="20"/>
    <s v="Cash"/>
    <x v="279"/>
  </r>
  <r>
    <s v="ORD1280"/>
    <x v="226"/>
    <s v="Robert Cummings"/>
    <x v="2"/>
    <x v="2"/>
    <s v="Canon P1-DHIII Palm Printing Calculator"/>
    <x v="7"/>
    <n v="865.08"/>
    <n v="20"/>
    <s v="Net Banking"/>
    <x v="280"/>
  </r>
  <r>
    <s v="ORD1281"/>
    <x v="227"/>
    <s v="Robert Reese"/>
    <x v="1"/>
    <x v="0"/>
    <s v="Staples® General Use 3-Ring Binders"/>
    <x v="3"/>
    <n v="223.24"/>
    <n v="20"/>
    <s v="Cash"/>
    <x v="281"/>
  </r>
  <r>
    <s v="ORD1282"/>
    <x v="228"/>
    <s v="Amber Cooper"/>
    <x v="2"/>
    <x v="0"/>
    <s v="Xerox 1978"/>
    <x v="4"/>
    <n v="1383.32"/>
    <n v="10"/>
    <s v="UPI"/>
    <x v="282"/>
  </r>
  <r>
    <s v="ORD1283"/>
    <x v="27"/>
    <s v="Zachary Michael"/>
    <x v="1"/>
    <x v="0"/>
    <s v="GBC Pre-Punched Binding Paper, Plastic, White, 8-1/2&quot; x 11&quot;"/>
    <x v="7"/>
    <n v="1112.96"/>
    <n v="15"/>
    <s v="Cash"/>
    <x v="283"/>
  </r>
  <r>
    <s v="ORD1284"/>
    <x v="186"/>
    <s v="Timothy Johnson"/>
    <x v="3"/>
    <x v="0"/>
    <s v="GBC Recycled Regency Composition Covers"/>
    <x v="1"/>
    <n v="1962.01"/>
    <n v="15"/>
    <s v="Cash"/>
    <x v="284"/>
  </r>
  <r>
    <s v="ORD1285"/>
    <x v="229"/>
    <s v="Randy Cannon"/>
    <x v="1"/>
    <x v="2"/>
    <s v="Accessory29"/>
    <x v="3"/>
    <n v="493.45"/>
    <n v="10"/>
    <s v="UPI"/>
    <x v="285"/>
  </r>
  <r>
    <s v="ORD1286"/>
    <x v="230"/>
    <s v="Maria Fisher"/>
    <x v="0"/>
    <x v="2"/>
    <s v="Soundgear Copyboard Conference Phone, Optional Battery"/>
    <x v="0"/>
    <n v="837.76"/>
    <n v="20"/>
    <s v="Net Banking"/>
    <x v="286"/>
  </r>
  <r>
    <s v="ORD1287"/>
    <x v="231"/>
    <s v="Janet Kane DVM"/>
    <x v="0"/>
    <x v="1"/>
    <s v="DAX Wood Document Frame."/>
    <x v="7"/>
    <n v="1107.96"/>
    <n v="5"/>
    <s v="Cash"/>
    <x v="287"/>
  </r>
  <r>
    <s v="ORD1288"/>
    <x v="232"/>
    <s v="Michael Stanley"/>
    <x v="3"/>
    <x v="0"/>
    <s v="Wilson Jones Hanging View Binder, White, 1&quot;"/>
    <x v="4"/>
    <n v="1593.81"/>
    <n v="20"/>
    <s v="Credit Card"/>
    <x v="288"/>
  </r>
  <r>
    <s v="ORD1289"/>
    <x v="233"/>
    <s v="Martha Bailey"/>
    <x v="1"/>
    <x v="0"/>
    <s v="Newell 323"/>
    <x v="6"/>
    <n v="1120.24"/>
    <n v="20"/>
    <s v="Cash"/>
    <x v="289"/>
  </r>
  <r>
    <s v="ORD1290"/>
    <x v="234"/>
    <s v="Joshua Rice"/>
    <x v="0"/>
    <x v="1"/>
    <s v="BoxOffice By Design Rectangular and Half-Moon Meeting Room Tables"/>
    <x v="8"/>
    <n v="1245.1600000000001"/>
    <n v="10"/>
    <s v="Cash"/>
    <x v="290"/>
  </r>
  <r>
    <s v="ORD1291"/>
    <x v="235"/>
    <s v="Courtney Smith"/>
    <x v="0"/>
    <x v="2"/>
    <s v="Sharp 1540cs Digital Laser Copier"/>
    <x v="5"/>
    <n v="490.99"/>
    <n v="15"/>
    <s v="Credit Card"/>
    <x v="291"/>
  </r>
  <r>
    <s v="ORD1292"/>
    <x v="157"/>
    <s v="Edwin Nunez"/>
    <x v="1"/>
    <x v="2"/>
    <s v="2160"/>
    <x v="4"/>
    <n v="1701.49"/>
    <n v="20"/>
    <s v="Net Banking"/>
    <x v="292"/>
  </r>
  <r>
    <s v="ORD1293"/>
    <x v="236"/>
    <s v="Kim Morrow"/>
    <x v="2"/>
    <x v="0"/>
    <s v="White GlueTop Scratch Pads"/>
    <x v="2"/>
    <n v="885.83"/>
    <n v="15"/>
    <s v="Credit Card"/>
    <x v="293"/>
  </r>
  <r>
    <s v="ORD1294"/>
    <x v="237"/>
    <s v="Gregory Hill"/>
    <x v="1"/>
    <x v="0"/>
    <s v="Adams Phone Message Book, 200 Message Capacity, 8 1/16” x 11”"/>
    <x v="2"/>
    <n v="324.87"/>
    <n v="0"/>
    <s v="Net Banking"/>
    <x v="294"/>
  </r>
  <r>
    <s v="ORD1295"/>
    <x v="238"/>
    <s v="Molly Rodriguez"/>
    <x v="2"/>
    <x v="2"/>
    <s v="Lexmark 4227 Plus Dot Matrix Printer"/>
    <x v="6"/>
    <n v="1345.17"/>
    <n v="15"/>
    <s v="UPI"/>
    <x v="295"/>
  </r>
  <r>
    <s v="ORD1296"/>
    <x v="239"/>
    <s v="Jennifer Miranda"/>
    <x v="3"/>
    <x v="0"/>
    <s v="Xerox 1922"/>
    <x v="5"/>
    <n v="471.38"/>
    <n v="5"/>
    <s v="UPI"/>
    <x v="296"/>
  </r>
  <r>
    <s v="ORD1297"/>
    <x v="240"/>
    <s v="Alexis Harris"/>
    <x v="3"/>
    <x v="1"/>
    <s v="Bevis 36 x 72 Conference Tables"/>
    <x v="0"/>
    <n v="240.25"/>
    <n v="5"/>
    <s v="Cash"/>
    <x v="297"/>
  </r>
  <r>
    <s v="ORD1298"/>
    <x v="32"/>
    <s v="Andrew Harper"/>
    <x v="0"/>
    <x v="2"/>
    <s v="Lexmark 4227 Plus Dot Matrix Printer"/>
    <x v="6"/>
    <n v="1730.87"/>
    <n v="20"/>
    <s v="Cash"/>
    <x v="298"/>
  </r>
  <r>
    <s v="ORD1299"/>
    <x v="30"/>
    <s v="Amber Yang"/>
    <x v="0"/>
    <x v="0"/>
    <s v="Xerox 1922"/>
    <x v="6"/>
    <n v="947.32"/>
    <n v="15"/>
    <s v="UPI"/>
    <x v="299"/>
  </r>
  <r>
    <s v="ORD1300"/>
    <x v="36"/>
    <s v="David Robinson"/>
    <x v="0"/>
    <x v="1"/>
    <s v="Bevis 36 x 72 Conference Tables"/>
    <x v="7"/>
    <n v="1511.1"/>
    <n v="20"/>
    <s v="Credit Card"/>
    <x v="300"/>
  </r>
  <r>
    <s v="ORD1301"/>
    <x v="98"/>
    <s v="Amy Gordon"/>
    <x v="2"/>
    <x v="0"/>
    <s v="Adams Phone Message Book, 200 Message Capacity, 8 1/16” x 11”"/>
    <x v="2"/>
    <n v="616.65"/>
    <n v="10"/>
    <s v="UPI"/>
    <x v="301"/>
  </r>
  <r>
    <s v="ORD1302"/>
    <x v="241"/>
    <s v="Robert Dennis"/>
    <x v="0"/>
    <x v="0"/>
    <s v="Fellowes Neat Ideas® Storage Cubes"/>
    <x v="7"/>
    <n v="1584.59"/>
    <n v="5"/>
    <s v="Net Banking"/>
    <x v="302"/>
  </r>
  <r>
    <s v="ORD1303"/>
    <x v="242"/>
    <s v="Kyle Chambers"/>
    <x v="1"/>
    <x v="1"/>
    <s v="Hon 2090 “Pillow Soft” Series Mid Back Swivel/Tilt Chairs"/>
    <x v="8"/>
    <n v="268.27999999999997"/>
    <n v="20"/>
    <s v="Cash"/>
    <x v="303"/>
  </r>
  <r>
    <s v="ORD1304"/>
    <x v="243"/>
    <s v="Eric Thomas"/>
    <x v="2"/>
    <x v="0"/>
    <s v="Tripp Lite Isotel 8 Ultra 8 Outlet Metal Surge"/>
    <x v="5"/>
    <n v="744.15"/>
    <n v="10"/>
    <s v="Credit Card"/>
    <x v="304"/>
  </r>
  <r>
    <s v="ORD1305"/>
    <x v="78"/>
    <s v="Connie Turner"/>
    <x v="3"/>
    <x v="0"/>
    <s v="Catalog Binders with Expanding Posts"/>
    <x v="0"/>
    <n v="1957.22"/>
    <n v="20"/>
    <s v="Cash"/>
    <x v="305"/>
  </r>
  <r>
    <s v="ORD1306"/>
    <x v="244"/>
    <s v="Travis Hobbs"/>
    <x v="2"/>
    <x v="2"/>
    <s v="Bell Sonecor JB700 Caller ID"/>
    <x v="0"/>
    <n v="1598.28"/>
    <n v="15"/>
    <s v="UPI"/>
    <x v="306"/>
  </r>
  <r>
    <s v="ORD1307"/>
    <x v="245"/>
    <s v="Lori Simmons"/>
    <x v="0"/>
    <x v="0"/>
    <s v="ACCOHIDE® 3-Ring Binder, Blue, 1&quot;"/>
    <x v="4"/>
    <n v="1019.65"/>
    <n v="15"/>
    <s v="Credit Card"/>
    <x v="307"/>
  </r>
  <r>
    <s v="ORD1308"/>
    <x v="16"/>
    <s v="William David DDS"/>
    <x v="1"/>
    <x v="0"/>
    <s v="Deluxe Rollaway Locking File with Drawer"/>
    <x v="6"/>
    <n v="712.57"/>
    <n v="15"/>
    <s v="UPI"/>
    <x v="308"/>
  </r>
  <r>
    <s v="ORD1309"/>
    <x v="246"/>
    <s v="Emma Butler"/>
    <x v="1"/>
    <x v="0"/>
    <s v="Hoover Portapower™ Portable Vacuum"/>
    <x v="8"/>
    <n v="1750.66"/>
    <n v="15"/>
    <s v="Net Banking"/>
    <x v="309"/>
  </r>
  <r>
    <s v="ORD1310"/>
    <x v="247"/>
    <s v="James Webster"/>
    <x v="0"/>
    <x v="0"/>
    <s v="Multimedia Mailers"/>
    <x v="2"/>
    <n v="1112.45"/>
    <n v="0"/>
    <s v="UPI"/>
    <x v="310"/>
  </r>
  <r>
    <s v="ORD1311"/>
    <x v="98"/>
    <s v="Samuel Turner"/>
    <x v="1"/>
    <x v="0"/>
    <s v="Peel &amp; Seel® Recycled Catalog Envelopes, Brown"/>
    <x v="0"/>
    <n v="1528.93"/>
    <n v="10"/>
    <s v="Credit Card"/>
    <x v="311"/>
  </r>
  <r>
    <s v="ORD1312"/>
    <x v="248"/>
    <s v="Renee Melendez"/>
    <x v="2"/>
    <x v="2"/>
    <s v="Accessory6"/>
    <x v="8"/>
    <n v="1520.51"/>
    <n v="10"/>
    <s v="UPI"/>
    <x v="312"/>
  </r>
  <r>
    <s v="ORD1313"/>
    <x v="249"/>
    <s v="Tracy Grant"/>
    <x v="2"/>
    <x v="0"/>
    <s v="Tenex File Box, Personal Filing Tote with Lid, Black"/>
    <x v="1"/>
    <n v="84.99"/>
    <n v="15"/>
    <s v="Cash"/>
    <x v="313"/>
  </r>
  <r>
    <s v="ORD1314"/>
    <x v="33"/>
    <s v="David Harris"/>
    <x v="0"/>
    <x v="0"/>
    <s v="Acme Hot Forged Carbon Steel Scissors with Nickel-Plated Handles, 3 7/8&quot; Cut, 8&quot;L"/>
    <x v="1"/>
    <n v="296.19"/>
    <n v="0"/>
    <s v="Cash"/>
    <x v="314"/>
  </r>
  <r>
    <s v="ORD1315"/>
    <x v="250"/>
    <s v="Tammy Boone"/>
    <x v="1"/>
    <x v="0"/>
    <s v="Avery 4027 File Folder Labels for Dot Matrix Printers, 5000 Labels per Box, White"/>
    <x v="7"/>
    <n v="1336.28"/>
    <n v="15"/>
    <s v="Credit Card"/>
    <x v="315"/>
  </r>
  <r>
    <s v="ORD1316"/>
    <x v="206"/>
    <s v="Nathaniel Lee"/>
    <x v="3"/>
    <x v="0"/>
    <s v="Newell 323"/>
    <x v="2"/>
    <n v="365.16"/>
    <n v="0"/>
    <s v="Cash"/>
    <x v="316"/>
  </r>
  <r>
    <s v="ORD1317"/>
    <x v="251"/>
    <s v="Michael Morrison"/>
    <x v="2"/>
    <x v="1"/>
    <s v="9-3/4 Diameter Round Wall Clock"/>
    <x v="4"/>
    <n v="548.21"/>
    <n v="15"/>
    <s v="Net Banking"/>
    <x v="317"/>
  </r>
  <r>
    <s v="ORD1318"/>
    <x v="135"/>
    <s v="Chelsea Gill"/>
    <x v="2"/>
    <x v="2"/>
    <s v="80 Minute CD-R Spindle, 100/Pack - Staples"/>
    <x v="0"/>
    <n v="1895.94"/>
    <n v="5"/>
    <s v="Net Banking"/>
    <x v="318"/>
  </r>
  <r>
    <s v="ORD1319"/>
    <x v="252"/>
    <s v="Kristin Mendoza"/>
    <x v="2"/>
    <x v="1"/>
    <s v="3M Hangers With Command Adhesive"/>
    <x v="6"/>
    <n v="1142.3599999999999"/>
    <n v="5"/>
    <s v="Credit Card"/>
    <x v="319"/>
  </r>
  <r>
    <s v="ORD1320"/>
    <x v="253"/>
    <s v="Felicia Krueger"/>
    <x v="2"/>
    <x v="0"/>
    <s v="Durable Pressboard Binders"/>
    <x v="6"/>
    <n v="1513.92"/>
    <n v="20"/>
    <s v="UPI"/>
    <x v="320"/>
  </r>
  <r>
    <s v="ORD1321"/>
    <x v="254"/>
    <s v="Timothy Hayden"/>
    <x v="3"/>
    <x v="0"/>
    <s v="Adams Telephone Message Book w/Frequently-Called Numbers Space, 400 Messages per Book"/>
    <x v="0"/>
    <n v="1138.06"/>
    <n v="15"/>
    <s v="Cash"/>
    <x v="321"/>
  </r>
  <r>
    <s v="ORD1322"/>
    <x v="255"/>
    <s v="Zachary Mendoza"/>
    <x v="0"/>
    <x v="1"/>
    <s v="Bretford “Just In Time” Height-Adjustable Multi-Task Work Tables"/>
    <x v="5"/>
    <n v="1127.4000000000001"/>
    <n v="10"/>
    <s v="Cash"/>
    <x v="322"/>
  </r>
  <r>
    <s v="ORD1323"/>
    <x v="256"/>
    <s v="Larry Harris"/>
    <x v="2"/>
    <x v="0"/>
    <s v="Xerox 1976"/>
    <x v="4"/>
    <n v="233.6"/>
    <n v="20"/>
    <s v="UPI"/>
    <x v="323"/>
  </r>
  <r>
    <s v="ORD1324"/>
    <x v="257"/>
    <s v="Kristen Rowe"/>
    <x v="1"/>
    <x v="0"/>
    <s v="Xerox 210"/>
    <x v="8"/>
    <n v="720.14"/>
    <n v="5"/>
    <s v="UPI"/>
    <x v="324"/>
  </r>
  <r>
    <s v="ORD1325"/>
    <x v="258"/>
    <s v="Joseph Howard"/>
    <x v="3"/>
    <x v="2"/>
    <s v="Accessory27"/>
    <x v="5"/>
    <n v="600.74"/>
    <n v="15"/>
    <s v="UPI"/>
    <x v="325"/>
  </r>
  <r>
    <s v="ORD1326"/>
    <x v="259"/>
    <s v="Jose Crawford"/>
    <x v="2"/>
    <x v="1"/>
    <s v="Laminate Occasional Tables"/>
    <x v="5"/>
    <n v="811.92"/>
    <n v="20"/>
    <s v="UPI"/>
    <x v="326"/>
  </r>
  <r>
    <s v="ORD1327"/>
    <x v="260"/>
    <s v="William Harrison"/>
    <x v="1"/>
    <x v="0"/>
    <s v="Staples® General Use 3-Ring Binders"/>
    <x v="7"/>
    <n v="1606.77"/>
    <n v="15"/>
    <s v="Cash"/>
    <x v="327"/>
  </r>
  <r>
    <s v="ORD1328"/>
    <x v="258"/>
    <s v="Suzanne Wood"/>
    <x v="2"/>
    <x v="1"/>
    <s v="Laminate Occasional Tables"/>
    <x v="1"/>
    <n v="775.27"/>
    <n v="5"/>
    <s v="Net Banking"/>
    <x v="328"/>
  </r>
  <r>
    <s v="ORD1329"/>
    <x v="261"/>
    <s v="Justin Walker"/>
    <x v="0"/>
    <x v="0"/>
    <s v="Park Ridge™ Embossed Executive Business Envelopes"/>
    <x v="5"/>
    <n v="930.81"/>
    <n v="20"/>
    <s v="Credit Card"/>
    <x v="329"/>
  </r>
  <r>
    <s v="ORD1330"/>
    <x v="262"/>
    <s v="Dean Donovan"/>
    <x v="3"/>
    <x v="0"/>
    <s v="Iris® 3-Drawer Stacking Bin, Black"/>
    <x v="5"/>
    <n v="824.89"/>
    <n v="5"/>
    <s v="Credit Card"/>
    <x v="330"/>
  </r>
  <r>
    <s v="ORD1331"/>
    <x v="263"/>
    <s v="Jennifer Hernandez"/>
    <x v="0"/>
    <x v="2"/>
    <s v="Belkin 107-key enhanced keyboard, USB/PS/2 interface"/>
    <x v="3"/>
    <n v="232.15"/>
    <n v="0"/>
    <s v="UPI"/>
    <x v="331"/>
  </r>
  <r>
    <s v="ORD1332"/>
    <x v="264"/>
    <s v="James Whitaker"/>
    <x v="3"/>
    <x v="0"/>
    <s v="Acco PRESSTEX® Data Binder with Storage Hooks, Dark Blue, 14 7/8&quot; X 11&quot;"/>
    <x v="7"/>
    <n v="910.09"/>
    <n v="5"/>
    <s v="Net Banking"/>
    <x v="332"/>
  </r>
  <r>
    <s v="ORD1333"/>
    <x v="49"/>
    <s v="Mr. Michael Scott PhD"/>
    <x v="2"/>
    <x v="0"/>
    <s v="1/4 Fold Party Design Invitations &amp; White Envelopes, 24 8-1/2&quot; X 11&quot; Cards, 25 Env./Pack"/>
    <x v="2"/>
    <n v="431.44"/>
    <n v="15"/>
    <s v="Cash"/>
    <x v="333"/>
  </r>
  <r>
    <s v="ORD1334"/>
    <x v="265"/>
    <s v="Maria Henry"/>
    <x v="2"/>
    <x v="1"/>
    <s v="Coloredge Poster Frame"/>
    <x v="3"/>
    <n v="414.11"/>
    <n v="10"/>
    <s v="Cash"/>
    <x v="334"/>
  </r>
  <r>
    <s v="ORD1335"/>
    <x v="266"/>
    <s v="Robert Jackson"/>
    <x v="3"/>
    <x v="0"/>
    <s v="Adams Phone Message Book, 200 Message Capacity, 8 1/16” x 11”"/>
    <x v="3"/>
    <n v="233.37"/>
    <n v="5"/>
    <s v="Credit Card"/>
    <x v="335"/>
  </r>
  <r>
    <s v="ORD1336"/>
    <x v="90"/>
    <s v="Katherine Stark"/>
    <x v="1"/>
    <x v="2"/>
    <s v="T28 WORLD"/>
    <x v="0"/>
    <n v="745.51"/>
    <n v="10"/>
    <s v="UPI"/>
    <x v="336"/>
  </r>
  <r>
    <s v="ORD1337"/>
    <x v="267"/>
    <s v="Maria Brown"/>
    <x v="1"/>
    <x v="0"/>
    <s v="Xerox 212"/>
    <x v="1"/>
    <n v="1527.09"/>
    <n v="0"/>
    <s v="Net Banking"/>
    <x v="337"/>
  </r>
  <r>
    <s v="ORD1338"/>
    <x v="268"/>
    <s v="Ryan Landry"/>
    <x v="2"/>
    <x v="2"/>
    <s v="Accessory6"/>
    <x v="5"/>
    <n v="589.05999999999995"/>
    <n v="20"/>
    <s v="Credit Card"/>
    <x v="338"/>
  </r>
  <r>
    <s v="ORD1339"/>
    <x v="269"/>
    <s v="Pamela Gutierrez"/>
    <x v="2"/>
    <x v="0"/>
    <s v="Smead Adjustable Mobile File Trolley with Lockable Top"/>
    <x v="1"/>
    <n v="659.08"/>
    <n v="20"/>
    <s v="Net Banking"/>
    <x v="339"/>
  </r>
  <r>
    <s v="ORD1340"/>
    <x v="270"/>
    <s v="Crystal Mann"/>
    <x v="0"/>
    <x v="1"/>
    <s v="Eldon® Wave Desk Accessories"/>
    <x v="4"/>
    <n v="1303.22"/>
    <n v="10"/>
    <s v="UPI"/>
    <x v="340"/>
  </r>
  <r>
    <s v="ORD1341"/>
    <x v="57"/>
    <s v="Jonathan Brooks"/>
    <x v="2"/>
    <x v="0"/>
    <s v="Sauder Facets Collection Locker/File Cabinet, Sky Alder Finish"/>
    <x v="0"/>
    <n v="431.89"/>
    <n v="20"/>
    <s v="UPI"/>
    <x v="341"/>
  </r>
  <r>
    <s v="ORD1342"/>
    <x v="271"/>
    <s v="Mary Jensen"/>
    <x v="3"/>
    <x v="1"/>
    <s v="Rush Hierlooms Collection Rich Wood Bookcases"/>
    <x v="2"/>
    <n v="1799.07"/>
    <n v="5"/>
    <s v="Credit Card"/>
    <x v="342"/>
  </r>
  <r>
    <s v="ORD1343"/>
    <x v="272"/>
    <s v="Mr. Aaron Arnold"/>
    <x v="1"/>
    <x v="2"/>
    <s v="6120"/>
    <x v="1"/>
    <n v="1064.3699999999999"/>
    <n v="10"/>
    <s v="UPI"/>
    <x v="343"/>
  </r>
  <r>
    <s v="ORD1344"/>
    <x v="273"/>
    <s v="Joseph Hill"/>
    <x v="1"/>
    <x v="2"/>
    <s v="KH 688"/>
    <x v="6"/>
    <n v="922.83"/>
    <n v="15"/>
    <s v="Net Banking"/>
    <x v="344"/>
  </r>
  <r>
    <s v="ORD1345"/>
    <x v="274"/>
    <s v="Alicia Li"/>
    <x v="0"/>
    <x v="1"/>
    <s v="Chromcraft Rectangular Conference Tables"/>
    <x v="4"/>
    <n v="1137.75"/>
    <n v="5"/>
    <s v="Net Banking"/>
    <x v="345"/>
  </r>
  <r>
    <s v="ORD1346"/>
    <x v="275"/>
    <s v="Renee Browning"/>
    <x v="1"/>
    <x v="1"/>
    <s v="Chromcraft Rectangular Conference Tables"/>
    <x v="7"/>
    <n v="373.77"/>
    <n v="5"/>
    <s v="Credit Card"/>
    <x v="346"/>
  </r>
  <r>
    <s v="ORD1347"/>
    <x v="276"/>
    <s v="Brent Hernandez"/>
    <x v="1"/>
    <x v="1"/>
    <s v="Rush Hierlooms Collection Rich Wood Bookcases"/>
    <x v="2"/>
    <n v="1246.27"/>
    <n v="5"/>
    <s v="UPI"/>
    <x v="347"/>
  </r>
  <r>
    <s v="ORD1348"/>
    <x v="277"/>
    <s v="Joseph Ochoa"/>
    <x v="3"/>
    <x v="2"/>
    <s v="6120"/>
    <x v="4"/>
    <n v="758.05"/>
    <n v="15"/>
    <s v="Cash"/>
    <x v="348"/>
  </r>
  <r>
    <s v="ORD1349"/>
    <x v="278"/>
    <s v="James Watson"/>
    <x v="1"/>
    <x v="2"/>
    <s v="KH 688"/>
    <x v="0"/>
    <n v="1799.51"/>
    <n v="0"/>
    <s v="UPI"/>
    <x v="349"/>
  </r>
  <r>
    <s v="ORD1350"/>
    <x v="279"/>
    <s v="Karl Branch"/>
    <x v="0"/>
    <x v="1"/>
    <s v="Howard Miller 13-3/4&quot; Diameter Brushed Chrome Round Wall Clock"/>
    <x v="3"/>
    <n v="379.27"/>
    <n v="20"/>
    <s v="Credit Card"/>
    <x v="350"/>
  </r>
  <r>
    <s v="ORD1351"/>
    <x v="280"/>
    <s v="Michael Abbott"/>
    <x v="0"/>
    <x v="1"/>
    <s v="Executive Impressions 13&quot; Chairman Wall Clock"/>
    <x v="3"/>
    <n v="1038.75"/>
    <n v="10"/>
    <s v="Credit Card"/>
    <x v="351"/>
  </r>
  <r>
    <s v="ORD1352"/>
    <x v="70"/>
    <s v="Shannon Malone"/>
    <x v="1"/>
    <x v="0"/>
    <s v="Staples Bulldog Clip"/>
    <x v="0"/>
    <n v="1216.32"/>
    <n v="0"/>
    <s v="Cash"/>
    <x v="352"/>
  </r>
  <r>
    <s v="ORD1353"/>
    <x v="281"/>
    <s v="James Tran"/>
    <x v="2"/>
    <x v="0"/>
    <s v="GBC Pre-Punched Binding Paper, Plastic, White, 8-1/2&quot; x 11&quot;"/>
    <x v="8"/>
    <n v="115.1"/>
    <n v="10"/>
    <s v="Credit Card"/>
    <x v="353"/>
  </r>
  <r>
    <s v="ORD1354"/>
    <x v="282"/>
    <s v="Adam Jackson"/>
    <x v="1"/>
    <x v="1"/>
    <s v="Riverside Palais Royal Lawyers Bookcase, Royale Cherry Finish"/>
    <x v="3"/>
    <n v="759.2"/>
    <n v="20"/>
    <s v="Credit Card"/>
    <x v="354"/>
  </r>
  <r>
    <s v="ORD1355"/>
    <x v="283"/>
    <s v="Mr. Richard Knight PhD"/>
    <x v="0"/>
    <x v="1"/>
    <s v="Electrix 20W Halogen Replacement Bulb for Zoom-In Desk Lamp"/>
    <x v="7"/>
    <n v="1478.64"/>
    <n v="15"/>
    <s v="Cash"/>
    <x v="355"/>
  </r>
  <r>
    <s v="ORD1356"/>
    <x v="263"/>
    <s v="Joseph Williams"/>
    <x v="0"/>
    <x v="2"/>
    <s v="210 Trimline Phone, White"/>
    <x v="7"/>
    <n v="1649.74"/>
    <n v="5"/>
    <s v="Cash"/>
    <x v="356"/>
  </r>
  <r>
    <s v="ORD1357"/>
    <x v="59"/>
    <s v="Sean Clay"/>
    <x v="3"/>
    <x v="0"/>
    <s v="Wilson Jones Suede Grain Vinyl Binders"/>
    <x v="6"/>
    <n v="660.67"/>
    <n v="5"/>
    <s v="Net Banking"/>
    <x v="357"/>
  </r>
  <r>
    <s v="ORD1358"/>
    <x v="31"/>
    <s v="Anthony Jones"/>
    <x v="1"/>
    <x v="0"/>
    <s v="Computer Printout Paper with Letter-Trim Perforations"/>
    <x v="5"/>
    <n v="1607.26"/>
    <n v="15"/>
    <s v="Credit Card"/>
    <x v="358"/>
  </r>
  <r>
    <s v="ORD1359"/>
    <x v="7"/>
    <s v="Stephanie Elliott"/>
    <x v="1"/>
    <x v="2"/>
    <s v="Hewlett-Packard 2600DN Business Color Inkjet Printer"/>
    <x v="8"/>
    <n v="1937.12"/>
    <n v="0"/>
    <s v="Cash"/>
    <x v="359"/>
  </r>
  <r>
    <s v="ORD1360"/>
    <x v="15"/>
    <s v="Timothy Edwards"/>
    <x v="3"/>
    <x v="1"/>
    <s v="DAX Clear Channel Poster Frame"/>
    <x v="2"/>
    <n v="1720.9"/>
    <n v="0"/>
    <s v="Net Banking"/>
    <x v="360"/>
  </r>
  <r>
    <s v="ORD1361"/>
    <x v="284"/>
    <s v="Laurie Goodwin"/>
    <x v="0"/>
    <x v="1"/>
    <s v="Executive Impressions 14&quot; Two-Color Numerals Wall Clock"/>
    <x v="3"/>
    <n v="279.41000000000003"/>
    <n v="10"/>
    <s v="Credit Card"/>
    <x v="361"/>
  </r>
  <r>
    <s v="ORD1362"/>
    <x v="33"/>
    <s v="Jennifer Jones"/>
    <x v="3"/>
    <x v="1"/>
    <s v="Office Star - Contemporary Task Swivel chair with 2-way adjustable arms, Plum"/>
    <x v="7"/>
    <n v="1492.47"/>
    <n v="15"/>
    <s v="Cash"/>
    <x v="362"/>
  </r>
  <r>
    <s v="ORD1363"/>
    <x v="102"/>
    <s v="David Davenport"/>
    <x v="2"/>
    <x v="0"/>
    <s v="Newell® 3-Hole Punched Plastic Slotted Magazine Holders for Binders"/>
    <x v="0"/>
    <n v="673.35"/>
    <n v="0"/>
    <s v="Credit Card"/>
    <x v="363"/>
  </r>
  <r>
    <s v="ORD1364"/>
    <x v="285"/>
    <s v="Steven Rivera"/>
    <x v="1"/>
    <x v="1"/>
    <s v="Executive Impressions 14&quot; Two-Color Numerals Wall Clock"/>
    <x v="3"/>
    <n v="1977.41"/>
    <n v="15"/>
    <s v="Net Banking"/>
    <x v="364"/>
  </r>
  <r>
    <s v="ORD1365"/>
    <x v="286"/>
    <s v="Brenda Hinton"/>
    <x v="0"/>
    <x v="0"/>
    <s v="Newell® 3-Hole Punched Plastic Slotted Magazine Holders for Binders"/>
    <x v="5"/>
    <n v="996.45"/>
    <n v="20"/>
    <s v="UPI"/>
    <x v="365"/>
  </r>
  <r>
    <s v="ORD1366"/>
    <x v="287"/>
    <s v="Kathryn Mccann"/>
    <x v="3"/>
    <x v="0"/>
    <s v="Avery 498"/>
    <x v="0"/>
    <n v="288.75"/>
    <n v="5"/>
    <s v="Credit Card"/>
    <x v="366"/>
  </r>
  <r>
    <s v="ORD1367"/>
    <x v="288"/>
    <s v="Jeffrey Roberson"/>
    <x v="0"/>
    <x v="0"/>
    <s v="Xerox 1891"/>
    <x v="4"/>
    <n v="1464.11"/>
    <n v="5"/>
    <s v="Credit Card"/>
    <x v="367"/>
  </r>
  <r>
    <s v="ORD1368"/>
    <x v="289"/>
    <s v="Randy Friedman"/>
    <x v="2"/>
    <x v="1"/>
    <s v="Hon 94000 Series Round Tables"/>
    <x v="4"/>
    <n v="679.87"/>
    <n v="5"/>
    <s v="Credit Card"/>
    <x v="368"/>
  </r>
  <r>
    <s v="ORD1369"/>
    <x v="261"/>
    <s v="Raymond Johnson"/>
    <x v="1"/>
    <x v="0"/>
    <s v="Sanford Colorific Colored Pencils, 12/Box"/>
    <x v="3"/>
    <n v="1994.3"/>
    <n v="15"/>
    <s v="Credit Card"/>
    <x v="369"/>
  </r>
  <r>
    <s v="ORD1370"/>
    <x v="70"/>
    <s v="Willie Henry"/>
    <x v="3"/>
    <x v="2"/>
    <s v="R380"/>
    <x v="5"/>
    <n v="1960.58"/>
    <n v="15"/>
    <s v="Cash"/>
    <x v="370"/>
  </r>
  <r>
    <s v="ORD1371"/>
    <x v="81"/>
    <s v="Todd Reynolds"/>
    <x v="0"/>
    <x v="0"/>
    <s v="Fellowes Super Stor/Drawer® Files"/>
    <x v="8"/>
    <n v="1329.46"/>
    <n v="10"/>
    <s v="UPI"/>
    <x v="371"/>
  </r>
  <r>
    <s v="ORD1372"/>
    <x v="216"/>
    <s v="Mary Miller"/>
    <x v="1"/>
    <x v="0"/>
    <s v="Decoflex Hanging Personal Folder File, Blue"/>
    <x v="3"/>
    <n v="303.16000000000003"/>
    <n v="5"/>
    <s v="Credit Card"/>
    <x v="372"/>
  </r>
  <r>
    <s v="ORD1373"/>
    <x v="275"/>
    <s v="Rebecca Marquez"/>
    <x v="1"/>
    <x v="0"/>
    <s v="Hoover Replacement Belts For Soft Guard™ &amp; Commercial Ltweight Upright Vacs, 2/Pk"/>
    <x v="7"/>
    <n v="1389.38"/>
    <n v="10"/>
    <s v="Cash"/>
    <x v="373"/>
  </r>
  <r>
    <s v="ORD1374"/>
    <x v="290"/>
    <s v="Christian Dawson"/>
    <x v="0"/>
    <x v="0"/>
    <s v="Ibico Ibimaster 300 Manual Binding System"/>
    <x v="1"/>
    <n v="231.41"/>
    <n v="5"/>
    <s v="UPI"/>
    <x v="374"/>
  </r>
  <r>
    <s v="ORD1375"/>
    <x v="291"/>
    <s v="Nancy Stewart"/>
    <x v="1"/>
    <x v="2"/>
    <s v="T60"/>
    <x v="3"/>
    <n v="107.26"/>
    <n v="10"/>
    <s v="Net Banking"/>
    <x v="375"/>
  </r>
  <r>
    <s v="ORD1376"/>
    <x v="292"/>
    <s v="Aaron Parker"/>
    <x v="1"/>
    <x v="1"/>
    <s v="Executive Impressions 12&quot; Wall Clock"/>
    <x v="3"/>
    <n v="1654.77"/>
    <n v="10"/>
    <s v="Net Banking"/>
    <x v="376"/>
  </r>
  <r>
    <s v="ORD1377"/>
    <x v="293"/>
    <s v="Derrick Anderson"/>
    <x v="3"/>
    <x v="0"/>
    <s v="Tennsco Snap-Together Open Shelving Units, Starter Sets and Add-On Units"/>
    <x v="0"/>
    <n v="459.02"/>
    <n v="20"/>
    <s v="Net Banking"/>
    <x v="377"/>
  </r>
  <r>
    <s v="ORD1378"/>
    <x v="294"/>
    <s v="Jerry Peters"/>
    <x v="1"/>
    <x v="0"/>
    <s v="Avery® Durable Slant Ring Binders With Label Holder"/>
    <x v="1"/>
    <n v="789.1"/>
    <n v="10"/>
    <s v="Net Banking"/>
    <x v="378"/>
  </r>
  <r>
    <s v="ORD1379"/>
    <x v="18"/>
    <s v="Alexander Gomez"/>
    <x v="3"/>
    <x v="2"/>
    <s v="BASF Silver 74 Minute CD-R"/>
    <x v="7"/>
    <n v="1948.24"/>
    <n v="15"/>
    <s v="Net Banking"/>
    <x v="379"/>
  </r>
  <r>
    <s v="ORD1380"/>
    <x v="295"/>
    <s v="Kyle Nguyen"/>
    <x v="1"/>
    <x v="0"/>
    <s v="Xerox 200"/>
    <x v="3"/>
    <n v="706.84"/>
    <n v="10"/>
    <s v="UPI"/>
    <x v="380"/>
  </r>
  <r>
    <s v="ORD1381"/>
    <x v="296"/>
    <s v="Edgar Hughes"/>
    <x v="2"/>
    <x v="1"/>
    <s v="DMI Eclipse Executive Suite Bookcases"/>
    <x v="0"/>
    <n v="628.16"/>
    <n v="5"/>
    <s v="Credit Card"/>
    <x v="381"/>
  </r>
  <r>
    <s v="ORD1382"/>
    <x v="297"/>
    <s v="Steven Stein"/>
    <x v="2"/>
    <x v="0"/>
    <s v="Wilson Jones 14 Line Acrylic Coated Pressboard Data Binders"/>
    <x v="5"/>
    <n v="1840.51"/>
    <n v="10"/>
    <s v="Net Banking"/>
    <x v="382"/>
  </r>
  <r>
    <s v="ORD1383"/>
    <x v="298"/>
    <s v="Laura Jackson"/>
    <x v="3"/>
    <x v="1"/>
    <s v="Bush Heritage Pine Collection 5-Shelf Bookcase, Albany Pine Finish, *Special Order"/>
    <x v="3"/>
    <n v="265.95999999999998"/>
    <n v="0"/>
    <s v="Credit Card"/>
    <x v="383"/>
  </r>
  <r>
    <s v="ORD1384"/>
    <x v="299"/>
    <s v="Charles Turner"/>
    <x v="3"/>
    <x v="2"/>
    <s v="i470"/>
    <x v="1"/>
    <n v="1531.19"/>
    <n v="5"/>
    <s v="Credit Card"/>
    <x v="384"/>
  </r>
  <r>
    <s v="ORD1385"/>
    <x v="300"/>
    <s v="Arthur Hamilton MD"/>
    <x v="2"/>
    <x v="1"/>
    <s v="Bush® Cubix Conference Tables, Fully Assembled"/>
    <x v="6"/>
    <n v="1976.73"/>
    <n v="0"/>
    <s v="Credit Card"/>
    <x v="385"/>
  </r>
  <r>
    <s v="ORD1386"/>
    <x v="206"/>
    <s v="Mr. David Wright"/>
    <x v="1"/>
    <x v="2"/>
    <s v="Imation Neon Mac Format Diskettes, 10/Pack"/>
    <x v="1"/>
    <n v="1807.53"/>
    <n v="5"/>
    <s v="Credit Card"/>
    <x v="386"/>
  </r>
  <r>
    <s v="ORD1387"/>
    <x v="301"/>
    <s v="Linda Gonzalez"/>
    <x v="3"/>
    <x v="1"/>
    <s v="Deflect-o EconoMat Nonstudded, No Bevel Mat"/>
    <x v="4"/>
    <n v="1320.75"/>
    <n v="15"/>
    <s v="Credit Card"/>
    <x v="387"/>
  </r>
  <r>
    <s v="ORD1388"/>
    <x v="251"/>
    <s v="Eric Rush"/>
    <x v="0"/>
    <x v="2"/>
    <s v="Keytronic Designer 104- Key Black Keyboard"/>
    <x v="7"/>
    <n v="662.42"/>
    <n v="15"/>
    <s v="UPI"/>
    <x v="388"/>
  </r>
  <r>
    <s v="ORD1389"/>
    <x v="302"/>
    <s v="Manuel Brock"/>
    <x v="1"/>
    <x v="2"/>
    <s v="2180"/>
    <x v="2"/>
    <n v="545.92999999999995"/>
    <n v="15"/>
    <s v="Credit Card"/>
    <x v="389"/>
  </r>
  <r>
    <s v="ORD1390"/>
    <x v="117"/>
    <s v="George Ochoa"/>
    <x v="1"/>
    <x v="0"/>
    <s v="Holmes Replacement Filter for HEPA Air Cleaner, Large Room"/>
    <x v="3"/>
    <n v="1647.55"/>
    <n v="0"/>
    <s v="UPI"/>
    <x v="390"/>
  </r>
  <r>
    <s v="ORD1391"/>
    <x v="303"/>
    <s v="Valerie Taylor"/>
    <x v="2"/>
    <x v="2"/>
    <s v="Imation Neon Mac Format Diskettes, 10/Pack"/>
    <x v="1"/>
    <n v="1765.65"/>
    <n v="20"/>
    <s v="UPI"/>
    <x v="391"/>
  </r>
  <r>
    <s v="ORD1392"/>
    <x v="243"/>
    <s v="Travis Harris"/>
    <x v="3"/>
    <x v="1"/>
    <s v="Deflect-o EconoMat Nonstudded, No Bevel Mat"/>
    <x v="2"/>
    <n v="1074.5999999999999"/>
    <n v="5"/>
    <s v="Credit Card"/>
    <x v="392"/>
  </r>
  <r>
    <s v="ORD1393"/>
    <x v="304"/>
    <s v="Vincent Novak"/>
    <x v="1"/>
    <x v="2"/>
    <s v="2180"/>
    <x v="0"/>
    <n v="526.46"/>
    <n v="15"/>
    <s v="UPI"/>
    <x v="393"/>
  </r>
  <r>
    <s v="ORD1394"/>
    <x v="62"/>
    <s v="Michael Henry"/>
    <x v="3"/>
    <x v="2"/>
    <s v="Keytronic Designer 104- Key Black Keyboard"/>
    <x v="6"/>
    <n v="270.24"/>
    <n v="5"/>
    <s v="Net Banking"/>
    <x v="394"/>
  </r>
  <r>
    <s v="ORD1395"/>
    <x v="305"/>
    <s v="Dana Bennett"/>
    <x v="3"/>
    <x v="0"/>
    <s v="Holmes Replacement Filter for HEPA Air Cleaner, Large Room"/>
    <x v="7"/>
    <n v="220"/>
    <n v="0"/>
    <s v="Net Banking"/>
    <x v="395"/>
  </r>
  <r>
    <s v="ORD1396"/>
    <x v="306"/>
    <s v="Jenna Wilson"/>
    <x v="3"/>
    <x v="0"/>
    <s v="Xerox 1954"/>
    <x v="1"/>
    <n v="1452.2"/>
    <n v="20"/>
    <s v="Net Banking"/>
    <x v="396"/>
  </r>
  <r>
    <s v="ORD1397"/>
    <x v="54"/>
    <s v="Leslie Gardner"/>
    <x v="2"/>
    <x v="0"/>
    <s v="Staples Pen Style Liquid Stix; Assorted (yellow, pink, green, blue, orange), 5/Pack"/>
    <x v="2"/>
    <n v="869.23"/>
    <n v="0"/>
    <s v="Credit Card"/>
    <x v="397"/>
  </r>
  <r>
    <s v="ORD1398"/>
    <x v="295"/>
    <s v="Krista Benton"/>
    <x v="3"/>
    <x v="0"/>
    <s v="SANFORD Liquid Accent™ Tank-Style Highlighters"/>
    <x v="6"/>
    <n v="1815.45"/>
    <n v="5"/>
    <s v="Net Banking"/>
    <x v="398"/>
  </r>
  <r>
    <s v="ORD1399"/>
    <x v="260"/>
    <s v="Michael Gonzales"/>
    <x v="2"/>
    <x v="0"/>
    <s v="Staples Vinyl Coated Paper Clips, 800/Box"/>
    <x v="4"/>
    <n v="1492.36"/>
    <n v="20"/>
    <s v="Cash"/>
    <x v="399"/>
  </r>
  <r>
    <s v="ORD1400"/>
    <x v="260"/>
    <s v="Michael Fuentes"/>
    <x v="0"/>
    <x v="0"/>
    <s v="*Staples* vLetter Openers, 2/Pack"/>
    <x v="7"/>
    <n v="422.96"/>
    <n v="20"/>
    <s v="Cash"/>
    <x v="400"/>
  </r>
  <r>
    <s v="ORD1401"/>
    <x v="307"/>
    <s v="Jennifer Porter"/>
    <x v="1"/>
    <x v="0"/>
    <s v="Filing/Storage Totes and Swivel Casters"/>
    <x v="7"/>
    <n v="1246.8699999999999"/>
    <n v="0"/>
    <s v="Cash"/>
    <x v="401"/>
  </r>
  <r>
    <s v="ORD1402"/>
    <x v="308"/>
    <s v="Dana Hopkins"/>
    <x v="1"/>
    <x v="2"/>
    <s v="Imation 3.5, DISKETTE 44766 HGHLD3.52HD/FM, 10/Pack"/>
    <x v="4"/>
    <n v="899.24"/>
    <n v="15"/>
    <s v="Net Banking"/>
    <x v="402"/>
  </r>
  <r>
    <s v="ORD1403"/>
    <x v="41"/>
    <s v="Rachel Jones"/>
    <x v="0"/>
    <x v="1"/>
    <s v="Hon 2090 “Pillow Soft” Series Mid Back Swivel/Tilt Chairs"/>
    <x v="3"/>
    <n v="1175.6400000000001"/>
    <n v="5"/>
    <s v="UPI"/>
    <x v="403"/>
  </r>
  <r>
    <s v="ORD1404"/>
    <x v="309"/>
    <s v="Karen Morales DDS"/>
    <x v="2"/>
    <x v="0"/>
    <s v="Dixon Prang® Watercolor Pencils, 10-Color Set with Brush"/>
    <x v="4"/>
    <n v="1489.23"/>
    <n v="10"/>
    <s v="Cash"/>
    <x v="404"/>
  </r>
  <r>
    <s v="ORD1405"/>
    <x v="310"/>
    <s v="Melissa Stephens"/>
    <x v="1"/>
    <x v="0"/>
    <s v="Dixon Prang® Watercolor Pencils, 10-Color Set with Brush"/>
    <x v="7"/>
    <n v="1622.08"/>
    <n v="10"/>
    <s v="UPI"/>
    <x v="405"/>
  </r>
  <r>
    <s v="ORD1406"/>
    <x v="311"/>
    <s v="Heather Woodard"/>
    <x v="2"/>
    <x v="0"/>
    <s v="Xerox 1954"/>
    <x v="7"/>
    <n v="1695.29"/>
    <n v="0"/>
    <s v="UPI"/>
    <x v="406"/>
  </r>
  <r>
    <s v="ORD1407"/>
    <x v="312"/>
    <s v="Margaret Miller"/>
    <x v="2"/>
    <x v="0"/>
    <s v="Staples Vinyl Coated Paper Clips, 800/Box"/>
    <x v="2"/>
    <n v="545.25"/>
    <n v="5"/>
    <s v="Credit Card"/>
    <x v="407"/>
  </r>
  <r>
    <s v="ORD1408"/>
    <x v="313"/>
    <s v="Mary Kelly"/>
    <x v="2"/>
    <x v="0"/>
    <s v="*Staples* vLetter Openers, 2/Pack"/>
    <x v="6"/>
    <n v="110.68"/>
    <n v="5"/>
    <s v="Cash"/>
    <x v="408"/>
  </r>
  <r>
    <s v="ORD1409"/>
    <x v="175"/>
    <s v="Amanda Terrell"/>
    <x v="0"/>
    <x v="0"/>
    <s v="Filing/Storage Totes and Swivel Casters"/>
    <x v="4"/>
    <n v="1491.62"/>
    <n v="0"/>
    <s v="Credit Card"/>
    <x v="409"/>
  </r>
  <r>
    <s v="ORD1410"/>
    <x v="314"/>
    <s v="Jennifer Goodwin"/>
    <x v="0"/>
    <x v="0"/>
    <s v="SANFORD Liquid Accent™ Tank-Style Highlighters"/>
    <x v="6"/>
    <n v="257.37"/>
    <n v="5"/>
    <s v="Credit Card"/>
    <x v="410"/>
  </r>
  <r>
    <s v="ORD1411"/>
    <x v="44"/>
    <s v="Jessica Smith"/>
    <x v="2"/>
    <x v="2"/>
    <s v="Hewlett-Packard 4.7GB DVD+R Discs"/>
    <x v="4"/>
    <n v="664.09"/>
    <n v="15"/>
    <s v="Credit Card"/>
    <x v="411"/>
  </r>
  <r>
    <s v="ORD1412"/>
    <x v="263"/>
    <s v="Jorge Stone"/>
    <x v="3"/>
    <x v="0"/>
    <s v="Fellowes Stor/Drawer® Steel Plus™ Storage Drawers"/>
    <x v="0"/>
    <n v="57.44"/>
    <n v="0"/>
    <s v="Net Banking"/>
    <x v="412"/>
  </r>
  <r>
    <s v="ORD1413"/>
    <x v="315"/>
    <s v="Laura Griffin"/>
    <x v="0"/>
    <x v="1"/>
    <s v="Eldon Expressions Punched Metal &amp; Wood Desk Accessories, Pewter &amp; Cherry"/>
    <x v="7"/>
    <n v="1379.26"/>
    <n v="15"/>
    <s v="Credit Card"/>
    <x v="413"/>
  </r>
  <r>
    <s v="ORD1414"/>
    <x v="19"/>
    <s v="Raymond Chapman"/>
    <x v="3"/>
    <x v="0"/>
    <s v="Prang Drawing Pencil Set"/>
    <x v="2"/>
    <n v="375.91"/>
    <n v="5"/>
    <s v="UPI"/>
    <x v="414"/>
  </r>
  <r>
    <s v="ORD1415"/>
    <x v="243"/>
    <s v="Haley Johnson"/>
    <x v="3"/>
    <x v="0"/>
    <s v="Array® Parchment Paper, Assorted Colors"/>
    <x v="6"/>
    <n v="1327.8"/>
    <n v="0"/>
    <s v="Cash"/>
    <x v="415"/>
  </r>
  <r>
    <s v="ORD1416"/>
    <x v="316"/>
    <s v="Jason Nixon"/>
    <x v="2"/>
    <x v="2"/>
    <s v="SC7868i"/>
    <x v="4"/>
    <n v="1983.9"/>
    <n v="5"/>
    <s v="UPI"/>
    <x v="416"/>
  </r>
  <r>
    <s v="ORD1417"/>
    <x v="317"/>
    <s v="Todd Thomas"/>
    <x v="3"/>
    <x v="2"/>
    <s v="Belkin 107-key enhanced keyboard, USB/PS/2 interface"/>
    <x v="8"/>
    <n v="191.71"/>
    <n v="0"/>
    <s v="Cash"/>
    <x v="417"/>
  </r>
  <r>
    <s v="ORD1418"/>
    <x v="318"/>
    <s v="Jesse Clark"/>
    <x v="3"/>
    <x v="0"/>
    <s v="Tennsco Regal Shelving Units"/>
    <x v="0"/>
    <n v="200.3"/>
    <n v="5"/>
    <s v="Net Banking"/>
    <x v="418"/>
  </r>
  <r>
    <s v="ORD1419"/>
    <x v="276"/>
    <s v="Mr. Jeffrey Horton"/>
    <x v="3"/>
    <x v="1"/>
    <s v="Office Star - Professional Matrix Back Chair with 2-to-1 Synchro Tilt and Mesh Fabric Seat"/>
    <x v="1"/>
    <n v="713.74"/>
    <n v="15"/>
    <s v="Cash"/>
    <x v="419"/>
  </r>
  <r>
    <s v="ORD1420"/>
    <x v="137"/>
    <s v="Eric Patrick"/>
    <x v="2"/>
    <x v="0"/>
    <s v="Xerox 1937"/>
    <x v="3"/>
    <n v="1739.45"/>
    <n v="15"/>
    <s v="Cash"/>
    <x v="420"/>
  </r>
  <r>
    <s v="ORD1421"/>
    <x v="319"/>
    <s v="Samuel Wong"/>
    <x v="2"/>
    <x v="1"/>
    <s v="Hon Metal Bookcases, Putty"/>
    <x v="6"/>
    <n v="470.28"/>
    <n v="5"/>
    <s v="Cash"/>
    <x v="421"/>
  </r>
  <r>
    <s v="ORD1422"/>
    <x v="201"/>
    <s v="Carly Riggs"/>
    <x v="0"/>
    <x v="2"/>
    <s v="Belkin MediaBoard 104- Keyboard"/>
    <x v="2"/>
    <n v="752.74"/>
    <n v="0"/>
    <s v="Cash"/>
    <x v="422"/>
  </r>
  <r>
    <s v="ORD1423"/>
    <x v="320"/>
    <s v="Christopher Moore"/>
    <x v="0"/>
    <x v="0"/>
    <s v="Belkin 8 Outlet SurgeMaster II Gold Surge Protector"/>
    <x v="1"/>
    <n v="183.59"/>
    <n v="10"/>
    <s v="UPI"/>
    <x v="423"/>
  </r>
  <r>
    <s v="ORD1424"/>
    <x v="141"/>
    <s v="Tina Hall"/>
    <x v="3"/>
    <x v="0"/>
    <s v="Wilson Jones Impact Binders"/>
    <x v="8"/>
    <n v="1538.15"/>
    <n v="15"/>
    <s v="Cash"/>
    <x v="424"/>
  </r>
  <r>
    <s v="ORD1425"/>
    <x v="321"/>
    <s v="Cody Davidson"/>
    <x v="2"/>
    <x v="2"/>
    <s v="Hewlett-Packard 2600DN Business Color Inkjet Printer"/>
    <x v="3"/>
    <n v="846.2"/>
    <n v="15"/>
    <s v="Credit Card"/>
    <x v="425"/>
  </r>
  <r>
    <s v="ORD1426"/>
    <x v="322"/>
    <s v="Allen Mendez"/>
    <x v="2"/>
    <x v="2"/>
    <s v="SC7868i"/>
    <x v="8"/>
    <n v="1530.54"/>
    <n v="10"/>
    <s v="Cash"/>
    <x v="426"/>
  </r>
  <r>
    <s v="ORD1427"/>
    <x v="323"/>
    <s v="Kevin Price"/>
    <x v="3"/>
    <x v="2"/>
    <s v="Verbatim DVD-R, 4.7GB, Spindle, WE, Blank, Ink Jet/Thermal, 20/Spindle"/>
    <x v="1"/>
    <n v="1812.04"/>
    <n v="5"/>
    <s v="Credit Card"/>
    <x v="427"/>
  </r>
  <r>
    <s v="ORD1428"/>
    <x v="324"/>
    <s v="Christine Goodwin"/>
    <x v="0"/>
    <x v="0"/>
    <s v="Fellowes Super Stor/Drawer®"/>
    <x v="3"/>
    <n v="503.89"/>
    <n v="0"/>
    <s v="Net Banking"/>
    <x v="428"/>
  </r>
  <r>
    <s v="ORD1429"/>
    <x v="325"/>
    <s v="Amy Garcia"/>
    <x v="2"/>
    <x v="1"/>
    <s v="O'Sullivan Elevations Bookcase, Cherry Finish"/>
    <x v="8"/>
    <n v="1624.42"/>
    <n v="5"/>
    <s v="Credit Card"/>
    <x v="429"/>
  </r>
  <r>
    <s v="ORD1430"/>
    <x v="172"/>
    <s v="Chelsea Nguyen"/>
    <x v="0"/>
    <x v="0"/>
    <s v="Avery 479"/>
    <x v="2"/>
    <n v="165.23"/>
    <n v="20"/>
    <s v="UPI"/>
    <x v="430"/>
  </r>
  <r>
    <s v="ORD1431"/>
    <x v="201"/>
    <s v="Dennis Huffman"/>
    <x v="3"/>
    <x v="0"/>
    <s v="Telephone Message Books with Fax/Mobile Section, 5 1/2&quot; x 3 3/16&quot;"/>
    <x v="4"/>
    <n v="1802.75"/>
    <n v="15"/>
    <s v="Credit Card"/>
    <x v="431"/>
  </r>
  <r>
    <s v="ORD1432"/>
    <x v="179"/>
    <s v="Margaret Harper"/>
    <x v="2"/>
    <x v="1"/>
    <s v="BoxOffice By Design Rectangular and Half-Moon Meeting Room Tables"/>
    <x v="7"/>
    <n v="1319"/>
    <n v="20"/>
    <s v="UPI"/>
    <x v="432"/>
  </r>
  <r>
    <s v="ORD1433"/>
    <x v="326"/>
    <s v="Laurie Bailey"/>
    <x v="3"/>
    <x v="2"/>
    <s v="Epson C82 Color Inkjet Printer"/>
    <x v="4"/>
    <n v="1754.74"/>
    <n v="15"/>
    <s v="Credit Card"/>
    <x v="433"/>
  </r>
  <r>
    <s v="ORD1434"/>
    <x v="327"/>
    <s v="Lisa Cervantes"/>
    <x v="1"/>
    <x v="0"/>
    <s v="Snap-A-Way® Black Print Carbonless Ruled Speed Letter, Triplicate"/>
    <x v="1"/>
    <n v="50.37"/>
    <n v="15"/>
    <s v="Cash"/>
    <x v="434"/>
  </r>
  <r>
    <s v="ORD1435"/>
    <x v="328"/>
    <s v="Elizabeth Mendez"/>
    <x v="3"/>
    <x v="2"/>
    <s v="Accessory39"/>
    <x v="6"/>
    <n v="379.71"/>
    <n v="20"/>
    <s v="Net Banking"/>
    <x v="435"/>
  </r>
  <r>
    <s v="ORD1436"/>
    <x v="208"/>
    <s v="Cesar Wilson"/>
    <x v="3"/>
    <x v="2"/>
    <s v="5170i"/>
    <x v="7"/>
    <n v="810.03"/>
    <n v="20"/>
    <s v="UPI"/>
    <x v="436"/>
  </r>
  <r>
    <s v="ORD1437"/>
    <x v="160"/>
    <s v="Clayton Steele"/>
    <x v="3"/>
    <x v="2"/>
    <s v="Memorex 4.7GB DVD-RAM, 3/Pack"/>
    <x v="0"/>
    <n v="790.03"/>
    <n v="5"/>
    <s v="UPI"/>
    <x v="437"/>
  </r>
  <r>
    <s v="ORD1438"/>
    <x v="244"/>
    <s v="Jennifer Taylor"/>
    <x v="2"/>
    <x v="2"/>
    <s v="Fellowes 17-key keypad for PS/2 interface"/>
    <x v="2"/>
    <n v="492.12"/>
    <n v="20"/>
    <s v="Cash"/>
    <x v="438"/>
  </r>
  <r>
    <s v="ORD1439"/>
    <x v="329"/>
    <s v="Cody Reid"/>
    <x v="3"/>
    <x v="0"/>
    <s v="Acco 6 Outlet Guardian Premium Surge Suppressor"/>
    <x v="0"/>
    <n v="794.14"/>
    <n v="5"/>
    <s v="Cash"/>
    <x v="439"/>
  </r>
  <r>
    <s v="ORD1440"/>
    <x v="70"/>
    <s v="Maria Cooke"/>
    <x v="3"/>
    <x v="2"/>
    <s v="Brother DCP1000 Digital 3 in 1 Multifunction Machine"/>
    <x v="3"/>
    <n v="301.25"/>
    <n v="5"/>
    <s v="Credit Card"/>
    <x v="440"/>
  </r>
  <r>
    <s v="ORD1441"/>
    <x v="330"/>
    <s v="Katherine Taylor"/>
    <x v="1"/>
    <x v="0"/>
    <s v="Hoover Commercial Soft Guard Upright Vacuum And Disposable Filtration Bags"/>
    <x v="7"/>
    <n v="854.88"/>
    <n v="5"/>
    <s v="UPI"/>
    <x v="441"/>
  </r>
  <r>
    <s v="ORD1442"/>
    <x v="331"/>
    <s v="Jerry Brown"/>
    <x v="2"/>
    <x v="0"/>
    <s v="Xerox 1939"/>
    <x v="0"/>
    <n v="1614.59"/>
    <n v="15"/>
    <s v="Credit Card"/>
    <x v="442"/>
  </r>
  <r>
    <s v="ORD1443"/>
    <x v="233"/>
    <s v="Adam Taylor"/>
    <x v="1"/>
    <x v="0"/>
    <s v="Eureka Disposable Bags for Sanitaire® Vibra Groomer I® Upright Vac"/>
    <x v="0"/>
    <n v="984.19"/>
    <n v="15"/>
    <s v="Cash"/>
    <x v="443"/>
  </r>
  <r>
    <s v="ORD1444"/>
    <x v="332"/>
    <s v="Tracey Wagner"/>
    <x v="3"/>
    <x v="2"/>
    <s v="Sharp EL501VB Scientific Calculator, Battery Operated, 10-Digit Display, Hard Case"/>
    <x v="8"/>
    <n v="85.1"/>
    <n v="20"/>
    <s v="UPI"/>
    <x v="444"/>
  </r>
  <r>
    <s v="ORD1445"/>
    <x v="333"/>
    <s v="Michael Perry PhD"/>
    <x v="2"/>
    <x v="0"/>
    <s v="Home/Office Personal File Carts"/>
    <x v="4"/>
    <n v="871.82"/>
    <n v="15"/>
    <s v="Net Banking"/>
    <x v="445"/>
  </r>
  <r>
    <s v="ORD1446"/>
    <x v="132"/>
    <s v="Bradley Johnson DDS"/>
    <x v="1"/>
    <x v="1"/>
    <s v="Bush Westfield Collection Bookcases, Fully Assembled"/>
    <x v="8"/>
    <n v="102.99"/>
    <n v="20"/>
    <s v="Net Banking"/>
    <x v="446"/>
  </r>
  <r>
    <s v="ORD1447"/>
    <x v="316"/>
    <s v="Donald Medina"/>
    <x v="3"/>
    <x v="0"/>
    <s v="Southworth 25% Cotton Antique Laid Paper &amp; Envelopes"/>
    <x v="7"/>
    <n v="1934.17"/>
    <n v="15"/>
    <s v="UPI"/>
    <x v="447"/>
  </r>
  <r>
    <s v="ORD1448"/>
    <x v="334"/>
    <s v="Jim Newton"/>
    <x v="0"/>
    <x v="0"/>
    <s v="Xerox 1993"/>
    <x v="7"/>
    <n v="298.54000000000002"/>
    <n v="0"/>
    <s v="UPI"/>
    <x v="448"/>
  </r>
  <r>
    <s v="ORD1449"/>
    <x v="335"/>
    <s v="Krista Wilson"/>
    <x v="1"/>
    <x v="0"/>
    <s v="Avery Printable Repositionable Plastic Tabs"/>
    <x v="1"/>
    <n v="1429.99"/>
    <n v="0"/>
    <s v="Cash"/>
    <x v="449"/>
  </r>
  <r>
    <s v="ORD1450"/>
    <x v="336"/>
    <s v="Reginald Morrow"/>
    <x v="2"/>
    <x v="0"/>
    <s v="Holmes Odor Grabber"/>
    <x v="8"/>
    <n v="1946.91"/>
    <n v="20"/>
    <s v="UPI"/>
    <x v="450"/>
  </r>
  <r>
    <s v="ORD1451"/>
    <x v="337"/>
    <s v="Rodney Williams"/>
    <x v="1"/>
    <x v="0"/>
    <s v="Dixon Ticonderoga Core-Lock Colored Pencils"/>
    <x v="5"/>
    <n v="1660.78"/>
    <n v="15"/>
    <s v="UPI"/>
    <x v="451"/>
  </r>
  <r>
    <s v="ORD1452"/>
    <x v="29"/>
    <s v="Kimberly Fritz"/>
    <x v="1"/>
    <x v="0"/>
    <s v="Space Solutions Commercial Steel Shelving"/>
    <x v="4"/>
    <n v="1413.66"/>
    <n v="15"/>
    <s v="Net Banking"/>
    <x v="452"/>
  </r>
  <r>
    <s v="ORD1453"/>
    <x v="338"/>
    <s v="Ronald Potter"/>
    <x v="1"/>
    <x v="0"/>
    <s v="Xerox 204"/>
    <x v="7"/>
    <n v="1686.95"/>
    <n v="5"/>
    <s v="Cash"/>
    <x v="453"/>
  </r>
  <r>
    <s v="ORD1454"/>
    <x v="141"/>
    <s v="Zachary Cole"/>
    <x v="0"/>
    <x v="1"/>
    <s v="Novimex Swivel Fabric Task Chair"/>
    <x v="1"/>
    <n v="1964.51"/>
    <n v="10"/>
    <s v="Credit Card"/>
    <x v="454"/>
  </r>
  <r>
    <s v="ORD1455"/>
    <x v="339"/>
    <s v="Robert Gonzales"/>
    <x v="2"/>
    <x v="0"/>
    <s v="Eldon Portable Mobile Manager"/>
    <x v="8"/>
    <n v="1261.6199999999999"/>
    <n v="20"/>
    <s v="UPI"/>
    <x v="455"/>
  </r>
  <r>
    <s v="ORD1456"/>
    <x v="340"/>
    <s v="Patricia Young PhD"/>
    <x v="2"/>
    <x v="2"/>
    <s v="Accessory35"/>
    <x v="4"/>
    <n v="1140.4100000000001"/>
    <n v="10"/>
    <s v="Cash"/>
    <x v="456"/>
  </r>
  <r>
    <s v="ORD1457"/>
    <x v="116"/>
    <s v="Heather Page"/>
    <x v="2"/>
    <x v="2"/>
    <s v="Microsoft Natural Multimedia Keyboard"/>
    <x v="8"/>
    <n v="1275.06"/>
    <n v="10"/>
    <s v="Cash"/>
    <x v="457"/>
  </r>
  <r>
    <s v="ORD1458"/>
    <x v="254"/>
    <s v="Carol Taylor"/>
    <x v="3"/>
    <x v="0"/>
    <s v="Xerox 23"/>
    <x v="0"/>
    <n v="1088.72"/>
    <n v="20"/>
    <s v="Net Banking"/>
    <x v="458"/>
  </r>
  <r>
    <s v="ORD1459"/>
    <x v="341"/>
    <s v="Daniel Brown"/>
    <x v="2"/>
    <x v="2"/>
    <s v="Accessory27"/>
    <x v="1"/>
    <n v="1288.42"/>
    <n v="15"/>
    <s v="UPI"/>
    <x v="459"/>
  </r>
  <r>
    <s v="ORD1460"/>
    <x v="342"/>
    <s v="Douglas Ryan"/>
    <x v="2"/>
    <x v="2"/>
    <s v="VTech VT20-2481 2.4GHz Two-Line Phone System w/Answering Machine"/>
    <x v="4"/>
    <n v="927.19"/>
    <n v="20"/>
    <s v="UPI"/>
    <x v="460"/>
  </r>
  <r>
    <s v="ORD1461"/>
    <x v="92"/>
    <s v="Michael Roberts"/>
    <x v="0"/>
    <x v="0"/>
    <s v="Avery Hi-Liter® Smear-Safe Highlighters"/>
    <x v="3"/>
    <n v="475.96"/>
    <n v="10"/>
    <s v="Cash"/>
    <x v="461"/>
  </r>
  <r>
    <s v="ORD1462"/>
    <x v="26"/>
    <s v="Scott Duke"/>
    <x v="3"/>
    <x v="1"/>
    <s v="Eldon Expressions Mahogany Wood Desk Collection"/>
    <x v="3"/>
    <n v="284.48"/>
    <n v="15"/>
    <s v="UPI"/>
    <x v="462"/>
  </r>
  <r>
    <s v="ORD1463"/>
    <x v="124"/>
    <s v="Anna Estes"/>
    <x v="3"/>
    <x v="1"/>
    <s v="Atlantic Metals Mobile 3-Shelf Bookcases, Custom Colors"/>
    <x v="4"/>
    <n v="183.26"/>
    <n v="0"/>
    <s v="Net Banking"/>
    <x v="463"/>
  </r>
  <r>
    <s v="ORD1464"/>
    <x v="200"/>
    <s v="Tamara Riddle"/>
    <x v="1"/>
    <x v="0"/>
    <s v="Staples 6 Outlet Surge"/>
    <x v="8"/>
    <n v="563.47"/>
    <n v="20"/>
    <s v="Net Banking"/>
    <x v="464"/>
  </r>
  <r>
    <s v="ORD1465"/>
    <x v="343"/>
    <s v="Beth Cline"/>
    <x v="3"/>
    <x v="0"/>
    <s v="Adams Phone Message Book, Professional, 400 Message Capacity, 5 3/6” x 11”"/>
    <x v="1"/>
    <n v="139.94"/>
    <n v="20"/>
    <s v="Net Banking"/>
    <x v="465"/>
  </r>
  <r>
    <s v="ORD1466"/>
    <x v="128"/>
    <s v="Michael Poole"/>
    <x v="3"/>
    <x v="0"/>
    <s v="Array® Memo Cubes"/>
    <x v="3"/>
    <n v="1155.98"/>
    <n v="15"/>
    <s v="UPI"/>
    <x v="466"/>
  </r>
  <r>
    <s v="ORD1467"/>
    <x v="344"/>
    <s v="Megan Burns"/>
    <x v="0"/>
    <x v="0"/>
    <s v="Holmes Odor Grabber"/>
    <x v="1"/>
    <n v="603.47"/>
    <n v="0"/>
    <s v="UPI"/>
    <x v="467"/>
  </r>
  <r>
    <s v="ORD1468"/>
    <x v="228"/>
    <s v="Debra Perry"/>
    <x v="2"/>
    <x v="0"/>
    <s v="Boston 16765 Mini Stand Up Battery Pencil Sharpener"/>
    <x v="3"/>
    <n v="1657.84"/>
    <n v="0"/>
    <s v="Net Banking"/>
    <x v="468"/>
  </r>
  <r>
    <s v="ORD1469"/>
    <x v="274"/>
    <s v="Mark Beard"/>
    <x v="3"/>
    <x v="0"/>
    <s v="Zebra Zazzle Fluorescent Highlighters"/>
    <x v="0"/>
    <n v="194.77"/>
    <n v="15"/>
    <s v="Credit Card"/>
    <x v="469"/>
  </r>
  <r>
    <s v="ORD1470"/>
    <x v="345"/>
    <s v="Jose Ramirez"/>
    <x v="3"/>
    <x v="1"/>
    <s v="Dana Fluorescent Magnifying Lamp, White, 36&quot;"/>
    <x v="8"/>
    <n v="491.39"/>
    <n v="5"/>
    <s v="Cash"/>
    <x v="470"/>
  </r>
  <r>
    <s v="ORD1471"/>
    <x v="346"/>
    <s v="Jackie Clements"/>
    <x v="0"/>
    <x v="0"/>
    <s v="Holmes Cool Mist Humidifier for the Whole House with 8-Gallon Output per Day, Extended Life Filter"/>
    <x v="0"/>
    <n v="1473.98"/>
    <n v="20"/>
    <s v="Credit Card"/>
    <x v="471"/>
  </r>
  <r>
    <s v="ORD1472"/>
    <x v="116"/>
    <s v="Aaron Schroeder"/>
    <x v="3"/>
    <x v="0"/>
    <s v="Cardinal Poly Pocket Divider Pockets for Ring Binders"/>
    <x v="3"/>
    <n v="1217.68"/>
    <n v="20"/>
    <s v="UPI"/>
    <x v="472"/>
  </r>
  <r>
    <s v="ORD1473"/>
    <x v="196"/>
    <s v="Monica Ellis"/>
    <x v="3"/>
    <x v="0"/>
    <s v="Bagged Rubber Bands"/>
    <x v="0"/>
    <n v="175.76"/>
    <n v="10"/>
    <s v="Cash"/>
    <x v="473"/>
  </r>
  <r>
    <s v="ORD1474"/>
    <x v="170"/>
    <s v="Heather Brown"/>
    <x v="0"/>
    <x v="0"/>
    <s v="Storex DuraTech Recycled Plastic Frosted Binders"/>
    <x v="3"/>
    <n v="1760.62"/>
    <n v="15"/>
    <s v="Cash"/>
    <x v="474"/>
  </r>
  <r>
    <s v="ORD1475"/>
    <x v="254"/>
    <s v="Claudia Jordan"/>
    <x v="1"/>
    <x v="0"/>
    <s v="Newell 310"/>
    <x v="4"/>
    <n v="1760.66"/>
    <n v="10"/>
    <s v="UPI"/>
    <x v="475"/>
  </r>
  <r>
    <s v="ORD1476"/>
    <x v="347"/>
    <s v="Derrick Clayton"/>
    <x v="1"/>
    <x v="0"/>
    <s v="2300 Heavy-Duty Transfer File Systems by Perma"/>
    <x v="0"/>
    <n v="694.3"/>
    <n v="10"/>
    <s v="Credit Card"/>
    <x v="476"/>
  </r>
  <r>
    <s v="ORD1477"/>
    <x v="348"/>
    <s v="Kenneth Knight"/>
    <x v="3"/>
    <x v="2"/>
    <s v="Accessory41"/>
    <x v="6"/>
    <n v="713.79"/>
    <n v="0"/>
    <s v="Credit Card"/>
    <x v="477"/>
  </r>
  <r>
    <s v="ORD1478"/>
    <x v="346"/>
    <s v="Mr. Michael Williams"/>
    <x v="3"/>
    <x v="1"/>
    <s v="Coloredge Poster Frame"/>
    <x v="8"/>
    <n v="1978.61"/>
    <n v="20"/>
    <s v="Credit Card"/>
    <x v="478"/>
  </r>
  <r>
    <s v="ORD1479"/>
    <x v="349"/>
    <s v="Richard Stevens"/>
    <x v="2"/>
    <x v="0"/>
    <s v="Xerox 1985"/>
    <x v="7"/>
    <n v="1271.04"/>
    <n v="10"/>
    <s v="Credit Card"/>
    <x v="479"/>
  </r>
  <r>
    <s v="ORD1480"/>
    <x v="350"/>
    <s v="Scott Alexander"/>
    <x v="3"/>
    <x v="1"/>
    <s v="Deflect-o SuperTray™ Unbreakable Stackable Tray, Letter, Black"/>
    <x v="5"/>
    <n v="1086.07"/>
    <n v="0"/>
    <s v="Net Banking"/>
    <x v="480"/>
  </r>
  <r>
    <s v="ORD1481"/>
    <x v="351"/>
    <s v="Tyler Harris"/>
    <x v="2"/>
    <x v="0"/>
    <s v="Carina 42&quot;Hx23 3/4&quot;W Media Storage Unit"/>
    <x v="0"/>
    <n v="1684.4"/>
    <n v="15"/>
    <s v="Cash"/>
    <x v="481"/>
  </r>
  <r>
    <s v="ORD1482"/>
    <x v="347"/>
    <s v="Bonnie Santos"/>
    <x v="1"/>
    <x v="0"/>
    <s v="Xerox 224"/>
    <x v="2"/>
    <n v="606.32000000000005"/>
    <n v="10"/>
    <s v="Credit Card"/>
    <x v="482"/>
  </r>
  <r>
    <s v="ORD1483"/>
    <x v="169"/>
    <s v="Timothy Hill"/>
    <x v="3"/>
    <x v="1"/>
    <s v="SAFCO PlanMaster Heigh-Adjustable Drafting Table Base, 43w x 30d x 30-37h, Black"/>
    <x v="8"/>
    <n v="886.91"/>
    <n v="20"/>
    <s v="UPI"/>
    <x v="483"/>
  </r>
  <r>
    <s v="ORD1484"/>
    <x v="125"/>
    <s v="Danielle Watson"/>
    <x v="3"/>
    <x v="1"/>
    <s v="Coloredge Poster Frame"/>
    <x v="6"/>
    <n v="572.16"/>
    <n v="10"/>
    <s v="Net Banking"/>
    <x v="484"/>
  </r>
  <r>
    <s v="ORD1485"/>
    <x v="21"/>
    <s v="Carol Sanders"/>
    <x v="0"/>
    <x v="0"/>
    <s v="Storex Dura Pro™ Binders"/>
    <x v="6"/>
    <n v="1588.86"/>
    <n v="15"/>
    <s v="Cash"/>
    <x v="485"/>
  </r>
  <r>
    <s v="ORD1486"/>
    <x v="54"/>
    <s v="Michael Young"/>
    <x v="3"/>
    <x v="0"/>
    <s v="Xerox 231"/>
    <x v="3"/>
    <n v="1168.03"/>
    <n v="10"/>
    <s v="UPI"/>
    <x v="486"/>
  </r>
  <r>
    <s v="ORD1487"/>
    <x v="252"/>
    <s v="Michele Smith"/>
    <x v="1"/>
    <x v="0"/>
    <s v="Eureka Sanitaire ® Multi-Pro Heavy-Duty Upright, Disposable Bags"/>
    <x v="3"/>
    <n v="1334.71"/>
    <n v="20"/>
    <s v="Net Banking"/>
    <x v="487"/>
  </r>
  <r>
    <s v="ORD1488"/>
    <x v="352"/>
    <s v="Casey Perez"/>
    <x v="3"/>
    <x v="2"/>
    <s v="CF 688"/>
    <x v="5"/>
    <n v="542"/>
    <n v="0"/>
    <s v="Cash"/>
    <x v="488"/>
  </r>
  <r>
    <s v="ORD1489"/>
    <x v="353"/>
    <s v="Alexandra Dominguez"/>
    <x v="2"/>
    <x v="0"/>
    <s v="Staples Standard Envelopes"/>
    <x v="4"/>
    <n v="479.44"/>
    <n v="20"/>
    <s v="UPI"/>
    <x v="489"/>
  </r>
  <r>
    <s v="ORD1490"/>
    <x v="354"/>
    <s v="Virginia Henderson"/>
    <x v="3"/>
    <x v="0"/>
    <s v="Xerox 1964"/>
    <x v="2"/>
    <n v="1002.33"/>
    <n v="0"/>
    <s v="Cash"/>
    <x v="490"/>
  </r>
  <r>
    <s v="ORD1491"/>
    <x v="208"/>
    <s v="Benjamin Reyes"/>
    <x v="2"/>
    <x v="1"/>
    <s v="Global Stack Chair without Arms, Black"/>
    <x v="7"/>
    <n v="1488.25"/>
    <n v="5"/>
    <s v="Net Banking"/>
    <x v="491"/>
  </r>
  <r>
    <s v="ORD1492"/>
    <x v="197"/>
    <s v="Ashley Edwards"/>
    <x v="0"/>
    <x v="1"/>
    <s v="Metal Folding Chairs, Beige, 4/Carton"/>
    <x v="5"/>
    <n v="1074.22"/>
    <n v="20"/>
    <s v="Credit Card"/>
    <x v="492"/>
  </r>
  <r>
    <s v="ORD1493"/>
    <x v="355"/>
    <s v="Breanna Ayala"/>
    <x v="3"/>
    <x v="2"/>
    <s v="232"/>
    <x v="1"/>
    <n v="113.66"/>
    <n v="20"/>
    <s v="Net Banking"/>
    <x v="493"/>
  </r>
  <r>
    <s v="ORD1494"/>
    <x v="89"/>
    <s v="Brandi Haney"/>
    <x v="0"/>
    <x v="1"/>
    <s v="Document Clip Frames"/>
    <x v="7"/>
    <n v="1743.68"/>
    <n v="15"/>
    <s v="UPI"/>
    <x v="494"/>
  </r>
  <r>
    <s v="ORD1495"/>
    <x v="308"/>
    <s v="Joseph Smith"/>
    <x v="0"/>
    <x v="0"/>
    <s v="Newell 337"/>
    <x v="0"/>
    <n v="176.14"/>
    <n v="10"/>
    <s v="Credit Card"/>
    <x v="495"/>
  </r>
  <r>
    <s v="ORD1496"/>
    <x v="172"/>
    <s v="Jessica Bowen"/>
    <x v="3"/>
    <x v="0"/>
    <s v="OIC Thumb-Tacks"/>
    <x v="8"/>
    <n v="1913.86"/>
    <n v="0"/>
    <s v="Cash"/>
    <x v="496"/>
  </r>
  <r>
    <s v="ORD1497"/>
    <x v="229"/>
    <s v="Brittany Jenkins"/>
    <x v="2"/>
    <x v="1"/>
    <s v="Document Clip Frames"/>
    <x v="1"/>
    <n v="99.03"/>
    <n v="0"/>
    <s v="Cash"/>
    <x v="497"/>
  </r>
  <r>
    <s v="ORD1498"/>
    <x v="86"/>
    <s v="Shannon Miller"/>
    <x v="3"/>
    <x v="0"/>
    <s v="Newell 337"/>
    <x v="1"/>
    <n v="1404.18"/>
    <n v="15"/>
    <s v="Cash"/>
    <x v="498"/>
  </r>
  <r>
    <s v="ORD1499"/>
    <x v="318"/>
    <s v="Paul Lawrence"/>
    <x v="2"/>
    <x v="2"/>
    <s v="DS/HD IBM Formatted Diskettes, 200/Pack - Staples"/>
    <x v="5"/>
    <n v="210.3"/>
    <n v="15"/>
    <s v="Net Banking"/>
    <x v="499"/>
  </r>
  <r>
    <s v="ORD1500"/>
    <x v="356"/>
    <s v="Victor Edwards"/>
    <x v="0"/>
    <x v="2"/>
    <s v="Lexmark Z55se Color Inkjet Printer"/>
    <x v="4"/>
    <n v="1825.82"/>
    <n v="10"/>
    <s v="Cash"/>
    <x v="500"/>
  </r>
  <r>
    <s v="ORD1501"/>
    <x v="357"/>
    <s v="Donald Miller"/>
    <x v="1"/>
    <x v="0"/>
    <s v="Tennsco Commercial Shelving"/>
    <x v="5"/>
    <n v="955.64"/>
    <n v="10"/>
    <s v="Cash"/>
    <x v="501"/>
  </r>
  <r>
    <s v="ORD1502"/>
    <x v="358"/>
    <s v="Lindsay Lawson"/>
    <x v="3"/>
    <x v="0"/>
    <s v="Round Specialty Laser Printer Labels"/>
    <x v="0"/>
    <n v="318.17"/>
    <n v="20"/>
    <s v="Cash"/>
    <x v="502"/>
  </r>
  <r>
    <s v="ORD1503"/>
    <x v="55"/>
    <s v="Melissa Abbott"/>
    <x v="1"/>
    <x v="0"/>
    <s v="Array® Memo Cubes"/>
    <x v="4"/>
    <n v="714.59"/>
    <n v="5"/>
    <s v="Net Banking"/>
    <x v="503"/>
  </r>
  <r>
    <s v="ORD1504"/>
    <x v="273"/>
    <s v="Elizabeth Holmes"/>
    <x v="2"/>
    <x v="2"/>
    <s v="Lexmark Z55se Color Inkjet Printer"/>
    <x v="0"/>
    <n v="371.41"/>
    <n v="10"/>
    <s v="UPI"/>
    <x v="504"/>
  </r>
  <r>
    <s v="ORD1505"/>
    <x v="162"/>
    <s v="Nicole Phillips"/>
    <x v="3"/>
    <x v="0"/>
    <s v="Tennsco Commercial Shelving"/>
    <x v="4"/>
    <n v="382.63"/>
    <n v="15"/>
    <s v="Credit Card"/>
    <x v="505"/>
  </r>
  <r>
    <s v="ORD1506"/>
    <x v="359"/>
    <s v="Steven Blevins"/>
    <x v="1"/>
    <x v="0"/>
    <s v="Round Specialty Laser Printer Labels"/>
    <x v="6"/>
    <n v="1898.81"/>
    <n v="10"/>
    <s v="Cash"/>
    <x v="506"/>
  </r>
  <r>
    <s v="ORD1507"/>
    <x v="360"/>
    <s v="Brian Porter MD"/>
    <x v="1"/>
    <x v="0"/>
    <s v="Array® Memo Cubes"/>
    <x v="1"/>
    <n v="918.23"/>
    <n v="0"/>
    <s v="Net Banking"/>
    <x v="507"/>
  </r>
  <r>
    <s v="ORD1508"/>
    <x v="361"/>
    <s v="Vanessa Hatfield"/>
    <x v="3"/>
    <x v="0"/>
    <s v="Avery Hanging File Binders"/>
    <x v="2"/>
    <n v="1588.16"/>
    <n v="5"/>
    <s v="Cash"/>
    <x v="508"/>
  </r>
  <r>
    <s v="ORD1509"/>
    <x v="239"/>
    <s v="Bonnie Valencia"/>
    <x v="1"/>
    <x v="2"/>
    <s v="Accessory41"/>
    <x v="8"/>
    <n v="1297.23"/>
    <n v="20"/>
    <s v="Credit Card"/>
    <x v="509"/>
  </r>
  <r>
    <s v="ORD1510"/>
    <x v="362"/>
    <s v="Holly Vega"/>
    <x v="3"/>
    <x v="0"/>
    <s v="12 Colored Short Pencils"/>
    <x v="0"/>
    <n v="1369.03"/>
    <n v="0"/>
    <s v="UPI"/>
    <x v="510"/>
  </r>
  <r>
    <s v="ORD1511"/>
    <x v="363"/>
    <s v="Tiffany Townsend"/>
    <x v="1"/>
    <x v="0"/>
    <s v="Xerox 1954"/>
    <x v="7"/>
    <n v="306.8"/>
    <n v="0"/>
    <s v="UPI"/>
    <x v="511"/>
  </r>
  <r>
    <s v="ORD1512"/>
    <x v="364"/>
    <s v="Austin Baker"/>
    <x v="0"/>
    <x v="0"/>
    <s v="Rediform Wirebound &quot;Phone Memo&quot; Message Book, 11 x 5-3/4"/>
    <x v="4"/>
    <n v="506.66"/>
    <n v="5"/>
    <s v="Cash"/>
    <x v="512"/>
  </r>
  <r>
    <s v="ORD1513"/>
    <x v="365"/>
    <s v="Antonio Mccormick"/>
    <x v="3"/>
    <x v="1"/>
    <s v="BoxOffice By Design Rectangular and Half-Moon Meeting Room Tables"/>
    <x v="8"/>
    <n v="1584.16"/>
    <n v="20"/>
    <s v="Credit Card"/>
    <x v="513"/>
  </r>
  <r>
    <s v="ORD1514"/>
    <x v="366"/>
    <s v="Lori Mason"/>
    <x v="0"/>
    <x v="0"/>
    <s v="Advantus 10-Drawer Portable Organizer, Chrome Metal Frame, Smoke Drawers"/>
    <x v="7"/>
    <n v="1942.99"/>
    <n v="15"/>
    <s v="Cash"/>
    <x v="514"/>
  </r>
  <r>
    <s v="ORD1515"/>
    <x v="197"/>
    <s v="Michael Miller"/>
    <x v="0"/>
    <x v="1"/>
    <s v="Office Star - Professional Matrix Back Chair with 2-to-1 Synchro Tilt and Mesh Fabric Seat"/>
    <x v="8"/>
    <n v="562.22"/>
    <n v="20"/>
    <s v="UPI"/>
    <x v="515"/>
  </r>
  <r>
    <s v="ORD1516"/>
    <x v="367"/>
    <s v="Lisa Ramirez"/>
    <x v="1"/>
    <x v="0"/>
    <s v="Fellowes Super Stor/Drawer® Files"/>
    <x v="2"/>
    <n v="579.55999999999995"/>
    <n v="10"/>
    <s v="Net Banking"/>
    <x v="516"/>
  </r>
  <r>
    <s v="ORD1517"/>
    <x v="54"/>
    <s v="Jorge Harris"/>
    <x v="2"/>
    <x v="0"/>
    <s v="Steel Personal Filing/Posting Tote"/>
    <x v="7"/>
    <n v="972.15"/>
    <n v="0"/>
    <s v="Net Banking"/>
    <x v="517"/>
  </r>
  <r>
    <s v="ORD1518"/>
    <x v="368"/>
    <s v="Kimberly Myers"/>
    <x v="0"/>
    <x v="1"/>
    <s v="O'Sullivan 3-Shelf Heavy-Duty Bookcases"/>
    <x v="5"/>
    <n v="1968.49"/>
    <n v="10"/>
    <s v="Net Banking"/>
    <x v="518"/>
  </r>
  <r>
    <s v="ORD1519"/>
    <x v="332"/>
    <s v="Sandra Becker"/>
    <x v="0"/>
    <x v="0"/>
    <s v="Acme® Elite Stainless Steel Scissors"/>
    <x v="3"/>
    <n v="574.47"/>
    <n v="15"/>
    <s v="Credit Card"/>
    <x v="519"/>
  </r>
  <r>
    <s v="ORD1520"/>
    <x v="369"/>
    <s v="Michael Blair"/>
    <x v="0"/>
    <x v="2"/>
    <s v="Logitech Access Keyboard"/>
    <x v="5"/>
    <n v="843.6"/>
    <n v="10"/>
    <s v="Credit Card"/>
    <x v="520"/>
  </r>
  <r>
    <s v="ORD1521"/>
    <x v="370"/>
    <s v="Amy Miller"/>
    <x v="2"/>
    <x v="0"/>
    <s v="Fellowes Twister Kit, Gray/Clear, 3/pkg"/>
    <x v="3"/>
    <n v="1788.39"/>
    <n v="20"/>
    <s v="UPI"/>
    <x v="521"/>
  </r>
  <r>
    <s v="ORD1522"/>
    <x v="164"/>
    <s v="Jesse Lynch"/>
    <x v="2"/>
    <x v="2"/>
    <s v="5180"/>
    <x v="5"/>
    <n v="55.7"/>
    <n v="10"/>
    <s v="Credit Card"/>
    <x v="522"/>
  </r>
  <r>
    <s v="ORD1523"/>
    <x v="44"/>
    <s v="Patrick Yang"/>
    <x v="0"/>
    <x v="0"/>
    <s v="Advantus Push Pins"/>
    <x v="3"/>
    <n v="127.54"/>
    <n v="15"/>
    <s v="UPI"/>
    <x v="523"/>
  </r>
  <r>
    <s v="ORD1524"/>
    <x v="371"/>
    <s v="Michael Miles"/>
    <x v="2"/>
    <x v="1"/>
    <s v="Rush Hierlooms Collection 1&quot; Thick Stackable Bookcases"/>
    <x v="3"/>
    <n v="1227.94"/>
    <n v="15"/>
    <s v="UPI"/>
    <x v="524"/>
  </r>
  <r>
    <s v="ORD1525"/>
    <x v="372"/>
    <s v="Troy Mills"/>
    <x v="2"/>
    <x v="0"/>
    <s v="Adams Telephone Message Books, 5 1/4” x 11”"/>
    <x v="1"/>
    <n v="1819.39"/>
    <n v="15"/>
    <s v="Cash"/>
    <x v="525"/>
  </r>
  <r>
    <s v="ORD1526"/>
    <x v="373"/>
    <s v="Michelle Jackson"/>
    <x v="2"/>
    <x v="0"/>
    <s v="Xerox 1983"/>
    <x v="4"/>
    <n v="515.77"/>
    <n v="20"/>
    <s v="Net Banking"/>
    <x v="526"/>
  </r>
  <r>
    <s v="ORD1527"/>
    <x v="119"/>
    <s v="Richard Adams"/>
    <x v="3"/>
    <x v="2"/>
    <s v="StarTAC 7760"/>
    <x v="4"/>
    <n v="965.8"/>
    <n v="15"/>
    <s v="Net Banking"/>
    <x v="527"/>
  </r>
  <r>
    <s v="ORD1528"/>
    <x v="123"/>
    <s v="Patricia Johnson"/>
    <x v="0"/>
    <x v="1"/>
    <s v="Bush Westfield Collection Bookcases, Fully Assembled"/>
    <x v="1"/>
    <n v="928.41"/>
    <n v="0"/>
    <s v="UPI"/>
    <x v="528"/>
  </r>
  <r>
    <s v="ORD1529"/>
    <x v="374"/>
    <s v="Denise Brown"/>
    <x v="2"/>
    <x v="0"/>
    <s v="GBC Wire Binding Strips"/>
    <x v="8"/>
    <n v="972.29"/>
    <n v="15"/>
    <s v="Credit Card"/>
    <x v="529"/>
  </r>
  <r>
    <s v="ORD1530"/>
    <x v="342"/>
    <s v="Laura Jones"/>
    <x v="3"/>
    <x v="1"/>
    <s v="Eldon ClusterMat Chair Mat with Cordless Antistatic Protection"/>
    <x v="6"/>
    <n v="1263.9100000000001"/>
    <n v="10"/>
    <s v="UPI"/>
    <x v="530"/>
  </r>
  <r>
    <s v="ORD1531"/>
    <x v="375"/>
    <s v="Ian Porter"/>
    <x v="1"/>
    <x v="1"/>
    <s v="Coloredge Poster Frame"/>
    <x v="8"/>
    <n v="966"/>
    <n v="10"/>
    <s v="Net Banking"/>
    <x v="531"/>
  </r>
  <r>
    <s v="ORD1532"/>
    <x v="376"/>
    <s v="Holly Scott"/>
    <x v="1"/>
    <x v="0"/>
    <s v="Avery Trapezoid Ring Binder, 3&quot; Capacity, Black, 1040 sheets"/>
    <x v="7"/>
    <n v="922.56"/>
    <n v="10"/>
    <s v="Cash"/>
    <x v="532"/>
  </r>
  <r>
    <s v="ORD1533"/>
    <x v="324"/>
    <s v="Kenneth Sharp"/>
    <x v="2"/>
    <x v="0"/>
    <s v="Xerox 1910"/>
    <x v="7"/>
    <n v="974.86"/>
    <n v="20"/>
    <s v="Net Banking"/>
    <x v="533"/>
  </r>
  <r>
    <s v="ORD1534"/>
    <x v="54"/>
    <s v="Jordan Williams"/>
    <x v="0"/>
    <x v="0"/>
    <s v="Avery Trapezoid Ring Binder, 3&quot; Capacity, Black, 1040 sheets"/>
    <x v="3"/>
    <n v="1202.19"/>
    <n v="10"/>
    <s v="UPI"/>
    <x v="534"/>
  </r>
  <r>
    <s v="ORD1535"/>
    <x v="21"/>
    <s v="Dana Ruiz"/>
    <x v="2"/>
    <x v="2"/>
    <s v="Epson DFX5000+ Dot Matrix Printer"/>
    <x v="5"/>
    <n v="1097.1600000000001"/>
    <n v="20"/>
    <s v="UPI"/>
    <x v="535"/>
  </r>
  <r>
    <s v="ORD1536"/>
    <x v="194"/>
    <s v="Chris Velazquez"/>
    <x v="1"/>
    <x v="0"/>
    <s v="Xerox 1910"/>
    <x v="5"/>
    <n v="1715.57"/>
    <n v="20"/>
    <s v="Net Banking"/>
    <x v="536"/>
  </r>
  <r>
    <s v="ORD1537"/>
    <x v="163"/>
    <s v="Kristen Sloan"/>
    <x v="0"/>
    <x v="0"/>
    <s v="Newell 320"/>
    <x v="4"/>
    <n v="146.52000000000001"/>
    <n v="15"/>
    <s v="Net Banking"/>
    <x v="537"/>
  </r>
  <r>
    <s v="ORD1538"/>
    <x v="245"/>
    <s v="Jennifer Morris"/>
    <x v="0"/>
    <x v="0"/>
    <s v="Self-Adhesive Address Labels for Typewriters by Universal"/>
    <x v="0"/>
    <n v="1674.97"/>
    <n v="0"/>
    <s v="Credit Card"/>
    <x v="538"/>
  </r>
  <r>
    <s v="ORD1539"/>
    <x v="377"/>
    <s v="Nathan Nelson"/>
    <x v="1"/>
    <x v="0"/>
    <s v="Turquoise Lead Holder with Pocket Clip"/>
    <x v="8"/>
    <n v="1695.65"/>
    <n v="15"/>
    <s v="Cash"/>
    <x v="539"/>
  </r>
  <r>
    <s v="ORD1540"/>
    <x v="378"/>
    <s v="Jake Shaw"/>
    <x v="3"/>
    <x v="2"/>
    <s v="Panasonic KX-P1150 Dot Matrix Printer"/>
    <x v="2"/>
    <n v="605.57000000000005"/>
    <n v="15"/>
    <s v="Net Banking"/>
    <x v="540"/>
  </r>
  <r>
    <s v="ORD1541"/>
    <x v="290"/>
    <s v="Cassie Brock"/>
    <x v="3"/>
    <x v="0"/>
    <s v="Newell 343"/>
    <x v="5"/>
    <n v="952.56"/>
    <n v="20"/>
    <s v="Cash"/>
    <x v="541"/>
  </r>
  <r>
    <s v="ORD1542"/>
    <x v="379"/>
    <s v="Dr. Andrea Marshall"/>
    <x v="2"/>
    <x v="1"/>
    <s v="Bevis 36 x 72 Conference Tables"/>
    <x v="2"/>
    <n v="905.15"/>
    <n v="20"/>
    <s v="Cash"/>
    <x v="542"/>
  </r>
  <r>
    <s v="ORD1543"/>
    <x v="376"/>
    <s v="Ryan Murphy"/>
    <x v="0"/>
    <x v="0"/>
    <s v="Newell 343"/>
    <x v="3"/>
    <n v="476.09"/>
    <n v="10"/>
    <s v="Credit Card"/>
    <x v="543"/>
  </r>
  <r>
    <s v="ORD1544"/>
    <x v="267"/>
    <s v="Aimee Gonzalez"/>
    <x v="2"/>
    <x v="1"/>
    <s v="Rush Hierlooms Collection 1&quot; Thick Stackable Bookcases"/>
    <x v="2"/>
    <n v="823.75"/>
    <n v="10"/>
    <s v="UPI"/>
    <x v="544"/>
  </r>
  <r>
    <s v="ORD1545"/>
    <x v="66"/>
    <s v="Elizabeth Dean"/>
    <x v="0"/>
    <x v="1"/>
    <s v="Global Commerce™ Series High-Back Swivel/Tilt Chairs"/>
    <x v="1"/>
    <n v="136.56"/>
    <n v="15"/>
    <s v="Cash"/>
    <x v="545"/>
  </r>
  <r>
    <s v="ORD1546"/>
    <x v="380"/>
    <s v="Kevin Snyder"/>
    <x v="1"/>
    <x v="1"/>
    <s v="Tensor &quot;Hersey Kiss&quot; Styled Floor Lamp"/>
    <x v="2"/>
    <n v="591.75"/>
    <n v="5"/>
    <s v="Cash"/>
    <x v="546"/>
  </r>
  <r>
    <s v="ORD1547"/>
    <x v="381"/>
    <s v="Christie Mccullough"/>
    <x v="0"/>
    <x v="0"/>
    <s v="Hoover Replacement Belt for Commercial Guardsman Heavy-Duty Upright Vacuum"/>
    <x v="6"/>
    <n v="1642.53"/>
    <n v="5"/>
    <s v="Cash"/>
    <x v="547"/>
  </r>
  <r>
    <s v="ORD1548"/>
    <x v="173"/>
    <s v="Danielle Smith"/>
    <x v="0"/>
    <x v="0"/>
    <s v="Companion Letter/Legal File, Black"/>
    <x v="3"/>
    <n v="604.9"/>
    <n v="10"/>
    <s v="Cash"/>
    <x v="548"/>
  </r>
  <r>
    <s v="ORD1549"/>
    <x v="382"/>
    <s v="David Reed"/>
    <x v="1"/>
    <x v="2"/>
    <s v="Gyration Ultra Professional Cordless Optical Suite"/>
    <x v="8"/>
    <n v="1645.5"/>
    <n v="5"/>
    <s v="UPI"/>
    <x v="549"/>
  </r>
  <r>
    <s v="ORD1550"/>
    <x v="383"/>
    <s v="Sherry Tapia"/>
    <x v="3"/>
    <x v="0"/>
    <s v="Xerox 1971"/>
    <x v="1"/>
    <n v="1086.6199999999999"/>
    <n v="10"/>
    <s v="Credit Card"/>
    <x v="550"/>
  </r>
  <r>
    <s v="ORD1551"/>
    <x v="344"/>
    <s v="Matthew Sweeney"/>
    <x v="1"/>
    <x v="1"/>
    <s v="Bretford CR8500 Series Meeting Room Furniture"/>
    <x v="5"/>
    <n v="1765.73"/>
    <n v="20"/>
    <s v="Cash"/>
    <x v="551"/>
  </r>
  <r>
    <s v="ORD1552"/>
    <x v="384"/>
    <s v="Ashley Moreno"/>
    <x v="0"/>
    <x v="0"/>
    <s v="Rediform Wirebound &quot;Phone Memo&quot; Message Book, 11 x 5-3/4"/>
    <x v="7"/>
    <n v="1170.82"/>
    <n v="15"/>
    <s v="Net Banking"/>
    <x v="552"/>
  </r>
  <r>
    <s v="ORD1553"/>
    <x v="385"/>
    <s v="Johnathan Brown"/>
    <x v="1"/>
    <x v="0"/>
    <s v="Fellowes Command Center 5-outlet power strip"/>
    <x v="8"/>
    <n v="107.85"/>
    <n v="0"/>
    <s v="UPI"/>
    <x v="553"/>
  </r>
  <r>
    <s v="ORD1554"/>
    <x v="188"/>
    <s v="Michelle Davis DVM"/>
    <x v="0"/>
    <x v="2"/>
    <s v="Verbatim DVD-RAM, 9.4GB, Rewritable, Type 1, DS, DataLife Plus"/>
    <x v="7"/>
    <n v="1367.07"/>
    <n v="15"/>
    <s v="Credit Card"/>
    <x v="554"/>
  </r>
  <r>
    <s v="ORD1555"/>
    <x v="3"/>
    <s v="Kelly Haynes"/>
    <x v="3"/>
    <x v="1"/>
    <s v="Linden® 12&quot; Wall Clock With Oak Frame"/>
    <x v="3"/>
    <n v="137.46"/>
    <n v="10"/>
    <s v="Net Banking"/>
    <x v="555"/>
  </r>
  <r>
    <s v="ORD1556"/>
    <x v="386"/>
    <s v="William Miller"/>
    <x v="3"/>
    <x v="0"/>
    <s v="Staples Wirebound Steno Books, 6&quot; x 9&quot;, 12/Pack"/>
    <x v="1"/>
    <n v="928.66"/>
    <n v="10"/>
    <s v="Net Banking"/>
    <x v="556"/>
  </r>
  <r>
    <s v="ORD1557"/>
    <x v="64"/>
    <s v="Casey Wilkins"/>
    <x v="0"/>
    <x v="0"/>
    <s v="Xerox 1893"/>
    <x v="4"/>
    <n v="1862.38"/>
    <n v="15"/>
    <s v="Net Banking"/>
    <x v="557"/>
  </r>
  <r>
    <s v="ORD1558"/>
    <x v="387"/>
    <s v="Keith Graham"/>
    <x v="3"/>
    <x v="0"/>
    <s v="Self-Adhesive Removable Labels"/>
    <x v="5"/>
    <n v="372.15"/>
    <n v="10"/>
    <s v="Cash"/>
    <x v="558"/>
  </r>
  <r>
    <s v="ORD1559"/>
    <x v="139"/>
    <s v="Cynthia Green"/>
    <x v="1"/>
    <x v="1"/>
    <s v="Chromcraft Bull-Nose Wood Oval Conference Tables &amp; Bases"/>
    <x v="6"/>
    <n v="810.25"/>
    <n v="5"/>
    <s v="Cash"/>
    <x v="559"/>
  </r>
  <r>
    <s v="ORD1560"/>
    <x v="24"/>
    <s v="Robert Haynes"/>
    <x v="3"/>
    <x v="2"/>
    <s v="Memorex 4.7GB DVD+RW, 3/Pack"/>
    <x v="4"/>
    <n v="1473.23"/>
    <n v="5"/>
    <s v="Net Banking"/>
    <x v="560"/>
  </r>
  <r>
    <s v="ORD1561"/>
    <x v="348"/>
    <s v="Emily Nelson"/>
    <x v="2"/>
    <x v="1"/>
    <s v="Eldon® Wave Desk Accessories"/>
    <x v="3"/>
    <n v="1770.4"/>
    <n v="10"/>
    <s v="Credit Card"/>
    <x v="561"/>
  </r>
  <r>
    <s v="ORD1562"/>
    <x v="1"/>
    <s v="Dale Chan"/>
    <x v="3"/>
    <x v="2"/>
    <s v="KF 788"/>
    <x v="8"/>
    <n v="1358.34"/>
    <n v="10"/>
    <s v="Cash"/>
    <x v="562"/>
  </r>
  <r>
    <s v="ORD1563"/>
    <x v="288"/>
    <s v="Brittney Martin"/>
    <x v="2"/>
    <x v="0"/>
    <s v="Heavy-Duty E-Z-D® Binders"/>
    <x v="6"/>
    <n v="553.44000000000005"/>
    <n v="5"/>
    <s v="Credit Card"/>
    <x v="563"/>
  </r>
  <r>
    <s v="ORD1564"/>
    <x v="255"/>
    <s v="Jason Herrera"/>
    <x v="1"/>
    <x v="0"/>
    <s v="Boston 1645 Deluxe Heavier-Duty Electric Pencil Sharpener"/>
    <x v="2"/>
    <n v="1365.49"/>
    <n v="10"/>
    <s v="Cash"/>
    <x v="564"/>
  </r>
  <r>
    <s v="ORD1565"/>
    <x v="388"/>
    <s v="Christine Parker"/>
    <x v="3"/>
    <x v="0"/>
    <s v="Xerox 213"/>
    <x v="6"/>
    <n v="628.62"/>
    <n v="10"/>
    <s v="Cash"/>
    <x v="565"/>
  </r>
  <r>
    <s v="ORD1566"/>
    <x v="389"/>
    <s v="Bryan Moore"/>
    <x v="3"/>
    <x v="0"/>
    <s v="Jet-Pak Recycled Peel 'N' Seal Padded Mailers"/>
    <x v="3"/>
    <n v="1450.94"/>
    <n v="15"/>
    <s v="Cash"/>
    <x v="566"/>
  </r>
  <r>
    <s v="ORD1567"/>
    <x v="390"/>
    <s v="Samantha Terry"/>
    <x v="3"/>
    <x v="0"/>
    <s v="Personal Creations™ Ink Jet Cards and Labels"/>
    <x v="0"/>
    <n v="1910.36"/>
    <n v="0"/>
    <s v="Credit Card"/>
    <x v="567"/>
  </r>
  <r>
    <s v="ORD1568"/>
    <x v="12"/>
    <s v="Russell Murphy"/>
    <x v="1"/>
    <x v="2"/>
    <s v="Panasonic KX-P3626 Dot Matrix Printer"/>
    <x v="2"/>
    <n v="1456.72"/>
    <n v="5"/>
    <s v="Cash"/>
    <x v="568"/>
  </r>
  <r>
    <s v="ORD1569"/>
    <x v="391"/>
    <s v="David Kelly"/>
    <x v="1"/>
    <x v="0"/>
    <s v="ACCOHIDE® 3-Ring Binder, Blue, 1&quot;"/>
    <x v="7"/>
    <n v="1732.62"/>
    <n v="15"/>
    <s v="Credit Card"/>
    <x v="569"/>
  </r>
  <r>
    <s v="ORD1570"/>
    <x v="392"/>
    <s v="Megan Green"/>
    <x v="2"/>
    <x v="0"/>
    <s v="Ampad #10 Peel &amp; Seel® Holiday Envelopes"/>
    <x v="5"/>
    <n v="54.1"/>
    <n v="0"/>
    <s v="Cash"/>
    <x v="570"/>
  </r>
  <r>
    <s v="ORD1571"/>
    <x v="393"/>
    <s v="Amanda Sullivan MD"/>
    <x v="0"/>
    <x v="0"/>
    <s v="Ibico Recycled Linen-Style Covers"/>
    <x v="7"/>
    <n v="1449.27"/>
    <n v="10"/>
    <s v="UPI"/>
    <x v="571"/>
  </r>
  <r>
    <s v="ORD1572"/>
    <x v="394"/>
    <s v="Danielle Murray"/>
    <x v="1"/>
    <x v="0"/>
    <s v="Vinyl Sectional Post Binders"/>
    <x v="6"/>
    <n v="1667.7"/>
    <n v="10"/>
    <s v="Cash"/>
    <x v="572"/>
  </r>
  <r>
    <s v="ORD1573"/>
    <x v="164"/>
    <s v="Brenda Smith"/>
    <x v="3"/>
    <x v="2"/>
    <s v="i500plus"/>
    <x v="7"/>
    <n v="129.09"/>
    <n v="15"/>
    <s v="Net Banking"/>
    <x v="573"/>
  </r>
  <r>
    <s v="ORD1574"/>
    <x v="390"/>
    <s v="Vickie Anderson"/>
    <x v="2"/>
    <x v="2"/>
    <s v="Imation 3.5&quot; IBM-Formatted Diskettes, 10/Pack"/>
    <x v="3"/>
    <n v="1749.62"/>
    <n v="10"/>
    <s v="Credit Card"/>
    <x v="574"/>
  </r>
  <r>
    <s v="ORD1575"/>
    <x v="395"/>
    <s v="Jacqueline Mccoy"/>
    <x v="3"/>
    <x v="0"/>
    <s v="Avery 494"/>
    <x v="8"/>
    <n v="550.54999999999995"/>
    <n v="20"/>
    <s v="UPI"/>
    <x v="575"/>
  </r>
  <r>
    <s v="ORD1576"/>
    <x v="396"/>
    <s v="Lauren Green"/>
    <x v="3"/>
    <x v="2"/>
    <s v="Keytronic French Keyboard"/>
    <x v="5"/>
    <n v="1347.32"/>
    <n v="15"/>
    <s v="Credit Card"/>
    <x v="576"/>
  </r>
  <r>
    <s v="ORD1577"/>
    <x v="397"/>
    <s v="Alison Brown"/>
    <x v="1"/>
    <x v="2"/>
    <s v="Canon MP25DIII Desktop Whisper-Quiet Printing Calculator"/>
    <x v="7"/>
    <n v="1610.69"/>
    <n v="0"/>
    <s v="Cash"/>
    <x v="577"/>
  </r>
  <r>
    <s v="ORD1578"/>
    <x v="398"/>
    <s v="Jill Anderson"/>
    <x v="0"/>
    <x v="0"/>
    <s v="SANFORD Major Accent™ Highlighters"/>
    <x v="7"/>
    <n v="1342.2"/>
    <n v="15"/>
    <s v="Net Banking"/>
    <x v="578"/>
  </r>
  <r>
    <s v="ORD1579"/>
    <x v="87"/>
    <s v="Sandra Rivera"/>
    <x v="3"/>
    <x v="2"/>
    <s v="Micro Innovations Micro Digital Wireless Keyboard and Mouse, Gray"/>
    <x v="6"/>
    <n v="229.96"/>
    <n v="5"/>
    <s v="Net Banking"/>
    <x v="579"/>
  </r>
  <r>
    <s v="ORD1580"/>
    <x v="230"/>
    <s v="Joel Jackson"/>
    <x v="1"/>
    <x v="2"/>
    <s v="i2000"/>
    <x v="8"/>
    <n v="1212.83"/>
    <n v="15"/>
    <s v="Net Banking"/>
    <x v="580"/>
  </r>
  <r>
    <s v="ORD1581"/>
    <x v="352"/>
    <s v="Samantha Foster"/>
    <x v="2"/>
    <x v="2"/>
    <s v="US Robotics 56K V.92 External Faxmodem"/>
    <x v="4"/>
    <n v="1121.69"/>
    <n v="10"/>
    <s v="Cash"/>
    <x v="581"/>
  </r>
  <r>
    <s v="ORD1582"/>
    <x v="399"/>
    <s v="Michael Thompson"/>
    <x v="3"/>
    <x v="0"/>
    <s v="Rediform Wirebound &quot;Phone Memo&quot; Message Book, 11 x 5-3/4"/>
    <x v="7"/>
    <n v="1805.63"/>
    <n v="10"/>
    <s v="Cash"/>
    <x v="582"/>
  </r>
  <r>
    <s v="ORD1583"/>
    <x v="150"/>
    <s v="Cody Ramirez"/>
    <x v="2"/>
    <x v="2"/>
    <s v="Fellowes Smart Design 104-Key Enhanced Keyboard, PS/2 Adapter, Platinum"/>
    <x v="3"/>
    <n v="838.27"/>
    <n v="20"/>
    <s v="Net Banking"/>
    <x v="583"/>
  </r>
  <r>
    <s v="ORD1584"/>
    <x v="335"/>
    <s v="Amanda Harvey"/>
    <x v="1"/>
    <x v="0"/>
    <s v="Avery 48"/>
    <x v="0"/>
    <n v="676.11"/>
    <n v="20"/>
    <s v="Cash"/>
    <x v="584"/>
  </r>
  <r>
    <s v="ORD1585"/>
    <x v="230"/>
    <s v="Edward Jenkins"/>
    <x v="1"/>
    <x v="0"/>
    <s v="Holmes Odor Grabber"/>
    <x v="5"/>
    <n v="1512.21"/>
    <n v="20"/>
    <s v="Cash"/>
    <x v="585"/>
  </r>
  <r>
    <s v="ORD1586"/>
    <x v="400"/>
    <s v="Amy Ramirez"/>
    <x v="1"/>
    <x v="1"/>
    <s v="Luxo Professional Fluorescent Magnifier Lamp with Clamp-Mount Base"/>
    <x v="7"/>
    <n v="854.72"/>
    <n v="0"/>
    <s v="UPI"/>
    <x v="586"/>
  </r>
  <r>
    <s v="ORD1587"/>
    <x v="119"/>
    <s v="Curtis Wilkerson"/>
    <x v="1"/>
    <x v="1"/>
    <s v="Electrix Halogen Magnifier Lamp"/>
    <x v="3"/>
    <n v="1309.8900000000001"/>
    <n v="20"/>
    <s v="Cash"/>
    <x v="587"/>
  </r>
  <r>
    <s v="ORD1588"/>
    <x v="168"/>
    <s v="Lydia Pham"/>
    <x v="1"/>
    <x v="0"/>
    <s v="Xerox 1923"/>
    <x v="3"/>
    <n v="1310.58"/>
    <n v="0"/>
    <s v="UPI"/>
    <x v="588"/>
  </r>
  <r>
    <s v="ORD1589"/>
    <x v="282"/>
    <s v="Virginia Casey"/>
    <x v="0"/>
    <x v="0"/>
    <s v="Xerox 1923"/>
    <x v="5"/>
    <n v="1781.68"/>
    <n v="20"/>
    <s v="Net Banking"/>
    <x v="589"/>
  </r>
  <r>
    <s v="ORD1590"/>
    <x v="360"/>
    <s v="Joshua Washington"/>
    <x v="2"/>
    <x v="0"/>
    <s v="Wilson Jones Custom Binder Spines &amp; Labels"/>
    <x v="4"/>
    <n v="1217.45"/>
    <n v="0"/>
    <s v="Credit Card"/>
    <x v="590"/>
  </r>
  <r>
    <s v="ORD1591"/>
    <x v="9"/>
    <s v="Kathryn Price"/>
    <x v="0"/>
    <x v="0"/>
    <s v="Xerox 1883"/>
    <x v="3"/>
    <n v="1029.2"/>
    <n v="15"/>
    <s v="Cash"/>
    <x v="591"/>
  </r>
  <r>
    <s v="ORD1592"/>
    <x v="401"/>
    <s v="Francis Robinson"/>
    <x v="2"/>
    <x v="2"/>
    <s v="Accessory37"/>
    <x v="0"/>
    <n v="320.8"/>
    <n v="15"/>
    <s v="Net Banking"/>
    <x v="592"/>
  </r>
  <r>
    <s v="ORD1593"/>
    <x v="402"/>
    <s v="Paula Brown"/>
    <x v="3"/>
    <x v="1"/>
    <s v="Balt Split Level Computer Training Table"/>
    <x v="3"/>
    <n v="275.69"/>
    <n v="10"/>
    <s v="Net Banking"/>
    <x v="593"/>
  </r>
  <r>
    <s v="ORD1594"/>
    <x v="403"/>
    <s v="Kendra Wang DVM"/>
    <x v="3"/>
    <x v="0"/>
    <s v="Avery 51"/>
    <x v="3"/>
    <n v="350.93"/>
    <n v="0"/>
    <s v="Cash"/>
    <x v="594"/>
  </r>
  <r>
    <s v="ORD1595"/>
    <x v="404"/>
    <s v="Ariel Sandoval"/>
    <x v="2"/>
    <x v="1"/>
    <s v="Balt Split Level Computer Training Table"/>
    <x v="3"/>
    <n v="385.1"/>
    <n v="5"/>
    <s v="Credit Card"/>
    <x v="595"/>
  </r>
  <r>
    <s v="ORD1596"/>
    <x v="286"/>
    <s v="Robert Stark"/>
    <x v="3"/>
    <x v="0"/>
    <s v="Avery Flip-Chart Easel Binder, Black"/>
    <x v="4"/>
    <n v="1293.8599999999999"/>
    <n v="10"/>
    <s v="Credit Card"/>
    <x v="596"/>
  </r>
  <r>
    <s v="ORD1597"/>
    <x v="300"/>
    <s v="Zachary Robinson"/>
    <x v="3"/>
    <x v="1"/>
    <s v="Seth Thomas 13 1/2&quot; Wall Clock"/>
    <x v="7"/>
    <n v="1494.91"/>
    <n v="15"/>
    <s v="Cash"/>
    <x v="597"/>
  </r>
  <r>
    <s v="ORD1598"/>
    <x v="349"/>
    <s v="Rebecca Kelly"/>
    <x v="3"/>
    <x v="0"/>
    <s v="GBC Pre-Punched Binding Paper, Plastic, White, 8-1/2&quot; x 11&quot;"/>
    <x v="3"/>
    <n v="1083.48"/>
    <n v="0"/>
    <s v="Net Banking"/>
    <x v="598"/>
  </r>
  <r>
    <s v="ORD1599"/>
    <x v="405"/>
    <s v="Sarah Thompson"/>
    <x v="0"/>
    <x v="0"/>
    <s v="Xerox 1982"/>
    <x v="8"/>
    <n v="1666.58"/>
    <n v="20"/>
    <s v="Cash"/>
    <x v="599"/>
  </r>
  <r>
    <s v="ORD1600"/>
    <x v="44"/>
    <s v="Renee Wolfe"/>
    <x v="0"/>
    <x v="0"/>
    <s v="Boston 16701 Slimline Battery Pencil Sharpener"/>
    <x v="7"/>
    <n v="1982.96"/>
    <n v="5"/>
    <s v="Credit Card"/>
    <x v="600"/>
  </r>
  <r>
    <s v="ORD1601"/>
    <x v="295"/>
    <s v="Alyssa Haynes"/>
    <x v="1"/>
    <x v="1"/>
    <s v="Global Leather &amp; Oak Executive Chair, Burgundy"/>
    <x v="4"/>
    <n v="1649.02"/>
    <n v="15"/>
    <s v="Cash"/>
    <x v="601"/>
  </r>
  <r>
    <s v="ORD1602"/>
    <x v="406"/>
    <s v="Kristy Hart"/>
    <x v="2"/>
    <x v="1"/>
    <s v="Executive Impressions 13&quot; Clairmont Wall Clock"/>
    <x v="1"/>
    <n v="1405.02"/>
    <n v="10"/>
    <s v="Net Banking"/>
    <x v="602"/>
  </r>
  <r>
    <s v="ORD1603"/>
    <x v="298"/>
    <s v="William Keith"/>
    <x v="3"/>
    <x v="0"/>
    <s v="Acme Hot Forged Carbon Steel Scissors with Nickel-Plated Handles, 3 7/8&quot; Cut, 8&quot;L"/>
    <x v="7"/>
    <n v="1088.3599999999999"/>
    <n v="0"/>
    <s v="Credit Card"/>
    <x v="603"/>
  </r>
  <r>
    <s v="ORD1604"/>
    <x v="302"/>
    <s v="Eric Henry Jr."/>
    <x v="2"/>
    <x v="2"/>
    <s v="Accessory36"/>
    <x v="7"/>
    <n v="925.26"/>
    <n v="5"/>
    <s v="Credit Card"/>
    <x v="604"/>
  </r>
  <r>
    <s v="ORD1605"/>
    <x v="88"/>
    <s v="Daniel Fox"/>
    <x v="1"/>
    <x v="0"/>
    <s v="Rediform Wirebound &quot;Phone Memo&quot; Message Book, 11 x 5-3/4"/>
    <x v="2"/>
    <n v="214.57"/>
    <n v="0"/>
    <s v="Credit Card"/>
    <x v="605"/>
  </r>
  <r>
    <s v="ORD1606"/>
    <x v="280"/>
    <s v="Thomas Harris"/>
    <x v="1"/>
    <x v="0"/>
    <s v="Southworth 25% Cotton Linen-Finish Paper &amp; Envelopes"/>
    <x v="6"/>
    <n v="828.77"/>
    <n v="20"/>
    <s v="Net Banking"/>
    <x v="606"/>
  </r>
  <r>
    <s v="ORD1607"/>
    <x v="407"/>
    <s v="Mitchell Sellers"/>
    <x v="3"/>
    <x v="2"/>
    <s v="Fellowes Internet Keyboard, Platinum"/>
    <x v="2"/>
    <n v="1824.76"/>
    <n v="10"/>
    <s v="Cash"/>
    <x v="607"/>
  </r>
  <r>
    <s v="ORD1608"/>
    <x v="408"/>
    <s v="Erica Johnson"/>
    <x v="1"/>
    <x v="0"/>
    <s v="Snap-A-Way® Black Print Carbonless Ruled Speed Letter, Triplicate"/>
    <x v="0"/>
    <n v="1625.64"/>
    <n v="0"/>
    <s v="Credit Card"/>
    <x v="608"/>
  </r>
  <r>
    <s v="ORD1609"/>
    <x v="354"/>
    <s v="Sylvia Schroeder"/>
    <x v="3"/>
    <x v="0"/>
    <s v="GBC Laser Imprintable Binding System Covers, Desert Sand"/>
    <x v="6"/>
    <n v="471.3"/>
    <n v="15"/>
    <s v="Net Banking"/>
    <x v="609"/>
  </r>
  <r>
    <s v="ORD1610"/>
    <x v="409"/>
    <s v="Shannon Yu"/>
    <x v="1"/>
    <x v="0"/>
    <s v="Eldon® Gobal File Keepers"/>
    <x v="5"/>
    <n v="959.89"/>
    <n v="10"/>
    <s v="Net Banking"/>
    <x v="610"/>
  </r>
  <r>
    <s v="ORD1611"/>
    <x v="2"/>
    <s v="Tom Foster"/>
    <x v="1"/>
    <x v="0"/>
    <s v="Sanyo Counter Height Refrigerator with Crisper, 3.6 Cubic Foot, Stainless Steel/Black"/>
    <x v="5"/>
    <n v="1642.61"/>
    <n v="15"/>
    <s v="UPI"/>
    <x v="611"/>
  </r>
  <r>
    <s v="ORD1612"/>
    <x v="410"/>
    <s v="Eric Taylor"/>
    <x v="3"/>
    <x v="0"/>
    <s v="Sanyo Counter Height Refrigerator with Crisper, 3.6 Cubic Foot, Stainless Steel/Black"/>
    <x v="4"/>
    <n v="181.4"/>
    <n v="0"/>
    <s v="Credit Card"/>
    <x v="612"/>
  </r>
  <r>
    <s v="ORD1613"/>
    <x v="8"/>
    <s v="Travis Conner"/>
    <x v="1"/>
    <x v="0"/>
    <s v="Telephone Message Books with Fax/Mobile Section, 5 1/2&quot; x 3 3/16&quot;"/>
    <x v="6"/>
    <n v="805.42"/>
    <n v="10"/>
    <s v="Net Banking"/>
    <x v="613"/>
  </r>
  <r>
    <s v="ORD1614"/>
    <x v="104"/>
    <s v="Marie Thompson"/>
    <x v="1"/>
    <x v="0"/>
    <s v="Acme® Forged Steel Scissors with Black Enamel Handles"/>
    <x v="7"/>
    <n v="1711.09"/>
    <n v="15"/>
    <s v="Cash"/>
    <x v="614"/>
  </r>
  <r>
    <s v="ORD1615"/>
    <x v="411"/>
    <s v="Melissa Mcfarland"/>
    <x v="1"/>
    <x v="1"/>
    <s v="Hon Olson Stacker Stools"/>
    <x v="5"/>
    <n v="837.6"/>
    <n v="20"/>
    <s v="Net Banking"/>
    <x v="615"/>
  </r>
  <r>
    <s v="ORD1616"/>
    <x v="412"/>
    <s v="Courtney Chapman"/>
    <x v="2"/>
    <x v="0"/>
    <s v="Acme® Forged Steel Scissors with Black Enamel Handles"/>
    <x v="3"/>
    <n v="201.35"/>
    <n v="20"/>
    <s v="Net Banking"/>
    <x v="616"/>
  </r>
  <r>
    <s v="ORD1617"/>
    <x v="406"/>
    <s v="Eric Barker"/>
    <x v="0"/>
    <x v="0"/>
    <s v="GBC Wire Binding Strips"/>
    <x v="8"/>
    <n v="1107.94"/>
    <n v="0"/>
    <s v="UPI"/>
    <x v="617"/>
  </r>
  <r>
    <s v="ORD1618"/>
    <x v="268"/>
    <s v="Nicholas Rush"/>
    <x v="2"/>
    <x v="0"/>
    <s v="Telephone Message Books with Fax/Mobile Section, 5 1/2&quot; x 3 3/16&quot;"/>
    <x v="7"/>
    <n v="1730.4"/>
    <n v="10"/>
    <s v="Credit Card"/>
    <x v="618"/>
  </r>
  <r>
    <s v="ORD1619"/>
    <x v="413"/>
    <s v="Jenna Gamble"/>
    <x v="1"/>
    <x v="2"/>
    <s v="Talkabout T8367"/>
    <x v="0"/>
    <n v="1201.06"/>
    <n v="5"/>
    <s v="Net Banking"/>
    <x v="619"/>
  </r>
  <r>
    <s v="ORD1620"/>
    <x v="92"/>
    <s v="Amanda Guzman"/>
    <x v="0"/>
    <x v="1"/>
    <s v="Westinghouse Clip-On Gooseneck Lamps"/>
    <x v="3"/>
    <n v="491.24"/>
    <n v="10"/>
    <s v="Cash"/>
    <x v="620"/>
  </r>
  <r>
    <s v="ORD1621"/>
    <x v="302"/>
    <s v="Tracy Walker"/>
    <x v="2"/>
    <x v="1"/>
    <s v="Atlantic Metals Mobile 5-Shelf Bookcases, Custom Colors"/>
    <x v="3"/>
    <n v="799.27"/>
    <n v="20"/>
    <s v="UPI"/>
    <x v="621"/>
  </r>
  <r>
    <s v="ORD1622"/>
    <x v="414"/>
    <s v="Taylor Taylor"/>
    <x v="2"/>
    <x v="2"/>
    <s v="Epson DFX-8500 Dot Matrix Printer"/>
    <x v="6"/>
    <n v="927.74"/>
    <n v="15"/>
    <s v="Net Banking"/>
    <x v="622"/>
  </r>
  <r>
    <s v="ORD1623"/>
    <x v="407"/>
    <s v="Cynthia Haas"/>
    <x v="2"/>
    <x v="0"/>
    <s v="Avery 498"/>
    <x v="4"/>
    <n v="1179.57"/>
    <n v="5"/>
    <s v="Cash"/>
    <x v="623"/>
  </r>
  <r>
    <s v="ORD1624"/>
    <x v="234"/>
    <s v="Stephen Davis"/>
    <x v="3"/>
    <x v="2"/>
    <s v="Accessory6"/>
    <x v="0"/>
    <n v="1530.73"/>
    <n v="0"/>
    <s v="Credit Card"/>
    <x v="624"/>
  </r>
  <r>
    <s v="ORD1625"/>
    <x v="93"/>
    <s v="Margaret Tanner"/>
    <x v="1"/>
    <x v="0"/>
    <s v="Space Solutions Commercial Steel Shelving"/>
    <x v="5"/>
    <n v="242.8"/>
    <n v="5"/>
    <s v="UPI"/>
    <x v="625"/>
  </r>
  <r>
    <s v="ORD1626"/>
    <x v="415"/>
    <s v="Derek Wright"/>
    <x v="1"/>
    <x v="0"/>
    <s v="Southworth 25% Cotton Premium Laser Paper and Envelopes"/>
    <x v="6"/>
    <n v="1784.82"/>
    <n v="0"/>
    <s v="Net Banking"/>
    <x v="626"/>
  </r>
  <r>
    <s v="ORD1627"/>
    <x v="416"/>
    <s v="David Rodriguez"/>
    <x v="0"/>
    <x v="2"/>
    <s v="Timeport L7089"/>
    <x v="5"/>
    <n v="74"/>
    <n v="5"/>
    <s v="UPI"/>
    <x v="627"/>
  </r>
  <r>
    <s v="ORD1628"/>
    <x v="28"/>
    <s v="James Oconnor"/>
    <x v="2"/>
    <x v="0"/>
    <s v="Angle-D Binders with Locking Rings, Label Holders"/>
    <x v="6"/>
    <n v="771.6"/>
    <n v="0"/>
    <s v="Cash"/>
    <x v="628"/>
  </r>
  <r>
    <s v="ORD1629"/>
    <x v="369"/>
    <s v="Stacey Snyder"/>
    <x v="1"/>
    <x v="2"/>
    <s v="5165"/>
    <x v="6"/>
    <n v="103.47"/>
    <n v="0"/>
    <s v="Credit Card"/>
    <x v="629"/>
  </r>
  <r>
    <s v="ORD1630"/>
    <x v="417"/>
    <s v="Joshua Garcia"/>
    <x v="2"/>
    <x v="1"/>
    <s v="Rush Hierlooms Collection Rich Wood Bookcases"/>
    <x v="6"/>
    <n v="816.3"/>
    <n v="5"/>
    <s v="Credit Card"/>
    <x v="630"/>
  </r>
  <r>
    <s v="ORD1631"/>
    <x v="219"/>
    <s v="Sean Curtis"/>
    <x v="1"/>
    <x v="0"/>
    <s v="Eureka Disposable Bags for Sanitaire® Vibra Groomer I® Upright Vac"/>
    <x v="4"/>
    <n v="1075.33"/>
    <n v="5"/>
    <s v="Credit Card"/>
    <x v="631"/>
  </r>
  <r>
    <s v="ORD1632"/>
    <x v="335"/>
    <s v="Carla Jones"/>
    <x v="2"/>
    <x v="0"/>
    <s v="Plymouth Boxed Rubber Bands by Plymouth"/>
    <x v="6"/>
    <n v="1047.78"/>
    <n v="0"/>
    <s v="Credit Card"/>
    <x v="632"/>
  </r>
  <r>
    <s v="ORD1633"/>
    <x v="418"/>
    <s v="Elizabeth Flores"/>
    <x v="1"/>
    <x v="0"/>
    <s v="Important Message Pads, 50 4-1/4 x 5-1/2 Forms per Pad"/>
    <x v="1"/>
    <n v="372.98"/>
    <n v="20"/>
    <s v="Net Banking"/>
    <x v="633"/>
  </r>
  <r>
    <s v="ORD1634"/>
    <x v="419"/>
    <s v="Angela Jackson"/>
    <x v="0"/>
    <x v="0"/>
    <s v="Avery Printable Repositionable Plastic Tabs"/>
    <x v="8"/>
    <n v="1309.19"/>
    <n v="5"/>
    <s v="Cash"/>
    <x v="634"/>
  </r>
  <r>
    <s v="ORD1635"/>
    <x v="420"/>
    <s v="Nicholas Payne"/>
    <x v="2"/>
    <x v="2"/>
    <s v="Canon Imageclass D680 Copier / Fax"/>
    <x v="5"/>
    <n v="137.32"/>
    <n v="10"/>
    <s v="UPI"/>
    <x v="446"/>
  </r>
  <r>
    <s v="ORD1636"/>
    <x v="421"/>
    <s v="Anna Wheeler"/>
    <x v="1"/>
    <x v="0"/>
    <s v="HP Office Recycled Paper (20Lb. and 87 Bright)"/>
    <x v="7"/>
    <n v="1535.72"/>
    <n v="15"/>
    <s v="Net Banking"/>
    <x v="635"/>
  </r>
  <r>
    <s v="ORD1637"/>
    <x v="361"/>
    <s v="Karen Johnson"/>
    <x v="0"/>
    <x v="0"/>
    <s v="#10- 4 1/8&quot; x 9 1/2&quot; Security-Tint Envelopes"/>
    <x v="2"/>
    <n v="1895.96"/>
    <n v="0"/>
    <s v="UPI"/>
    <x v="636"/>
  </r>
  <r>
    <s v="ORD1638"/>
    <x v="191"/>
    <s v="Carmen Preston"/>
    <x v="0"/>
    <x v="2"/>
    <s v="Logitech Internet Navigator Keyboard"/>
    <x v="0"/>
    <n v="712.55"/>
    <n v="0"/>
    <s v="Credit Card"/>
    <x v="637"/>
  </r>
  <r>
    <s v="ORD1639"/>
    <x v="422"/>
    <s v="Brian Harris"/>
    <x v="1"/>
    <x v="0"/>
    <s v="Xerox 1897"/>
    <x v="4"/>
    <n v="1058.6199999999999"/>
    <n v="15"/>
    <s v="Cash"/>
    <x v="638"/>
  </r>
  <r>
    <s v="ORD1640"/>
    <x v="353"/>
    <s v="Michael Bowen"/>
    <x v="2"/>
    <x v="0"/>
    <s v="#10- 4 1/8&quot; x 9 1/2&quot; Security-Tint Envelopes"/>
    <x v="7"/>
    <n v="788.88"/>
    <n v="20"/>
    <s v="Net Banking"/>
    <x v="639"/>
  </r>
  <r>
    <s v="ORD1641"/>
    <x v="423"/>
    <s v="Deborah Campbell"/>
    <x v="3"/>
    <x v="0"/>
    <s v="C-Line Peel &amp; Stick Add-On Filing Pockets, 8-3/4 x 5-1/8, 10/Pack"/>
    <x v="3"/>
    <n v="63.09"/>
    <n v="15"/>
    <s v="UPI"/>
    <x v="640"/>
  </r>
  <r>
    <s v="ORD1642"/>
    <x v="424"/>
    <s v="Anthony Armstrong"/>
    <x v="0"/>
    <x v="0"/>
    <s v="Avery Printable Repositionable Plastic Tabs"/>
    <x v="1"/>
    <n v="802.46"/>
    <n v="5"/>
    <s v="UPI"/>
    <x v="641"/>
  </r>
  <r>
    <s v="ORD1643"/>
    <x v="425"/>
    <s v="Brittany Ward"/>
    <x v="0"/>
    <x v="2"/>
    <s v="Canon Imageclass D680 Copier / Fax"/>
    <x v="2"/>
    <n v="1593.85"/>
    <n v="15"/>
    <s v="Net Banking"/>
    <x v="642"/>
  </r>
  <r>
    <s v="ORD1644"/>
    <x v="182"/>
    <s v="Edward Stanley"/>
    <x v="1"/>
    <x v="2"/>
    <s v="Logitech Internet Navigator Keyboard"/>
    <x v="7"/>
    <n v="1212.18"/>
    <n v="0"/>
    <s v="UPI"/>
    <x v="643"/>
  </r>
  <r>
    <s v="ORD1645"/>
    <x v="426"/>
    <s v="Christina Johnson"/>
    <x v="3"/>
    <x v="0"/>
    <s v="Xerox 1897"/>
    <x v="7"/>
    <n v="247.46"/>
    <n v="15"/>
    <s v="UPI"/>
    <x v="644"/>
  </r>
  <r>
    <s v="ORD1646"/>
    <x v="6"/>
    <s v="Edgar Miller"/>
    <x v="3"/>
    <x v="2"/>
    <s v="Epson LQ-570e Dot Matrix Printer"/>
    <x v="1"/>
    <n v="1701.92"/>
    <n v="10"/>
    <s v="Net Banking"/>
    <x v="645"/>
  </r>
  <r>
    <s v="ORD1647"/>
    <x v="427"/>
    <s v="Elizabeth Sanders"/>
    <x v="3"/>
    <x v="1"/>
    <s v="Office Star - Mid Back Dual function Ergonomic High Back Chair with 2-Way Adjustable Arms"/>
    <x v="2"/>
    <n v="1085.6199999999999"/>
    <n v="5"/>
    <s v="Cash"/>
    <x v="646"/>
  </r>
  <r>
    <s v="ORD1648"/>
    <x v="214"/>
    <s v="Matthew Davis MD"/>
    <x v="1"/>
    <x v="0"/>
    <s v="Hoover WindTunnel™ Plus Canister Vacuum"/>
    <x v="3"/>
    <n v="1691.36"/>
    <n v="15"/>
    <s v="Net Banking"/>
    <x v="647"/>
  </r>
  <r>
    <s v="ORD1649"/>
    <x v="428"/>
    <s v="Stephen Wood"/>
    <x v="2"/>
    <x v="0"/>
    <s v="Xerox 1939"/>
    <x v="6"/>
    <n v="1181.43"/>
    <n v="0"/>
    <s v="Net Banking"/>
    <x v="648"/>
  </r>
  <r>
    <s v="ORD1650"/>
    <x v="227"/>
    <s v="Dennis Marshall"/>
    <x v="0"/>
    <x v="1"/>
    <s v="Master Giant Foot® Doorstop, Safety Yellow"/>
    <x v="5"/>
    <n v="1141.3900000000001"/>
    <n v="5"/>
    <s v="Cash"/>
    <x v="649"/>
  </r>
  <r>
    <s v="ORD1651"/>
    <x v="429"/>
    <s v="Derrick Brown"/>
    <x v="1"/>
    <x v="0"/>
    <s v="Black Print Carbonless Snap-Off® Rapid Letter, 8 1/2&quot; x 7&quot;"/>
    <x v="3"/>
    <n v="255.26"/>
    <n v="0"/>
    <s v="UPI"/>
    <x v="650"/>
  </r>
  <r>
    <s v="ORD1652"/>
    <x v="33"/>
    <s v="Mary Miller"/>
    <x v="3"/>
    <x v="0"/>
    <s v="White GlueTop Scratch Pads"/>
    <x v="6"/>
    <n v="376.35"/>
    <n v="20"/>
    <s v="Net Banking"/>
    <x v="651"/>
  </r>
  <r>
    <s v="ORD1653"/>
    <x v="302"/>
    <s v="Joshua Arellano"/>
    <x v="0"/>
    <x v="2"/>
    <s v="2180"/>
    <x v="4"/>
    <n v="1945.45"/>
    <n v="10"/>
    <s v="UPI"/>
    <x v="652"/>
  </r>
  <r>
    <s v="ORD1654"/>
    <x v="208"/>
    <s v="Kristen Randall"/>
    <x v="0"/>
    <x v="1"/>
    <s v="Bush Westfield Collection Bookcases, Fully Assembled"/>
    <x v="8"/>
    <n v="495.55"/>
    <n v="20"/>
    <s v="UPI"/>
    <x v="653"/>
  </r>
  <r>
    <s v="ORD1655"/>
    <x v="79"/>
    <s v="Jennifer Nichols"/>
    <x v="3"/>
    <x v="0"/>
    <s v="Staples #10 Laser &amp; Inkjet Envelopes, 4 1/8&quot; x 9 1/2&quot;, 100/Box"/>
    <x v="0"/>
    <n v="1956.03"/>
    <n v="10"/>
    <s v="UPI"/>
    <x v="654"/>
  </r>
  <r>
    <s v="ORD1656"/>
    <x v="33"/>
    <s v="Karen Keith"/>
    <x v="3"/>
    <x v="2"/>
    <s v="5125"/>
    <x v="0"/>
    <n v="1087.23"/>
    <n v="15"/>
    <s v="Net Banking"/>
    <x v="655"/>
  </r>
  <r>
    <s v="ORD1657"/>
    <x v="430"/>
    <s v="Blake Orr"/>
    <x v="0"/>
    <x v="0"/>
    <s v="Hoover Portapower™ Portable Vacuum"/>
    <x v="5"/>
    <n v="314.79000000000002"/>
    <n v="5"/>
    <s v="Cash"/>
    <x v="656"/>
  </r>
  <r>
    <s v="ORD1658"/>
    <x v="431"/>
    <s v="Kathryn Lester"/>
    <x v="0"/>
    <x v="1"/>
    <s v="Global Leather Executive Chair"/>
    <x v="2"/>
    <n v="243.64"/>
    <n v="15"/>
    <s v="Credit Card"/>
    <x v="657"/>
  </r>
  <r>
    <s v="ORD1659"/>
    <x v="145"/>
    <s v="Megan Oliver"/>
    <x v="2"/>
    <x v="2"/>
    <s v="Targus USB Numeric Keypad"/>
    <x v="1"/>
    <n v="457.28"/>
    <n v="10"/>
    <s v="Cash"/>
    <x v="658"/>
  </r>
  <r>
    <s v="ORD1660"/>
    <x v="142"/>
    <s v="Peter Thompson"/>
    <x v="2"/>
    <x v="1"/>
    <s v="SAFCO PlanMaster Heigh-Adjustable Drafting Table Base, 43w x 30d x 30-37h, Black"/>
    <x v="2"/>
    <n v="1854.99"/>
    <n v="10"/>
    <s v="Net Banking"/>
    <x v="659"/>
  </r>
  <r>
    <s v="ORD1661"/>
    <x v="432"/>
    <s v="Dr. Rhonda Martinez"/>
    <x v="1"/>
    <x v="0"/>
    <s v="Avery 494"/>
    <x v="1"/>
    <n v="857.59"/>
    <n v="10"/>
    <s v="Cash"/>
    <x v="660"/>
  </r>
  <r>
    <s v="ORD1662"/>
    <x v="433"/>
    <s v="William Graham"/>
    <x v="0"/>
    <x v="2"/>
    <s v="Accessory9"/>
    <x v="2"/>
    <n v="821.1"/>
    <n v="0"/>
    <s v="Credit Card"/>
    <x v="112"/>
  </r>
  <r>
    <s v="ORD1663"/>
    <x v="59"/>
    <s v="Lori Flowers MD"/>
    <x v="2"/>
    <x v="2"/>
    <s v="Polycom ViewStation™ ISDN Videoconferencing Unit"/>
    <x v="8"/>
    <n v="660.75"/>
    <n v="5"/>
    <s v="Cash"/>
    <x v="661"/>
  </r>
  <r>
    <s v="ORD1664"/>
    <x v="434"/>
    <s v="Suzanne Jones"/>
    <x v="0"/>
    <x v="0"/>
    <s v="Harmony HEPA Quiet Air Purifiers"/>
    <x v="4"/>
    <n v="336.77"/>
    <n v="15"/>
    <s v="Net Banking"/>
    <x v="662"/>
  </r>
  <r>
    <s v="ORD1665"/>
    <x v="366"/>
    <s v="James Nguyen"/>
    <x v="3"/>
    <x v="2"/>
    <s v="Hewlett-Packard Deskjet 1220Cse Color Inkjet Printer"/>
    <x v="4"/>
    <n v="1001.31"/>
    <n v="15"/>
    <s v="UPI"/>
    <x v="663"/>
  </r>
  <r>
    <s v="ORD1666"/>
    <x v="435"/>
    <s v="Jimmy Marks"/>
    <x v="2"/>
    <x v="0"/>
    <s v="Belkin 6 Outlet Metallic Surge Strip"/>
    <x v="6"/>
    <n v="303.58999999999997"/>
    <n v="20"/>
    <s v="Credit Card"/>
    <x v="664"/>
  </r>
  <r>
    <s v="ORD1667"/>
    <x v="368"/>
    <s v="Lisa Mills"/>
    <x v="3"/>
    <x v="1"/>
    <s v="Eldon Expressions Punched Metal &amp; Wood Desk Accessories, Pewter &amp; Cherry"/>
    <x v="4"/>
    <n v="1679.19"/>
    <n v="10"/>
    <s v="Cash"/>
    <x v="665"/>
  </r>
  <r>
    <s v="ORD1668"/>
    <x v="203"/>
    <s v="Jason Hernandez"/>
    <x v="3"/>
    <x v="1"/>
    <s v="Staples Plastic Wall Frames"/>
    <x v="4"/>
    <n v="772.27"/>
    <n v="10"/>
    <s v="Net Banking"/>
    <x v="666"/>
  </r>
  <r>
    <s v="ORD1669"/>
    <x v="341"/>
    <s v="Olivia Ayers"/>
    <x v="3"/>
    <x v="0"/>
    <s v="Lock-Up Easel 'Spel-Binder'"/>
    <x v="3"/>
    <n v="780.87"/>
    <n v="10"/>
    <s v="Credit Card"/>
    <x v="667"/>
  </r>
  <r>
    <s v="ORD1670"/>
    <x v="178"/>
    <s v="Kristine Garcia"/>
    <x v="1"/>
    <x v="1"/>
    <s v="Eldon Expressions Punched Metal &amp; Wood Desk Accessories, Pewter &amp; Cherry"/>
    <x v="3"/>
    <n v="974.31"/>
    <n v="15"/>
    <s v="Credit Card"/>
    <x v="668"/>
  </r>
  <r>
    <s v="ORD1671"/>
    <x v="436"/>
    <s v="Joseph Cooper"/>
    <x v="3"/>
    <x v="1"/>
    <s v="Staples Plastic Wall Frames"/>
    <x v="6"/>
    <n v="916.05"/>
    <n v="20"/>
    <s v="Cash"/>
    <x v="669"/>
  </r>
  <r>
    <s v="ORD1672"/>
    <x v="343"/>
    <s v="James Washington"/>
    <x v="1"/>
    <x v="0"/>
    <s v="Ibico Laser Imprintable Binding System Covers"/>
    <x v="5"/>
    <n v="1989.97"/>
    <n v="0"/>
    <s v="Net Banking"/>
    <x v="670"/>
  </r>
  <r>
    <s v="ORD1673"/>
    <x v="437"/>
    <s v="Amanda Hill"/>
    <x v="0"/>
    <x v="0"/>
    <s v="Dixon Ticonderoga Core-Lock Colored Pencils, 48-Color Set"/>
    <x v="3"/>
    <n v="1113.49"/>
    <n v="5"/>
    <s v="Net Banking"/>
    <x v="671"/>
  </r>
  <r>
    <s v="ORD1674"/>
    <x v="281"/>
    <s v="Lee Steele"/>
    <x v="0"/>
    <x v="0"/>
    <s v="Avery Hanging File Binders"/>
    <x v="5"/>
    <n v="221.99"/>
    <n v="0"/>
    <s v="Credit Card"/>
    <x v="672"/>
  </r>
  <r>
    <s v="ORD1675"/>
    <x v="156"/>
    <s v="Steve Rivera"/>
    <x v="2"/>
    <x v="2"/>
    <s v="Zoom V.92 USB External Faxmodem"/>
    <x v="7"/>
    <n v="1233.4100000000001"/>
    <n v="15"/>
    <s v="Credit Card"/>
    <x v="673"/>
  </r>
  <r>
    <s v="ORD1676"/>
    <x v="171"/>
    <s v="Patrick Mccall"/>
    <x v="2"/>
    <x v="0"/>
    <s v="Lock-Up Easel 'Spel-Binder'"/>
    <x v="3"/>
    <n v="345.59"/>
    <n v="10"/>
    <s v="UPI"/>
    <x v="674"/>
  </r>
  <r>
    <s v="ORD1677"/>
    <x v="438"/>
    <s v="Alicia Roth"/>
    <x v="1"/>
    <x v="0"/>
    <s v="Avery Hanging File Binders"/>
    <x v="8"/>
    <n v="110.33"/>
    <n v="5"/>
    <s v="Cash"/>
    <x v="675"/>
  </r>
  <r>
    <s v="ORD1678"/>
    <x v="278"/>
    <s v="Douglas Vasquez"/>
    <x v="0"/>
    <x v="1"/>
    <s v="Hon 4700 Series Mobuis™ Mid-Back Task Chairs with Adjustable Arms"/>
    <x v="6"/>
    <n v="1942.95"/>
    <n v="15"/>
    <s v="UPI"/>
    <x v="676"/>
  </r>
  <r>
    <s v="ORD1679"/>
    <x v="439"/>
    <s v="Annette Melton"/>
    <x v="2"/>
    <x v="0"/>
    <s v="Eldon® Gobal File Keepers"/>
    <x v="7"/>
    <n v="1558.4"/>
    <n v="15"/>
    <s v="Credit Card"/>
    <x v="677"/>
  </r>
  <r>
    <s v="ORD1680"/>
    <x v="319"/>
    <s v="William Ramos"/>
    <x v="2"/>
    <x v="0"/>
    <s v="Ibico Laser Imprintable Binding System Covers"/>
    <x v="8"/>
    <n v="1961.21"/>
    <n v="15"/>
    <s v="Credit Card"/>
    <x v="678"/>
  </r>
  <r>
    <s v="ORD1681"/>
    <x v="440"/>
    <s v="Debra Butler"/>
    <x v="2"/>
    <x v="0"/>
    <s v="Dixon Ticonderoga Core-Lock Colored Pencils, 48-Color Set"/>
    <x v="8"/>
    <n v="981.86"/>
    <n v="5"/>
    <s v="Net Banking"/>
    <x v="679"/>
  </r>
  <r>
    <s v="ORD1682"/>
    <x v="441"/>
    <s v="Chelsea Lewis"/>
    <x v="0"/>
    <x v="2"/>
    <s v="Zoom V.92 USB External Faxmodem"/>
    <x v="8"/>
    <n v="1087.9000000000001"/>
    <n v="5"/>
    <s v="Net Banking"/>
    <x v="680"/>
  </r>
  <r>
    <s v="ORD1683"/>
    <x v="442"/>
    <s v="Natalie Malone"/>
    <x v="2"/>
    <x v="0"/>
    <s v="Avery 497"/>
    <x v="5"/>
    <n v="378.26"/>
    <n v="20"/>
    <s v="UPI"/>
    <x v="681"/>
  </r>
  <r>
    <s v="ORD1684"/>
    <x v="368"/>
    <s v="Samantha Robertson"/>
    <x v="0"/>
    <x v="0"/>
    <s v="Pressboard Covers with Storage Hooks, 9 1/2&quot; x 11&quot;, Light Blue"/>
    <x v="2"/>
    <n v="531.47"/>
    <n v="20"/>
    <s v="Credit Card"/>
    <x v="682"/>
  </r>
  <r>
    <s v="ORD1685"/>
    <x v="443"/>
    <s v="Eric Hunter"/>
    <x v="3"/>
    <x v="2"/>
    <s v="Canon imageCLASS 2200 Advanced Copier"/>
    <x v="7"/>
    <n v="1685.17"/>
    <n v="0"/>
    <s v="Cash"/>
    <x v="683"/>
  </r>
  <r>
    <s v="ORD1686"/>
    <x v="230"/>
    <s v="Samuel Suarez"/>
    <x v="3"/>
    <x v="2"/>
    <s v="Verbatim DVD-RAM, 5.2GB, Rewritable, Type 1, DS"/>
    <x v="1"/>
    <n v="744.56"/>
    <n v="5"/>
    <s v="Net Banking"/>
    <x v="684"/>
  </r>
  <r>
    <s v="ORD1687"/>
    <x v="257"/>
    <s v="Corey Whitaker"/>
    <x v="3"/>
    <x v="0"/>
    <s v="Southworth 25% Cotton Antique Laid Paper &amp; Envelopes"/>
    <x v="7"/>
    <n v="1662.29"/>
    <n v="5"/>
    <s v="Net Banking"/>
    <x v="685"/>
  </r>
  <r>
    <s v="ORD1688"/>
    <x v="263"/>
    <s v="Danielle Bryant"/>
    <x v="1"/>
    <x v="0"/>
    <s v="Newell 312"/>
    <x v="2"/>
    <n v="1432.58"/>
    <n v="5"/>
    <s v="Credit Card"/>
    <x v="686"/>
  </r>
  <r>
    <s v="ORD1689"/>
    <x v="444"/>
    <s v="Michele Hill"/>
    <x v="0"/>
    <x v="1"/>
    <s v="Office Star - Contemporary Task Swivel chair with 2-way adjustable arms, Plum"/>
    <x v="7"/>
    <n v="395.48"/>
    <n v="20"/>
    <s v="Cash"/>
    <x v="687"/>
  </r>
  <r>
    <s v="ORD1690"/>
    <x v="381"/>
    <s v="Kathy Reid"/>
    <x v="2"/>
    <x v="0"/>
    <s v="Acme® Elite Stainless Steel Scissors"/>
    <x v="4"/>
    <n v="1039.52"/>
    <n v="15"/>
    <s v="UPI"/>
    <x v="688"/>
  </r>
  <r>
    <s v="ORD1691"/>
    <x v="445"/>
    <s v="Andre Watson"/>
    <x v="1"/>
    <x v="1"/>
    <s v="Office Star - Contemporary Task Swivel chair with 2-way adjustable arms, Plum"/>
    <x v="1"/>
    <n v="1370.91"/>
    <n v="10"/>
    <s v="Cash"/>
    <x v="689"/>
  </r>
  <r>
    <s v="ORD1692"/>
    <x v="440"/>
    <s v="Cassandra Harrell"/>
    <x v="1"/>
    <x v="0"/>
    <s v="Wilson Jones Hanging View Binder, White, 1&quot;"/>
    <x v="2"/>
    <n v="508.32"/>
    <n v="20"/>
    <s v="Credit Card"/>
    <x v="690"/>
  </r>
  <r>
    <s v="ORD1693"/>
    <x v="305"/>
    <s v="Hannah Martin"/>
    <x v="3"/>
    <x v="2"/>
    <s v="Imation 3.5&quot;, DISKETTE 44766 HGHLD3.52HD/FM, 10/Pack"/>
    <x v="5"/>
    <n v="1669.84"/>
    <n v="5"/>
    <s v="Cash"/>
    <x v="691"/>
  </r>
  <r>
    <s v="ORD1694"/>
    <x v="446"/>
    <s v="Nicole Barker"/>
    <x v="0"/>
    <x v="0"/>
    <s v="Staples Standard Envelopes"/>
    <x v="0"/>
    <n v="1112.4100000000001"/>
    <n v="20"/>
    <s v="Cash"/>
    <x v="692"/>
  </r>
  <r>
    <s v="ORD1695"/>
    <x v="104"/>
    <s v="James Martin"/>
    <x v="2"/>
    <x v="2"/>
    <s v="Imation 3.5&quot;, DISKETTE 44766 HGHLD3.52HD/FM, 10/Pack"/>
    <x v="2"/>
    <n v="372.22"/>
    <n v="0"/>
    <s v="Credit Card"/>
    <x v="693"/>
  </r>
  <r>
    <s v="ORD1696"/>
    <x v="55"/>
    <s v="Traci Vincent"/>
    <x v="1"/>
    <x v="0"/>
    <s v="GBC VeloBinder Electric Binding Machine"/>
    <x v="6"/>
    <n v="1186.82"/>
    <n v="5"/>
    <s v="UPI"/>
    <x v="694"/>
  </r>
  <r>
    <s v="ORD1697"/>
    <x v="135"/>
    <s v="Megan Adams"/>
    <x v="2"/>
    <x v="2"/>
    <s v="Adesso Programmable 142-Key Keyboard"/>
    <x v="2"/>
    <n v="1999.44"/>
    <n v="0"/>
    <s v="Cash"/>
    <x v="695"/>
  </r>
  <r>
    <s v="ORD1698"/>
    <x v="375"/>
    <s v="Alejandro Deleon"/>
    <x v="3"/>
    <x v="2"/>
    <s v="US Robotics 56K V.92 External Faxmodem"/>
    <x v="4"/>
    <n v="343.52"/>
    <n v="5"/>
    <s v="Credit Card"/>
    <x v="696"/>
  </r>
  <r>
    <s v="ORD1699"/>
    <x v="175"/>
    <s v="Alexa Buck"/>
    <x v="0"/>
    <x v="2"/>
    <s v="i470"/>
    <x v="0"/>
    <n v="1642.68"/>
    <n v="20"/>
    <s v="Cash"/>
    <x v="697"/>
  </r>
  <r>
    <s v="ORD1700"/>
    <x v="447"/>
    <s v="Lindsay Smith"/>
    <x v="2"/>
    <x v="1"/>
    <s v="SAFCO Folding Chair Trolley"/>
    <x v="4"/>
    <n v="454.25"/>
    <n v="15"/>
    <s v="Credit Card"/>
    <x v="698"/>
  </r>
  <r>
    <s v="ORD1701"/>
    <x v="370"/>
    <s v="Robert Torres"/>
    <x v="2"/>
    <x v="1"/>
    <s v="Eldon® Expressions™ Wood Desk Accessories, Oak"/>
    <x v="0"/>
    <n v="1575.66"/>
    <n v="10"/>
    <s v="UPI"/>
    <x v="699"/>
  </r>
  <r>
    <s v="ORD1702"/>
    <x v="8"/>
    <s v="Maria Coleman"/>
    <x v="1"/>
    <x v="2"/>
    <s v="Polycom VoiceStation 100"/>
    <x v="6"/>
    <n v="1482.43"/>
    <n v="0"/>
    <s v="Net Banking"/>
    <x v="700"/>
  </r>
  <r>
    <s v="ORD1703"/>
    <x v="92"/>
    <s v="Gregory King"/>
    <x v="2"/>
    <x v="2"/>
    <s v="Phone 918"/>
    <x v="5"/>
    <n v="635.95000000000005"/>
    <n v="20"/>
    <s v="UPI"/>
    <x v="701"/>
  </r>
  <r>
    <s v="ORD1704"/>
    <x v="448"/>
    <s v="Michael Holloway"/>
    <x v="0"/>
    <x v="1"/>
    <s v="Office Star - Mid Back Dual function Ergonomic High Back Chair with 2-Way Adjustable Arms"/>
    <x v="4"/>
    <n v="685.36"/>
    <n v="15"/>
    <s v="Net Banking"/>
    <x v="702"/>
  </r>
  <r>
    <s v="ORD1705"/>
    <x v="449"/>
    <s v="Brian Hunt"/>
    <x v="0"/>
    <x v="0"/>
    <s v="Fellowes PB300 Plastic Comb Binding Machine"/>
    <x v="4"/>
    <n v="1595.42"/>
    <n v="20"/>
    <s v="Net Banking"/>
    <x v="703"/>
  </r>
  <r>
    <s v="ORD1706"/>
    <x v="266"/>
    <s v="Sarah Brooks"/>
    <x v="2"/>
    <x v="2"/>
    <s v="Hewlett-Packard Deskjet 6122 Color Inkjet Printer"/>
    <x v="8"/>
    <n v="949.82"/>
    <n v="0"/>
    <s v="Cash"/>
    <x v="704"/>
  </r>
  <r>
    <s v="ORD1707"/>
    <x v="75"/>
    <s v="Lisa Evans"/>
    <x v="1"/>
    <x v="0"/>
    <s v="Avery Flip-Chart Easel Binder, Black"/>
    <x v="0"/>
    <n v="1475.1"/>
    <n v="10"/>
    <s v="Credit Card"/>
    <x v="705"/>
  </r>
  <r>
    <s v="ORD1708"/>
    <x v="364"/>
    <s v="Arthur Mcneil"/>
    <x v="1"/>
    <x v="1"/>
    <s v="G.E. Halogen Desk Lamp Bulbs"/>
    <x v="3"/>
    <n v="338.57"/>
    <n v="20"/>
    <s v="Credit Card"/>
    <x v="706"/>
  </r>
  <r>
    <s v="ORD1709"/>
    <x v="450"/>
    <s v="Shannon Green"/>
    <x v="3"/>
    <x v="2"/>
    <s v="Hayes Optima 56K V.90 Internal Voice Modem"/>
    <x v="0"/>
    <n v="1712.49"/>
    <n v="5"/>
    <s v="Credit Card"/>
    <x v="707"/>
  </r>
  <r>
    <s v="ORD1710"/>
    <x v="247"/>
    <s v="Stephanie Evans"/>
    <x v="0"/>
    <x v="0"/>
    <s v="Avery Flip-Chart Easel Binder, Black"/>
    <x v="8"/>
    <n v="1436.23"/>
    <n v="15"/>
    <s v="UPI"/>
    <x v="708"/>
  </r>
  <r>
    <s v="ORD1711"/>
    <x v="451"/>
    <s v="Ralph Yoder"/>
    <x v="3"/>
    <x v="1"/>
    <s v="G.E. Halogen Desk Lamp Bulbs"/>
    <x v="7"/>
    <n v="1818.54"/>
    <n v="20"/>
    <s v="UPI"/>
    <x v="709"/>
  </r>
  <r>
    <s v="ORD1712"/>
    <x v="319"/>
    <s v="Rebekah Greene"/>
    <x v="1"/>
    <x v="0"/>
    <s v="Avery Binder Labels"/>
    <x v="0"/>
    <n v="308.13"/>
    <n v="15"/>
    <s v="UPI"/>
    <x v="710"/>
  </r>
  <r>
    <s v="ORD1713"/>
    <x v="364"/>
    <s v="Melanie Griffith"/>
    <x v="3"/>
    <x v="1"/>
    <s v="Hon Every-Day® Chair Series Swivel Task Chairs"/>
    <x v="5"/>
    <n v="1206.3800000000001"/>
    <n v="5"/>
    <s v="UPI"/>
    <x v="711"/>
  </r>
  <r>
    <s v="ORD1714"/>
    <x v="51"/>
    <s v="Yolanda Green"/>
    <x v="1"/>
    <x v="0"/>
    <s v="IBM Multi-Purpose Copy Paper, 8 1/2 x 11&quot;, Case"/>
    <x v="8"/>
    <n v="1218.29"/>
    <n v="10"/>
    <s v="Cash"/>
    <x v="712"/>
  </r>
  <r>
    <s v="ORD1715"/>
    <x v="60"/>
    <s v="James Johnson"/>
    <x v="3"/>
    <x v="0"/>
    <s v="Bionaire Personal Warm Mist Humidifier/Vaporizer"/>
    <x v="7"/>
    <n v="739.25"/>
    <n v="10"/>
    <s v="Cash"/>
    <x v="713"/>
  </r>
  <r>
    <s v="ORD1716"/>
    <x v="166"/>
    <s v="Laura Lee"/>
    <x v="3"/>
    <x v="1"/>
    <s v="Sauder Forest Hills Library, Woodland Oak Finish"/>
    <x v="1"/>
    <n v="944.01"/>
    <n v="5"/>
    <s v="Net Banking"/>
    <x v="714"/>
  </r>
  <r>
    <s v="ORD1717"/>
    <x v="452"/>
    <s v="Courtney Nichols"/>
    <x v="0"/>
    <x v="1"/>
    <s v="Bush Advantage Collection® Round Conference Table"/>
    <x v="8"/>
    <n v="124.06"/>
    <n v="15"/>
    <s v="Net Banking"/>
    <x v="715"/>
  </r>
  <r>
    <s v="ORD1718"/>
    <x v="345"/>
    <s v="Susan Powers"/>
    <x v="0"/>
    <x v="0"/>
    <s v="Economy Binders"/>
    <x v="1"/>
    <n v="1504.43"/>
    <n v="20"/>
    <s v="Credit Card"/>
    <x v="716"/>
  </r>
  <r>
    <s v="ORD1719"/>
    <x v="453"/>
    <s v="Sarah Pittman"/>
    <x v="3"/>
    <x v="0"/>
    <s v="Carina Double Wide Media Storage Towers in Natural &amp; Black"/>
    <x v="4"/>
    <n v="1121.18"/>
    <n v="5"/>
    <s v="UPI"/>
    <x v="717"/>
  </r>
  <r>
    <s v="ORD1720"/>
    <x v="454"/>
    <s v="Catherine Davis"/>
    <x v="1"/>
    <x v="0"/>
    <s v="Advantus Map Pennant Flags and Round Head Tacks"/>
    <x v="8"/>
    <n v="162.6"/>
    <n v="0"/>
    <s v="Cash"/>
    <x v="718"/>
  </r>
  <r>
    <s v="ORD1721"/>
    <x v="455"/>
    <s v="David Stokes"/>
    <x v="1"/>
    <x v="2"/>
    <s v="Hewlett-Packard Deskjet 5550 Color Inkjet Printer"/>
    <x v="6"/>
    <n v="1377.47"/>
    <n v="15"/>
    <s v="Net Banking"/>
    <x v="719"/>
  </r>
  <r>
    <s v="ORD1722"/>
    <x v="456"/>
    <s v="Catherine Frazier"/>
    <x v="0"/>
    <x v="0"/>
    <s v="Letter Slitter"/>
    <x v="1"/>
    <n v="960.23"/>
    <n v="10"/>
    <s v="Credit Card"/>
    <x v="720"/>
  </r>
  <r>
    <s v="ORD1723"/>
    <x v="457"/>
    <s v="Brandon Kelly"/>
    <x v="0"/>
    <x v="0"/>
    <s v="Colored Envelopes"/>
    <x v="5"/>
    <n v="117.2"/>
    <n v="5"/>
    <s v="Credit Card"/>
    <x v="721"/>
  </r>
  <r>
    <s v="ORD1724"/>
    <x v="277"/>
    <s v="Elizabeth French"/>
    <x v="2"/>
    <x v="2"/>
    <s v="Keytronic French Keyboard"/>
    <x v="6"/>
    <n v="1940.74"/>
    <n v="10"/>
    <s v="UPI"/>
    <x v="722"/>
  </r>
  <r>
    <s v="ORD1725"/>
    <x v="309"/>
    <s v="David Carter"/>
    <x v="0"/>
    <x v="0"/>
    <s v="Xerox 1928"/>
    <x v="2"/>
    <n v="1900.77"/>
    <n v="15"/>
    <s v="UPI"/>
    <x v="723"/>
  </r>
  <r>
    <s v="ORD1726"/>
    <x v="458"/>
    <s v="Julie Delacruz"/>
    <x v="1"/>
    <x v="2"/>
    <s v="Sharp EL500L Fraction Calculator"/>
    <x v="2"/>
    <n v="1050.1600000000001"/>
    <n v="10"/>
    <s v="Credit Card"/>
    <x v="724"/>
  </r>
  <r>
    <s v="ORD1727"/>
    <x v="239"/>
    <s v="Terry Jones"/>
    <x v="0"/>
    <x v="1"/>
    <s v="SAFCO Folding Chair Trolley"/>
    <x v="7"/>
    <n v="232.66"/>
    <n v="5"/>
    <s v="UPI"/>
    <x v="725"/>
  </r>
  <r>
    <s v="ORD1728"/>
    <x v="396"/>
    <s v="Kathryn Dillon"/>
    <x v="2"/>
    <x v="2"/>
    <s v="Imation 3.5&quot; DS/HD IBM Formatted Diskettes, 10/Pack"/>
    <x v="4"/>
    <n v="1521.51"/>
    <n v="15"/>
    <s v="UPI"/>
    <x v="726"/>
  </r>
  <r>
    <s v="ORD1729"/>
    <x v="73"/>
    <s v="Edwin Brown"/>
    <x v="3"/>
    <x v="2"/>
    <s v="StarTAC 3000"/>
    <x v="8"/>
    <n v="1009.27"/>
    <n v="0"/>
    <s v="Net Banking"/>
    <x v="727"/>
  </r>
  <r>
    <s v="ORD1730"/>
    <x v="459"/>
    <s v="Brenda Gonzalez"/>
    <x v="3"/>
    <x v="1"/>
    <s v="Hand-Finished Solid Wood Document Frame"/>
    <x v="3"/>
    <n v="639.77"/>
    <n v="5"/>
    <s v="Net Banking"/>
    <x v="728"/>
  </r>
  <r>
    <s v="ORD1731"/>
    <x v="460"/>
    <s v="Keith Knox"/>
    <x v="1"/>
    <x v="0"/>
    <s v="Wilson Jones Ledger-Size, Piano-Hinge Binder, 2&quot;, Blue"/>
    <x v="5"/>
    <n v="1008.27"/>
    <n v="20"/>
    <s v="Net Banking"/>
    <x v="729"/>
  </r>
  <r>
    <s v="ORD1732"/>
    <x v="447"/>
    <s v="Eugene Baldwin"/>
    <x v="2"/>
    <x v="2"/>
    <s v="Okidata ML390 Turbo Dot Matrix Printers"/>
    <x v="1"/>
    <n v="1068.77"/>
    <n v="5"/>
    <s v="Cash"/>
    <x v="730"/>
  </r>
  <r>
    <s v="ORD1733"/>
    <x v="62"/>
    <s v="Katherine Welch"/>
    <x v="3"/>
    <x v="0"/>
    <s v="Wilson Jones Ledger-Size, Piano-Hinge Binder, 2&quot;, Blue"/>
    <x v="6"/>
    <n v="1147.29"/>
    <n v="15"/>
    <s v="UPI"/>
    <x v="731"/>
  </r>
  <r>
    <s v="ORD1734"/>
    <x v="461"/>
    <s v="Mark Smith"/>
    <x v="3"/>
    <x v="1"/>
    <s v="Safco Contoured Stacking Chairs"/>
    <x v="2"/>
    <n v="910.39"/>
    <n v="5"/>
    <s v="Net Banking"/>
    <x v="732"/>
  </r>
  <r>
    <s v="ORD1735"/>
    <x v="462"/>
    <s v="Philip Jackson"/>
    <x v="0"/>
    <x v="2"/>
    <s v="Canon PC-428 Personal Copier"/>
    <x v="5"/>
    <n v="1231.22"/>
    <n v="0"/>
    <s v="Net Banking"/>
    <x v="733"/>
  </r>
  <r>
    <s v="ORD1736"/>
    <x v="463"/>
    <s v="Katherine Gallagher"/>
    <x v="3"/>
    <x v="1"/>
    <s v="Safco Contoured Stacking Chairs"/>
    <x v="3"/>
    <n v="1841.53"/>
    <n v="0"/>
    <s v="Credit Card"/>
    <x v="734"/>
  </r>
  <r>
    <s v="ORD1737"/>
    <x v="464"/>
    <s v="Lucas Schultz"/>
    <x v="1"/>
    <x v="2"/>
    <s v="Canon PC-428 Personal Copier"/>
    <x v="8"/>
    <n v="756.42"/>
    <n v="20"/>
    <s v="Net Banking"/>
    <x v="735"/>
  </r>
  <r>
    <s v="ORD1738"/>
    <x v="465"/>
    <s v="Vincent Reyes"/>
    <x v="3"/>
    <x v="2"/>
    <s v="Canon MP41DH Printing Calculator"/>
    <x v="7"/>
    <n v="1465.15"/>
    <n v="10"/>
    <s v="Credit Card"/>
    <x v="736"/>
  </r>
  <r>
    <s v="ORD1739"/>
    <x v="333"/>
    <s v="Curtis Watson"/>
    <x v="1"/>
    <x v="0"/>
    <s v="Fellowes High-Stak® Drawer Files"/>
    <x v="3"/>
    <n v="1794.18"/>
    <n v="15"/>
    <s v="UPI"/>
    <x v="737"/>
  </r>
  <r>
    <s v="ORD1740"/>
    <x v="345"/>
    <s v="Frank Whitaker"/>
    <x v="1"/>
    <x v="2"/>
    <s v="80 Minute CD-R Spindle, 100/Pack - Staples"/>
    <x v="5"/>
    <n v="939.16"/>
    <n v="15"/>
    <s v="Credit Card"/>
    <x v="738"/>
  </r>
  <r>
    <s v="ORD1741"/>
    <x v="300"/>
    <s v="Michael Sims"/>
    <x v="0"/>
    <x v="2"/>
    <s v="3390"/>
    <x v="3"/>
    <n v="914.74"/>
    <n v="10"/>
    <s v="Net Banking"/>
    <x v="739"/>
  </r>
  <r>
    <s v="ORD1742"/>
    <x v="466"/>
    <s v="Michael Cooper"/>
    <x v="2"/>
    <x v="0"/>
    <s v="Avery 507"/>
    <x v="5"/>
    <n v="1224.1300000000001"/>
    <n v="0"/>
    <s v="Cash"/>
    <x v="740"/>
  </r>
  <r>
    <s v="ORD1743"/>
    <x v="86"/>
    <s v="James Chapman"/>
    <x v="1"/>
    <x v="1"/>
    <s v="Deflect-o Glass Clear Studded Chair Mats"/>
    <x v="5"/>
    <n v="1203.24"/>
    <n v="0"/>
    <s v="Cash"/>
    <x v="741"/>
  </r>
  <r>
    <s v="ORD1744"/>
    <x v="192"/>
    <s v="Rodney Evans"/>
    <x v="3"/>
    <x v="2"/>
    <s v="80 Minute Slim Jewel Case CD-R , 10/Pack - Staples"/>
    <x v="0"/>
    <n v="1622.85"/>
    <n v="5"/>
    <s v="UPI"/>
    <x v="742"/>
  </r>
  <r>
    <s v="ORD1745"/>
    <x v="467"/>
    <s v="Nicholas Carlson"/>
    <x v="3"/>
    <x v="0"/>
    <s v="Wilson Jones 14 Line Acrylic Coated Pressboard Data Binders"/>
    <x v="1"/>
    <n v="979.14"/>
    <n v="20"/>
    <s v="Net Banking"/>
    <x v="743"/>
  </r>
  <r>
    <s v="ORD1746"/>
    <x v="468"/>
    <s v="Stephen Cowan"/>
    <x v="1"/>
    <x v="2"/>
    <s v="Accessory6"/>
    <x v="2"/>
    <n v="1992.44"/>
    <n v="20"/>
    <s v="UPI"/>
    <x v="744"/>
  </r>
  <r>
    <s v="ORD1747"/>
    <x v="119"/>
    <s v="Steven Howard"/>
    <x v="3"/>
    <x v="0"/>
    <s v="Carina Double Wide Media Storage Towers in Natural &amp; Black"/>
    <x v="0"/>
    <n v="165.97"/>
    <n v="20"/>
    <s v="Credit Card"/>
    <x v="745"/>
  </r>
  <r>
    <s v="ORD1748"/>
    <x v="395"/>
    <s v="Travis Hull"/>
    <x v="0"/>
    <x v="0"/>
    <s v="Tennsco Snap-Together Open Shelving Units, Starter Sets and Add-On Units"/>
    <x v="8"/>
    <n v="56.18"/>
    <n v="5"/>
    <s v="UPI"/>
    <x v="746"/>
  </r>
  <r>
    <s v="ORD1749"/>
    <x v="439"/>
    <s v="Darryl Acosta"/>
    <x v="3"/>
    <x v="0"/>
    <s v="Acco Pressboard Covers with Storage Hooks, 14 7/8&quot; x 11&quot;, Light Blue"/>
    <x v="0"/>
    <n v="1298.3900000000001"/>
    <n v="20"/>
    <s v="Cash"/>
    <x v="747"/>
  </r>
  <r>
    <s v="ORD1750"/>
    <x v="436"/>
    <s v="Nicholas Lawrence"/>
    <x v="0"/>
    <x v="0"/>
    <s v="Wilson Jones 14 Line Acrylic Coated Pressboard Data Binders"/>
    <x v="4"/>
    <n v="631.95000000000005"/>
    <n v="10"/>
    <s v="UPI"/>
    <x v="748"/>
  </r>
  <r>
    <s v="ORD1751"/>
    <x v="220"/>
    <s v="Jacob Santos"/>
    <x v="1"/>
    <x v="2"/>
    <s v="Accessory6"/>
    <x v="4"/>
    <n v="518.75"/>
    <n v="5"/>
    <s v="Credit Card"/>
    <x v="749"/>
  </r>
  <r>
    <s v="ORD1752"/>
    <x v="469"/>
    <s v="Shawn Scott"/>
    <x v="1"/>
    <x v="0"/>
    <s v="Carina Double Wide Media Storage Towers in Natural &amp; Black"/>
    <x v="2"/>
    <n v="658.2"/>
    <n v="10"/>
    <s v="Net Banking"/>
    <x v="750"/>
  </r>
  <r>
    <s v="ORD1753"/>
    <x v="470"/>
    <s v="Amber Vang"/>
    <x v="1"/>
    <x v="0"/>
    <s v="Tennsco Snap-Together Open Shelving Units, Starter Sets and Add-On Units"/>
    <x v="3"/>
    <n v="549.29"/>
    <n v="5"/>
    <s v="UPI"/>
    <x v="751"/>
  </r>
  <r>
    <s v="ORD1754"/>
    <x v="471"/>
    <s v="Martha Smith"/>
    <x v="0"/>
    <x v="2"/>
    <s v="Accessory24"/>
    <x v="1"/>
    <n v="110.04"/>
    <n v="20"/>
    <s v="Credit Card"/>
    <x v="752"/>
  </r>
  <r>
    <s v="ORD1755"/>
    <x v="386"/>
    <s v="Jennifer James"/>
    <x v="3"/>
    <x v="0"/>
    <s v="Avery Flip-Chart Easel Binder, Black"/>
    <x v="2"/>
    <n v="1944.49"/>
    <n v="10"/>
    <s v="Cash"/>
    <x v="753"/>
  </r>
  <r>
    <s v="ORD1756"/>
    <x v="386"/>
    <s v="Kara Hernandez"/>
    <x v="0"/>
    <x v="0"/>
    <s v="Perma STOR-ALL™ Hanging File Box, 13 1/8&quot;W x 12 1/4&quot;D x 10 1/2&quot;H"/>
    <x v="5"/>
    <n v="480.45"/>
    <n v="10"/>
    <s v="Net Banking"/>
    <x v="754"/>
  </r>
  <r>
    <s v="ORD1757"/>
    <x v="329"/>
    <s v="Lorraine Turner"/>
    <x v="3"/>
    <x v="2"/>
    <s v="Accessory24"/>
    <x v="6"/>
    <n v="1481.36"/>
    <n v="10"/>
    <s v="UPI"/>
    <x v="755"/>
  </r>
  <r>
    <s v="ORD1758"/>
    <x v="125"/>
    <s v="Mary Nelson"/>
    <x v="3"/>
    <x v="0"/>
    <s v="Fluorescent Highlighters by Dixon"/>
    <x v="1"/>
    <n v="1537.06"/>
    <n v="5"/>
    <s v="UPI"/>
    <x v="756"/>
  </r>
  <r>
    <s v="ORD1759"/>
    <x v="442"/>
    <s v="Breanna Rivas"/>
    <x v="0"/>
    <x v="0"/>
    <s v="Perma STOR-ALL™ Hanging File Box, 13 1/8&quot;W x 12 1/4&quot;D x 10 1/2&quot;H"/>
    <x v="1"/>
    <n v="1862.05"/>
    <n v="15"/>
    <s v="Cash"/>
    <x v="757"/>
  </r>
  <r>
    <s v="ORD1760"/>
    <x v="258"/>
    <s v="Nathan Wilson"/>
    <x v="2"/>
    <x v="2"/>
    <s v="IBM 80 Minute CD-R Spindle, 50/Pack"/>
    <x v="5"/>
    <n v="109.57"/>
    <n v="20"/>
    <s v="UPI"/>
    <x v="758"/>
  </r>
  <r>
    <s v="ORD1761"/>
    <x v="472"/>
    <s v="Brian Gonzalez"/>
    <x v="1"/>
    <x v="0"/>
    <s v="Fluorescent Highlighters by Dixon"/>
    <x v="5"/>
    <n v="1750.49"/>
    <n v="10"/>
    <s v="Cash"/>
    <x v="759"/>
  </r>
  <r>
    <s v="ORD1762"/>
    <x v="452"/>
    <s v="Dennis Mills"/>
    <x v="3"/>
    <x v="0"/>
    <s v="Staples Metal Binder Clips"/>
    <x v="7"/>
    <n v="1078.0899999999999"/>
    <n v="15"/>
    <s v="Cash"/>
    <x v="760"/>
  </r>
  <r>
    <s v="ORD1763"/>
    <x v="399"/>
    <s v="Michael Phillips"/>
    <x v="3"/>
    <x v="1"/>
    <s v="Advantus Panel Wall Certificate Holder - 8.5x11"/>
    <x v="2"/>
    <n v="1283.46"/>
    <n v="20"/>
    <s v="Net Banking"/>
    <x v="761"/>
  </r>
  <r>
    <s v="ORD1764"/>
    <x v="317"/>
    <s v="Jon Clark"/>
    <x v="0"/>
    <x v="2"/>
    <s v="LX 677"/>
    <x v="5"/>
    <n v="1306.72"/>
    <n v="20"/>
    <s v="Cash"/>
    <x v="762"/>
  </r>
  <r>
    <s v="ORD1765"/>
    <x v="473"/>
    <s v="Erin Smith"/>
    <x v="2"/>
    <x v="1"/>
    <s v="Executive Impressions 12&quot; Wall Clock"/>
    <x v="4"/>
    <n v="1648.61"/>
    <n v="10"/>
    <s v="Cash"/>
    <x v="763"/>
  </r>
  <r>
    <s v="ORD1766"/>
    <x v="265"/>
    <s v="Susan Conley"/>
    <x v="1"/>
    <x v="0"/>
    <s v="Avery 491"/>
    <x v="8"/>
    <n v="700.14"/>
    <n v="10"/>
    <s v="Cash"/>
    <x v="764"/>
  </r>
  <r>
    <s v="ORD1767"/>
    <x v="474"/>
    <s v="Brittany Davis"/>
    <x v="2"/>
    <x v="0"/>
    <s v="Avery White Multi-Purpose Labels"/>
    <x v="6"/>
    <n v="1479.45"/>
    <n v="5"/>
    <s v="UPI"/>
    <x v="765"/>
  </r>
  <r>
    <s v="ORD1768"/>
    <x v="475"/>
    <s v="Misty Garcia"/>
    <x v="1"/>
    <x v="2"/>
    <s v="Timeport L7089"/>
    <x v="2"/>
    <n v="1080.73"/>
    <n v="15"/>
    <s v="Cash"/>
    <x v="766"/>
  </r>
  <r>
    <s v="ORD1769"/>
    <x v="476"/>
    <s v="David Hinton"/>
    <x v="3"/>
    <x v="2"/>
    <s v="Epson C62 Color Inkjet Printer"/>
    <x v="4"/>
    <n v="1597.12"/>
    <n v="15"/>
    <s v="Cash"/>
    <x v="767"/>
  </r>
  <r>
    <s v="ORD1770"/>
    <x v="364"/>
    <s v="John Garcia"/>
    <x v="3"/>
    <x v="1"/>
    <s v="Nu-Dell Leatherette Frames"/>
    <x v="3"/>
    <n v="1981.56"/>
    <n v="10"/>
    <s v="Cash"/>
    <x v="768"/>
  </r>
  <r>
    <s v="ORD1771"/>
    <x v="477"/>
    <s v="Andrew Roberts"/>
    <x v="0"/>
    <x v="0"/>
    <s v="Avery 498"/>
    <x v="5"/>
    <n v="441.27"/>
    <n v="20"/>
    <s v="Cash"/>
    <x v="769"/>
  </r>
  <r>
    <s v="ORD1772"/>
    <x v="68"/>
    <s v="Emily Rodgers"/>
    <x v="0"/>
    <x v="0"/>
    <s v="Xerox 1894"/>
    <x v="5"/>
    <n v="1989.56"/>
    <n v="10"/>
    <s v="UPI"/>
    <x v="770"/>
  </r>
  <r>
    <s v="ORD1773"/>
    <x v="478"/>
    <s v="Peter Williams"/>
    <x v="2"/>
    <x v="2"/>
    <s v="Accessory20"/>
    <x v="1"/>
    <n v="225.13"/>
    <n v="20"/>
    <s v="Cash"/>
    <x v="771"/>
  </r>
  <r>
    <s v="ORD1774"/>
    <x v="18"/>
    <s v="Mary Jackson"/>
    <x v="2"/>
    <x v="0"/>
    <s v="Mead 1st Gear 2&quot; Zipper Binder, Asst. Colors"/>
    <x v="4"/>
    <n v="54.52"/>
    <n v="20"/>
    <s v="Credit Card"/>
    <x v="772"/>
  </r>
  <r>
    <s v="ORD1775"/>
    <x v="479"/>
    <s v="Jeffrey Howell"/>
    <x v="1"/>
    <x v="0"/>
    <s v="Advantus Push Pins, Aluminum Head"/>
    <x v="1"/>
    <n v="136.12"/>
    <n v="10"/>
    <s v="Credit Card"/>
    <x v="773"/>
  </r>
  <r>
    <s v="ORD1776"/>
    <x v="170"/>
    <s v="Anna Briggs"/>
    <x v="0"/>
    <x v="0"/>
    <s v="Xerox 1947"/>
    <x v="7"/>
    <n v="716.48"/>
    <n v="0"/>
    <s v="Credit Card"/>
    <x v="774"/>
  </r>
  <r>
    <s v="ORD1777"/>
    <x v="330"/>
    <s v="James Rivers"/>
    <x v="3"/>
    <x v="2"/>
    <s v="Keytronic French Keyboard"/>
    <x v="1"/>
    <n v="1284.17"/>
    <n v="15"/>
    <s v="Net Banking"/>
    <x v="775"/>
  </r>
  <r>
    <s v="ORD1778"/>
    <x v="480"/>
    <s v="James Jefferson"/>
    <x v="0"/>
    <x v="0"/>
    <s v="Presstex Flexible Ring Binders"/>
    <x v="7"/>
    <n v="184.61"/>
    <n v="20"/>
    <s v="Credit Card"/>
    <x v="776"/>
  </r>
  <r>
    <s v="ORD1779"/>
    <x v="481"/>
    <s v="Mariah Robles"/>
    <x v="2"/>
    <x v="0"/>
    <s v="Staples #10 Laser &amp; Inkjet Envelopes, 4 1/8&quot; x 9 1/2&quot;, 100/Box"/>
    <x v="7"/>
    <n v="61.05"/>
    <n v="20"/>
    <s v="Credit Card"/>
    <x v="777"/>
  </r>
  <r>
    <s v="ORD1780"/>
    <x v="235"/>
    <s v="Michael Brown"/>
    <x v="0"/>
    <x v="0"/>
    <s v="Acco Smartsocket® Color-Coded Six-Outlet AC Adapter Model Surge Protectors"/>
    <x v="5"/>
    <n v="1877.33"/>
    <n v="0"/>
    <s v="Net Banking"/>
    <x v="778"/>
  </r>
  <r>
    <s v="ORD1781"/>
    <x v="55"/>
    <s v="Caitlin Perry"/>
    <x v="3"/>
    <x v="0"/>
    <s v="Avery 498"/>
    <x v="3"/>
    <n v="1652.76"/>
    <n v="5"/>
    <s v="UPI"/>
    <x v="779"/>
  </r>
  <r>
    <s v="ORD1782"/>
    <x v="25"/>
    <s v="Rebekah Gregory"/>
    <x v="0"/>
    <x v="1"/>
    <s v="Eldon Pizzaz™ Desk Accessories"/>
    <x v="1"/>
    <n v="1627.91"/>
    <n v="0"/>
    <s v="UPI"/>
    <x v="780"/>
  </r>
  <r>
    <s v="ORD1783"/>
    <x v="482"/>
    <s v="James Howard"/>
    <x v="2"/>
    <x v="0"/>
    <s v="X-Rack™ File for Hanging Folders"/>
    <x v="4"/>
    <n v="1774.63"/>
    <n v="0"/>
    <s v="Net Banking"/>
    <x v="781"/>
  </r>
  <r>
    <s v="ORD1784"/>
    <x v="427"/>
    <s v="Michael Roberson"/>
    <x v="3"/>
    <x v="0"/>
    <s v="Tripp Lite Isotel 8 Ultra 8 Outlet Metal Surge"/>
    <x v="7"/>
    <n v="1415.07"/>
    <n v="20"/>
    <s v="UPI"/>
    <x v="782"/>
  </r>
  <r>
    <s v="ORD1785"/>
    <x v="76"/>
    <s v="Bianca Knapp"/>
    <x v="1"/>
    <x v="1"/>
    <s v="Eldon Regeneration Recycled Desk Accessories, Smoke"/>
    <x v="5"/>
    <n v="253.59"/>
    <n v="15"/>
    <s v="Net Banking"/>
    <x v="783"/>
  </r>
  <r>
    <s v="ORD1786"/>
    <x v="5"/>
    <s v="Jason Williams"/>
    <x v="1"/>
    <x v="0"/>
    <s v="Staples Metal Binder Clips"/>
    <x v="6"/>
    <n v="828.25"/>
    <n v="0"/>
    <s v="Cash"/>
    <x v="784"/>
  </r>
  <r>
    <s v="ORD1787"/>
    <x v="215"/>
    <s v="Ernest Bush"/>
    <x v="3"/>
    <x v="0"/>
    <s v="Avery 494"/>
    <x v="2"/>
    <n v="1460.14"/>
    <n v="5"/>
    <s v="UPI"/>
    <x v="785"/>
  </r>
  <r>
    <s v="ORD1788"/>
    <x v="483"/>
    <s v="Patricia Ray"/>
    <x v="3"/>
    <x v="0"/>
    <s v="Wirebound Message Forms, Four 2 3/4 x 5 Forms per Page, Pink Paper"/>
    <x v="3"/>
    <n v="596.65"/>
    <n v="10"/>
    <s v="Net Banking"/>
    <x v="786"/>
  </r>
  <r>
    <s v="ORD1789"/>
    <x v="484"/>
    <s v="Vanessa Santiago"/>
    <x v="3"/>
    <x v="2"/>
    <s v="T18"/>
    <x v="0"/>
    <n v="1390.44"/>
    <n v="0"/>
    <s v="Cash"/>
    <x v="787"/>
  </r>
  <r>
    <s v="ORD1790"/>
    <x v="112"/>
    <s v="Joseph Haynes"/>
    <x v="2"/>
    <x v="0"/>
    <s v="Newell 340"/>
    <x v="6"/>
    <n v="97.77"/>
    <n v="0"/>
    <s v="Cash"/>
    <x v="788"/>
  </r>
  <r>
    <s v="ORD1791"/>
    <x v="347"/>
    <s v="Matthew Wright"/>
    <x v="3"/>
    <x v="0"/>
    <s v="Recycled Eldon Regeneration Jumbo File"/>
    <x v="2"/>
    <n v="646.97"/>
    <n v="5"/>
    <s v="Credit Card"/>
    <x v="789"/>
  </r>
  <r>
    <s v="ORD1792"/>
    <x v="307"/>
    <s v="Michael Cruz"/>
    <x v="2"/>
    <x v="0"/>
    <s v="Avery Printable Repositionable Plastic Tabs"/>
    <x v="6"/>
    <n v="1120.8"/>
    <n v="15"/>
    <s v="Net Banking"/>
    <x v="790"/>
  </r>
  <r>
    <s v="ORD1793"/>
    <x v="485"/>
    <s v="Kristin Huerta"/>
    <x v="3"/>
    <x v="2"/>
    <s v="Fellowes 17-key keypad for PS/2 interface"/>
    <x v="1"/>
    <n v="1282.58"/>
    <n v="0"/>
    <s v="Net Banking"/>
    <x v="791"/>
  </r>
  <r>
    <s v="ORD1794"/>
    <x v="486"/>
    <s v="Mason Moore"/>
    <x v="2"/>
    <x v="0"/>
    <s v="Avery Printable Repositionable Plastic Tabs"/>
    <x v="7"/>
    <n v="1175.23"/>
    <n v="0"/>
    <s v="Credit Card"/>
    <x v="792"/>
  </r>
  <r>
    <s v="ORD1795"/>
    <x v="487"/>
    <s v="Sarah Booth"/>
    <x v="2"/>
    <x v="2"/>
    <s v="Fellowes 17-key keypad for PS/2 interface"/>
    <x v="3"/>
    <n v="1410.62"/>
    <n v="15"/>
    <s v="UPI"/>
    <x v="793"/>
  </r>
  <r>
    <s v="ORD1796"/>
    <x v="257"/>
    <s v="John Allen"/>
    <x v="0"/>
    <x v="2"/>
    <s v="g520"/>
    <x v="8"/>
    <n v="61.87"/>
    <n v="5"/>
    <s v="Net Banking"/>
    <x v="794"/>
  </r>
  <r>
    <s v="ORD1797"/>
    <x v="488"/>
    <s v="Amber Walker"/>
    <x v="1"/>
    <x v="0"/>
    <s v="Avery Hi-Liter® Fluorescent Desk Style Markers"/>
    <x v="7"/>
    <n v="246.84"/>
    <n v="0"/>
    <s v="Cash"/>
    <x v="795"/>
  </r>
  <r>
    <s v="ORD1798"/>
    <x v="123"/>
    <s v="Jennifer Young"/>
    <x v="3"/>
    <x v="2"/>
    <s v="g520"/>
    <x v="8"/>
    <n v="1744.44"/>
    <n v="15"/>
    <s v="Net Banking"/>
    <x v="796"/>
  </r>
  <r>
    <s v="ORD1799"/>
    <x v="489"/>
    <s v="Robert West"/>
    <x v="1"/>
    <x v="2"/>
    <s v="Maxell DVD-RAM Discs"/>
    <x v="2"/>
    <n v="1379.41"/>
    <n v="0"/>
    <s v="Credit Card"/>
    <x v="797"/>
  </r>
  <r>
    <s v="ORD1800"/>
    <x v="158"/>
    <s v="Jillian Wilson"/>
    <x v="1"/>
    <x v="1"/>
    <s v="Bretford “Just In Time” Height-Adjustable Multi-Task Work Tables"/>
    <x v="5"/>
    <n v="270.22000000000003"/>
    <n v="10"/>
    <s v="Net Banking"/>
    <x v="798"/>
  </r>
  <r>
    <s v="ORD1801"/>
    <x v="146"/>
    <s v="Matthew Garcia MD"/>
    <x v="0"/>
    <x v="0"/>
    <s v="Bionaire Personal Warm Mist Humidifier/Vaporizer"/>
    <x v="0"/>
    <n v="1692.05"/>
    <n v="20"/>
    <s v="UPI"/>
    <x v="799"/>
  </r>
  <r>
    <s v="ORD1802"/>
    <x v="142"/>
    <s v="April Davis"/>
    <x v="1"/>
    <x v="0"/>
    <s v="*Staples* Highlighting Markers"/>
    <x v="4"/>
    <n v="522.35"/>
    <n v="10"/>
    <s v="Credit Card"/>
    <x v="800"/>
  </r>
  <r>
    <s v="ORD1803"/>
    <x v="355"/>
    <s v="Lisa Torres"/>
    <x v="1"/>
    <x v="1"/>
    <s v="Bevis 36 x 72 Conference Tables"/>
    <x v="7"/>
    <n v="982.61"/>
    <n v="0"/>
    <s v="Credit Card"/>
    <x v="801"/>
  </r>
  <r>
    <s v="ORD1804"/>
    <x v="482"/>
    <s v="Christine Powers"/>
    <x v="3"/>
    <x v="1"/>
    <s v="Global Leather Executive Chair"/>
    <x v="3"/>
    <n v="333.13"/>
    <n v="5"/>
    <s v="Cash"/>
    <x v="802"/>
  </r>
  <r>
    <s v="ORD1805"/>
    <x v="126"/>
    <s v="Heidi Brown"/>
    <x v="2"/>
    <x v="0"/>
    <s v="#10- 4 1/8&quot; x 9 1/2&quot; Recycled Envelopes"/>
    <x v="6"/>
    <n v="1434.71"/>
    <n v="20"/>
    <s v="Net Banking"/>
    <x v="803"/>
  </r>
  <r>
    <s v="ORD1806"/>
    <x v="106"/>
    <s v="Jesse Castro"/>
    <x v="3"/>
    <x v="0"/>
    <s v="Brites Rubber Bands, 1 1/2 oz. Box"/>
    <x v="3"/>
    <n v="1350.37"/>
    <n v="10"/>
    <s v="Credit Card"/>
    <x v="804"/>
  </r>
  <r>
    <s v="ORD1807"/>
    <x v="490"/>
    <s v="Kara Sandoval"/>
    <x v="3"/>
    <x v="0"/>
    <s v="Fellowes Twister Kit, Gray/Clear, 3/pkg"/>
    <x v="2"/>
    <n v="461.67"/>
    <n v="15"/>
    <s v="UPI"/>
    <x v="805"/>
  </r>
  <r>
    <s v="ORD1808"/>
    <x v="491"/>
    <s v="Ashley Malone"/>
    <x v="1"/>
    <x v="2"/>
    <s v="Lexmark 4227 Plus Dot Matrix Printer"/>
    <x v="8"/>
    <n v="1733.63"/>
    <n v="5"/>
    <s v="UPI"/>
    <x v="806"/>
  </r>
  <r>
    <s v="ORD1809"/>
    <x v="170"/>
    <s v="Glenn Gallegos"/>
    <x v="1"/>
    <x v="2"/>
    <s v="i2000"/>
    <x v="6"/>
    <n v="832.55"/>
    <n v="10"/>
    <s v="UPI"/>
    <x v="807"/>
  </r>
  <r>
    <s v="ORD1810"/>
    <x v="150"/>
    <s v="Dorothy Boyd"/>
    <x v="3"/>
    <x v="0"/>
    <s v="Staples #10 Laser &amp; Inkjet Envelopes, 4 1/8&quot; x 9 1/2&quot;, 100/Box"/>
    <x v="4"/>
    <n v="620.4"/>
    <n v="15"/>
    <s v="Cash"/>
    <x v="808"/>
  </r>
  <r>
    <s v="ORD1811"/>
    <x v="383"/>
    <s v="Amber Martin"/>
    <x v="3"/>
    <x v="0"/>
    <s v="Manila Recycled Extra-Heavyweight Clasp Envelopes, 6&quot; x 9&quot;"/>
    <x v="4"/>
    <n v="347.04"/>
    <n v="0"/>
    <s v="UPI"/>
    <x v="809"/>
  </r>
  <r>
    <s v="ORD1812"/>
    <x v="69"/>
    <s v="Mitchell Griffith"/>
    <x v="1"/>
    <x v="0"/>
    <s v="Newell 337"/>
    <x v="7"/>
    <n v="569.03"/>
    <n v="15"/>
    <s v="Cash"/>
    <x v="810"/>
  </r>
  <r>
    <s v="ORD1813"/>
    <x v="181"/>
    <s v="Levi Lopez"/>
    <x v="2"/>
    <x v="1"/>
    <s v="Global Leather and Oak Executive Chair, Black"/>
    <x v="2"/>
    <n v="92.95"/>
    <n v="10"/>
    <s v="UPI"/>
    <x v="811"/>
  </r>
  <r>
    <s v="ORD1814"/>
    <x v="189"/>
    <s v="Jenna Bryant"/>
    <x v="2"/>
    <x v="0"/>
    <s v="Tennsco Lockers, Sand"/>
    <x v="5"/>
    <n v="1187.3499999999999"/>
    <n v="10"/>
    <s v="Net Banking"/>
    <x v="812"/>
  </r>
  <r>
    <s v="ORD1815"/>
    <x v="492"/>
    <s v="Michelle Rodriguez"/>
    <x v="3"/>
    <x v="0"/>
    <s v="Carina 42&quot;Hx23 3/4&quot;W Media Storage Unit"/>
    <x v="2"/>
    <n v="1692.35"/>
    <n v="0"/>
    <s v="UPI"/>
    <x v="813"/>
  </r>
  <r>
    <s v="ORD1816"/>
    <x v="19"/>
    <s v="Timothy Monroe"/>
    <x v="2"/>
    <x v="0"/>
    <s v="Xerox 1894"/>
    <x v="8"/>
    <n v="1120.51"/>
    <n v="15"/>
    <s v="UPI"/>
    <x v="814"/>
  </r>
  <r>
    <s v="ORD1817"/>
    <x v="493"/>
    <s v="Patricia Hayes"/>
    <x v="3"/>
    <x v="0"/>
    <s v="Kensington 7 Outlet MasterPiece Power Center"/>
    <x v="3"/>
    <n v="477.58"/>
    <n v="15"/>
    <s v="Cash"/>
    <x v="815"/>
  </r>
  <r>
    <s v="ORD1818"/>
    <x v="494"/>
    <s v="Tina Taylor"/>
    <x v="0"/>
    <x v="0"/>
    <s v="GBC Pre-Punched Binding Paper, Plastic, White, 8-1/2&quot; x 11&quot;"/>
    <x v="4"/>
    <n v="115.65"/>
    <n v="0"/>
    <s v="Net Banking"/>
    <x v="816"/>
  </r>
  <r>
    <s v="ORD1819"/>
    <x v="489"/>
    <s v="Mr. Anthony Mcconnell PhD"/>
    <x v="1"/>
    <x v="1"/>
    <s v="Howard Miller 13&quot; Diameter Goldtone Round Wall Clock"/>
    <x v="3"/>
    <n v="468.52"/>
    <n v="15"/>
    <s v="Net Banking"/>
    <x v="817"/>
  </r>
  <r>
    <s v="ORD1820"/>
    <x v="231"/>
    <s v="Mr. Thomas Thompson"/>
    <x v="3"/>
    <x v="1"/>
    <s v="Lifetime Advantage™ Folding Chairs, 4/Carton"/>
    <x v="3"/>
    <n v="861.44"/>
    <n v="0"/>
    <s v="Cash"/>
    <x v="818"/>
  </r>
  <r>
    <s v="ORD1821"/>
    <x v="495"/>
    <s v="Monica Anderson"/>
    <x v="3"/>
    <x v="2"/>
    <s v="Accessory34"/>
    <x v="3"/>
    <n v="1531.24"/>
    <n v="5"/>
    <s v="Net Banking"/>
    <x v="819"/>
  </r>
  <r>
    <s v="ORD1822"/>
    <x v="290"/>
    <s v="Kyle Andrade"/>
    <x v="3"/>
    <x v="0"/>
    <s v="GBC Binding covers"/>
    <x v="4"/>
    <n v="416.29"/>
    <n v="10"/>
    <s v="UPI"/>
    <x v="820"/>
  </r>
  <r>
    <s v="ORD1823"/>
    <x v="107"/>
    <s v="Janice Petty"/>
    <x v="2"/>
    <x v="2"/>
    <s v="5180"/>
    <x v="1"/>
    <n v="1453.59"/>
    <n v="5"/>
    <s v="UPI"/>
    <x v="821"/>
  </r>
  <r>
    <s v="ORD1824"/>
    <x v="282"/>
    <s v="Pamela Hill"/>
    <x v="3"/>
    <x v="1"/>
    <s v="O'Sullivan Elevations Bookcase, Cherry Finish"/>
    <x v="8"/>
    <n v="1740.52"/>
    <n v="20"/>
    <s v="Net Banking"/>
    <x v="822"/>
  </r>
  <r>
    <s v="ORD1825"/>
    <x v="496"/>
    <s v="Tracy Chavez"/>
    <x v="0"/>
    <x v="1"/>
    <s v="Eldon Antistatic Chair Mats for Low to Medium Pile Carpets"/>
    <x v="8"/>
    <n v="935.2"/>
    <n v="20"/>
    <s v="UPI"/>
    <x v="823"/>
  </r>
  <r>
    <s v="ORD1826"/>
    <x v="51"/>
    <s v="Jason Graves"/>
    <x v="2"/>
    <x v="1"/>
    <s v="Hon iLevel™ Computer Training Table"/>
    <x v="6"/>
    <n v="1651.79"/>
    <n v="20"/>
    <s v="Net Banking"/>
    <x v="824"/>
  </r>
  <r>
    <s v="ORD1827"/>
    <x v="497"/>
    <s v="Elizabeth Miles"/>
    <x v="1"/>
    <x v="0"/>
    <s v="GBC DocuBind 200 Manual Binding Machine"/>
    <x v="2"/>
    <n v="1131.58"/>
    <n v="0"/>
    <s v="Cash"/>
    <x v="825"/>
  </r>
  <r>
    <s v="ORD1828"/>
    <x v="498"/>
    <s v="Michelle Walls"/>
    <x v="0"/>
    <x v="2"/>
    <s v="Logitech Internet Navigator Keyboard"/>
    <x v="2"/>
    <n v="1292.33"/>
    <n v="15"/>
    <s v="Cash"/>
    <x v="826"/>
  </r>
  <r>
    <s v="ORD1829"/>
    <x v="499"/>
    <s v="Christina Weber"/>
    <x v="3"/>
    <x v="0"/>
    <s v="Fellowes Mighty 8 Compact Surge Protector"/>
    <x v="0"/>
    <n v="1076.24"/>
    <n v="5"/>
    <s v="Cash"/>
    <x v="827"/>
  </r>
  <r>
    <s v="ORD1830"/>
    <x v="500"/>
    <s v="Gregory Chambers"/>
    <x v="0"/>
    <x v="2"/>
    <s v="Memorex Slim 80 Minute CD-R, 10/Pack"/>
    <x v="2"/>
    <n v="953.19"/>
    <n v="5"/>
    <s v="Credit Card"/>
    <x v="828"/>
  </r>
  <r>
    <s v="ORD1831"/>
    <x v="495"/>
    <s v="Miss Tina Gordon"/>
    <x v="3"/>
    <x v="0"/>
    <s v="Recycled Desk Saver Line &quot;While You Were Out&quot; Book, 5 1/2&quot; X 4&quot;"/>
    <x v="4"/>
    <n v="507.57"/>
    <n v="5"/>
    <s v="UPI"/>
    <x v="829"/>
  </r>
  <r>
    <s v="ORD1832"/>
    <x v="360"/>
    <s v="Erica Wilson"/>
    <x v="0"/>
    <x v="0"/>
    <s v="Recycled Desk Saver Line &quot;While You Were Out&quot; Book, 5 1/2&quot; X 4&quot;"/>
    <x v="5"/>
    <n v="641.23"/>
    <n v="5"/>
    <s v="Cash"/>
    <x v="830"/>
  </r>
  <r>
    <s v="ORD1833"/>
    <x v="325"/>
    <s v="John Duncan"/>
    <x v="2"/>
    <x v="1"/>
    <s v="Eldon Expressions™ Desk Accessory, Wood Pencil Holder, Oak"/>
    <x v="7"/>
    <n v="615.44000000000005"/>
    <n v="20"/>
    <s v="Net Banking"/>
    <x v="831"/>
  </r>
  <r>
    <s v="ORD1834"/>
    <x v="403"/>
    <s v="Jennifer Adkins"/>
    <x v="3"/>
    <x v="2"/>
    <s v="US Robotics 56K V.92 External Faxmodem"/>
    <x v="0"/>
    <n v="1148.4100000000001"/>
    <n v="5"/>
    <s v="Net Banking"/>
    <x v="832"/>
  </r>
  <r>
    <s v="ORD1835"/>
    <x v="160"/>
    <s v="Donna Boone"/>
    <x v="2"/>
    <x v="0"/>
    <s v="Fellowes Staxonsteel® Drawer Files"/>
    <x v="7"/>
    <n v="283.91000000000003"/>
    <n v="15"/>
    <s v="Cash"/>
    <x v="833"/>
  </r>
  <r>
    <s v="ORD1836"/>
    <x v="501"/>
    <s v="Kelly Johnson"/>
    <x v="0"/>
    <x v="2"/>
    <s v="Accessory39"/>
    <x v="8"/>
    <n v="1837.74"/>
    <n v="20"/>
    <s v="Cash"/>
    <x v="834"/>
  </r>
  <r>
    <s v="ORD1837"/>
    <x v="222"/>
    <s v="Michael Gonzalez"/>
    <x v="3"/>
    <x v="0"/>
    <s v="Ibico Covers for Plastic or Wire Binding Elements"/>
    <x v="7"/>
    <n v="1455.28"/>
    <n v="5"/>
    <s v="Cash"/>
    <x v="835"/>
  </r>
  <r>
    <s v="ORD1838"/>
    <x v="11"/>
    <s v="Candace Mitchell"/>
    <x v="1"/>
    <x v="0"/>
    <s v="Hanging Personal Folder File"/>
    <x v="7"/>
    <n v="832.82"/>
    <n v="0"/>
    <s v="Net Banking"/>
    <x v="836"/>
  </r>
  <r>
    <s v="ORD1839"/>
    <x v="386"/>
    <s v="Ryan Vaughn"/>
    <x v="1"/>
    <x v="0"/>
    <s v="Tennsco Double-Tier Lockers"/>
    <x v="0"/>
    <n v="359.32"/>
    <n v="10"/>
    <s v="Credit Card"/>
    <x v="837"/>
  </r>
  <r>
    <s v="ORD1840"/>
    <x v="358"/>
    <s v="Paul Johnson"/>
    <x v="3"/>
    <x v="2"/>
    <s v="Epson C82 Color Inkjet Printer"/>
    <x v="6"/>
    <n v="1769.88"/>
    <n v="10"/>
    <s v="Cash"/>
    <x v="838"/>
  </r>
  <r>
    <s v="ORD1841"/>
    <x v="207"/>
    <s v="Ashley Parrish"/>
    <x v="0"/>
    <x v="1"/>
    <s v="Westinghouse Clip-On Gooseneck Lamps"/>
    <x v="3"/>
    <n v="1656.37"/>
    <n v="10"/>
    <s v="Net Banking"/>
    <x v="839"/>
  </r>
  <r>
    <s v="ORD1842"/>
    <x v="175"/>
    <s v="Sharon Newton"/>
    <x v="1"/>
    <x v="0"/>
    <s v="Xerox 1996"/>
    <x v="2"/>
    <n v="1457.36"/>
    <n v="20"/>
    <s v="Net Banking"/>
    <x v="840"/>
  </r>
  <r>
    <s v="ORD1843"/>
    <x v="11"/>
    <s v="Cynthia Mueller"/>
    <x v="3"/>
    <x v="1"/>
    <s v="Eldon® 200 Class™ Desk Accessories, Burgundy"/>
    <x v="2"/>
    <n v="579.52"/>
    <n v="5"/>
    <s v="Cash"/>
    <x v="841"/>
  </r>
  <r>
    <s v="ORD1844"/>
    <x v="21"/>
    <s v="Donna Beck"/>
    <x v="1"/>
    <x v="0"/>
    <s v="Eldon® Gobal File Keepers"/>
    <x v="4"/>
    <n v="834.77"/>
    <n v="20"/>
    <s v="UPI"/>
    <x v="842"/>
  </r>
  <r>
    <s v="ORD1845"/>
    <x v="502"/>
    <s v="Jasmine Frye"/>
    <x v="3"/>
    <x v="0"/>
    <s v="Peel &amp; Stick Add-On Corner Pockets"/>
    <x v="0"/>
    <n v="250.36"/>
    <n v="15"/>
    <s v="Net Banking"/>
    <x v="843"/>
  </r>
  <r>
    <s v="ORD1846"/>
    <x v="198"/>
    <s v="Emily Arnold"/>
    <x v="0"/>
    <x v="0"/>
    <s v="Xerox 21"/>
    <x v="4"/>
    <n v="418.63"/>
    <n v="0"/>
    <s v="UPI"/>
    <x v="844"/>
  </r>
  <r>
    <s v="ORD1847"/>
    <x v="503"/>
    <s v="David Oliver"/>
    <x v="0"/>
    <x v="1"/>
    <s v="BPI Conference Tables"/>
    <x v="5"/>
    <n v="1576.88"/>
    <n v="0"/>
    <s v="UPI"/>
    <x v="845"/>
  </r>
  <r>
    <s v="ORD1848"/>
    <x v="466"/>
    <s v="Sheila Greer"/>
    <x v="2"/>
    <x v="0"/>
    <s v="Avery 487"/>
    <x v="5"/>
    <n v="1444.33"/>
    <n v="10"/>
    <s v="Credit Card"/>
    <x v="846"/>
  </r>
  <r>
    <s v="ORD1849"/>
    <x v="504"/>
    <s v="Michele Holland"/>
    <x v="1"/>
    <x v="0"/>
    <s v="Quartet Omega® Colored Chalk, 12/Pack"/>
    <x v="4"/>
    <n v="1207.3"/>
    <n v="10"/>
    <s v="Net Banking"/>
    <x v="847"/>
  </r>
  <r>
    <s v="ORD1850"/>
    <x v="505"/>
    <s v="Kimberly Morrison"/>
    <x v="2"/>
    <x v="2"/>
    <s v="StarTAC 8000"/>
    <x v="0"/>
    <n v="1796.67"/>
    <n v="10"/>
    <s v="Credit Card"/>
    <x v="848"/>
  </r>
  <r>
    <s v="ORD1851"/>
    <x v="415"/>
    <s v="Tracey Phillips"/>
    <x v="0"/>
    <x v="2"/>
    <s v="Accessory4"/>
    <x v="4"/>
    <n v="1187.3699999999999"/>
    <n v="5"/>
    <s v="Cash"/>
    <x v="849"/>
  </r>
  <r>
    <s v="ORD1852"/>
    <x v="506"/>
    <s v="Michael Lopez"/>
    <x v="3"/>
    <x v="0"/>
    <s v="Avery Legal 4-Ring Binder"/>
    <x v="2"/>
    <n v="960.59"/>
    <n v="15"/>
    <s v="Credit Card"/>
    <x v="850"/>
  </r>
  <r>
    <s v="ORD1853"/>
    <x v="70"/>
    <s v="Jose Bennett"/>
    <x v="0"/>
    <x v="0"/>
    <s v="Xerox 1888"/>
    <x v="1"/>
    <n v="713.72"/>
    <n v="15"/>
    <s v="Cash"/>
    <x v="851"/>
  </r>
  <r>
    <s v="ORD1854"/>
    <x v="507"/>
    <s v="Justin Anderson"/>
    <x v="0"/>
    <x v="1"/>
    <s v="Global High-Back Leather Tilter, Burgundy"/>
    <x v="7"/>
    <n v="1883.87"/>
    <n v="15"/>
    <s v="UPI"/>
    <x v="852"/>
  </r>
  <r>
    <s v="ORD1855"/>
    <x v="508"/>
    <s v="Dawn Rivera"/>
    <x v="3"/>
    <x v="0"/>
    <s v="Xerox 188"/>
    <x v="1"/>
    <n v="211.3"/>
    <n v="15"/>
    <s v="Net Banking"/>
    <x v="853"/>
  </r>
  <r>
    <s v="ORD1856"/>
    <x v="509"/>
    <s v="Brittney Hernandez"/>
    <x v="2"/>
    <x v="0"/>
    <s v="Boston School Pro Electric Pencil Sharpener, 1670"/>
    <x v="0"/>
    <n v="1865.23"/>
    <n v="10"/>
    <s v="Credit Card"/>
    <x v="854"/>
  </r>
  <r>
    <s v="ORD1857"/>
    <x v="170"/>
    <s v="Anthony Randolph"/>
    <x v="1"/>
    <x v="2"/>
    <s v="8860"/>
    <x v="1"/>
    <n v="1662.09"/>
    <n v="0"/>
    <s v="Net Banking"/>
    <x v="855"/>
  </r>
  <r>
    <s v="ORD1858"/>
    <x v="234"/>
    <s v="Mary Henry"/>
    <x v="0"/>
    <x v="2"/>
    <s v="Microsoft Natural Multimedia Keyboard"/>
    <x v="5"/>
    <n v="303.36"/>
    <n v="10"/>
    <s v="UPI"/>
    <x v="856"/>
  </r>
  <r>
    <s v="ORD1859"/>
    <x v="510"/>
    <s v="Heather Bowers"/>
    <x v="0"/>
    <x v="0"/>
    <s v="GBC DocuBind 300 Electric Binding Machine"/>
    <x v="8"/>
    <n v="1151.72"/>
    <n v="15"/>
    <s v="UPI"/>
    <x v="857"/>
  </r>
  <r>
    <s v="ORD1860"/>
    <x v="511"/>
    <s v="Daniel White"/>
    <x v="1"/>
    <x v="0"/>
    <s v="Avery 508"/>
    <x v="7"/>
    <n v="1739.77"/>
    <n v="10"/>
    <s v="UPI"/>
    <x v="858"/>
  </r>
  <r>
    <s v="ORD1861"/>
    <x v="43"/>
    <s v="Jonathan Perry"/>
    <x v="0"/>
    <x v="2"/>
    <s v="Maxell 3.5&quot; DS/HD IBM-Formatted Diskettes, 10/Pack"/>
    <x v="3"/>
    <n v="1165.03"/>
    <n v="15"/>
    <s v="UPI"/>
    <x v="859"/>
  </r>
  <r>
    <s v="ORD1862"/>
    <x v="211"/>
    <s v="Anna Walker"/>
    <x v="1"/>
    <x v="0"/>
    <s v="Riverleaf Stik-Withit® Designer Note Cubes®"/>
    <x v="0"/>
    <n v="1819.04"/>
    <n v="20"/>
    <s v="UPI"/>
    <x v="860"/>
  </r>
  <r>
    <s v="ORD1863"/>
    <x v="189"/>
    <s v="Gary Ward"/>
    <x v="1"/>
    <x v="2"/>
    <s v="Canon Image Class D660 Copier"/>
    <x v="7"/>
    <n v="1888.82"/>
    <n v="0"/>
    <s v="UPI"/>
    <x v="861"/>
  </r>
  <r>
    <s v="ORD1864"/>
    <x v="512"/>
    <s v="Paul Moreno"/>
    <x v="1"/>
    <x v="0"/>
    <s v="Portfile® Personal File Boxes"/>
    <x v="1"/>
    <n v="873.65"/>
    <n v="20"/>
    <s v="Credit Card"/>
    <x v="862"/>
  </r>
  <r>
    <s v="ORD1865"/>
    <x v="513"/>
    <s v="Samantha Zavala MD"/>
    <x v="3"/>
    <x v="1"/>
    <s v="Bretford CR4500 Series Slim Rectangular Table"/>
    <x v="5"/>
    <n v="785.76"/>
    <n v="5"/>
    <s v="Net Banking"/>
    <x v="863"/>
  </r>
  <r>
    <s v="ORD1866"/>
    <x v="514"/>
    <s v="Jill Conway"/>
    <x v="2"/>
    <x v="0"/>
    <s v="Staples Premium Bright 1-Part Blank Computer Paper"/>
    <x v="6"/>
    <n v="1875.83"/>
    <n v="10"/>
    <s v="Credit Card"/>
    <x v="864"/>
  </r>
  <r>
    <s v="ORD1867"/>
    <x v="200"/>
    <s v="Lisa Haley"/>
    <x v="2"/>
    <x v="0"/>
    <s v="Staples Surge Protector 6 outlet"/>
    <x v="3"/>
    <n v="1366.52"/>
    <n v="5"/>
    <s v="UPI"/>
    <x v="865"/>
  </r>
  <r>
    <s v="ORD1868"/>
    <x v="4"/>
    <s v="Erica Moon"/>
    <x v="3"/>
    <x v="1"/>
    <s v="Bevis 36 x 72 Conference Tables"/>
    <x v="7"/>
    <n v="276.24"/>
    <n v="10"/>
    <s v="Cash"/>
    <x v="866"/>
  </r>
  <r>
    <s v="ORD1869"/>
    <x v="515"/>
    <s v="Janice Fernandez"/>
    <x v="2"/>
    <x v="0"/>
    <s v="Avery 482"/>
    <x v="5"/>
    <n v="132.47"/>
    <n v="20"/>
    <s v="Cash"/>
    <x v="867"/>
  </r>
  <r>
    <s v="ORD1870"/>
    <x v="516"/>
    <s v="Thomas Short"/>
    <x v="2"/>
    <x v="0"/>
    <s v="Xerox 1964"/>
    <x v="5"/>
    <n v="1151.03"/>
    <n v="15"/>
    <s v="UPI"/>
    <x v="868"/>
  </r>
  <r>
    <s v="ORD1871"/>
    <x v="517"/>
    <s v="Robert Griffin"/>
    <x v="2"/>
    <x v="0"/>
    <s v="Euro Pro Shark Stick Mini Vacuum"/>
    <x v="1"/>
    <n v="1863.83"/>
    <n v="15"/>
    <s v="UPI"/>
    <x v="869"/>
  </r>
  <r>
    <s v="ORD1872"/>
    <x v="308"/>
    <s v="Steven Lee"/>
    <x v="0"/>
    <x v="2"/>
    <s v="Verbatim DVD-RAM, 5.2GB, Rewritable, Type 1, DS"/>
    <x v="2"/>
    <n v="1696.28"/>
    <n v="10"/>
    <s v="UPI"/>
    <x v="870"/>
  </r>
  <r>
    <s v="ORD1873"/>
    <x v="330"/>
    <s v="Tiffany Jackson"/>
    <x v="3"/>
    <x v="1"/>
    <s v="Hon GuestStacker Chair"/>
    <x v="1"/>
    <n v="1367.9"/>
    <n v="15"/>
    <s v="Net Banking"/>
    <x v="871"/>
  </r>
  <r>
    <s v="ORD1874"/>
    <x v="371"/>
    <s v="Kimberly Smith"/>
    <x v="2"/>
    <x v="0"/>
    <s v="Staples 1 Part Blank Computer Paper"/>
    <x v="2"/>
    <n v="321.27999999999997"/>
    <n v="20"/>
    <s v="Net Banking"/>
    <x v="872"/>
  </r>
  <r>
    <s v="ORD1875"/>
    <x v="478"/>
    <s v="Michael Ayala"/>
    <x v="3"/>
    <x v="1"/>
    <s v="Advantus Panel Wall Certificate Holder - 8.5x11"/>
    <x v="2"/>
    <n v="545.75"/>
    <n v="15"/>
    <s v="Credit Card"/>
    <x v="873"/>
  </r>
  <r>
    <s v="ORD1876"/>
    <x v="518"/>
    <s v="Jessica Garcia"/>
    <x v="2"/>
    <x v="2"/>
    <s v="Fellowes Basic 104-Key Keyboard, Platinum"/>
    <x v="3"/>
    <n v="1757.25"/>
    <n v="20"/>
    <s v="Net Banking"/>
    <x v="874"/>
  </r>
  <r>
    <s v="ORD1877"/>
    <x v="491"/>
    <s v="Michele Cherry"/>
    <x v="2"/>
    <x v="0"/>
    <s v="Peel &amp; Seel® Recycled Catalog Envelopes, Brown"/>
    <x v="1"/>
    <n v="406.47"/>
    <n v="5"/>
    <s v="UPI"/>
    <x v="875"/>
  </r>
  <r>
    <s v="ORD1878"/>
    <x v="292"/>
    <s v="Maria Case"/>
    <x v="3"/>
    <x v="1"/>
    <s v="Eldon Expressions™ Desk Accessory, Wood Photo Frame, Mahogany"/>
    <x v="6"/>
    <n v="592.96"/>
    <n v="20"/>
    <s v="Net Banking"/>
    <x v="876"/>
  </r>
  <r>
    <s v="ORD1879"/>
    <x v="326"/>
    <s v="Brittany Stevens"/>
    <x v="1"/>
    <x v="0"/>
    <s v="Avery Durable Poly Binders"/>
    <x v="4"/>
    <n v="302.72000000000003"/>
    <n v="0"/>
    <s v="Cash"/>
    <x v="877"/>
  </r>
  <r>
    <s v="ORD1880"/>
    <x v="144"/>
    <s v="Brandon Brown"/>
    <x v="3"/>
    <x v="1"/>
    <s v="Global Troy™ Executive Leather Low-Back Tilter"/>
    <x v="4"/>
    <n v="1368.41"/>
    <n v="0"/>
    <s v="Cash"/>
    <x v="878"/>
  </r>
  <r>
    <s v="ORD1881"/>
    <x v="519"/>
    <s v="Kristin Andrews"/>
    <x v="1"/>
    <x v="1"/>
    <s v="DAX Solid Wood Frames"/>
    <x v="1"/>
    <n v="1890.77"/>
    <n v="0"/>
    <s v="UPI"/>
    <x v="879"/>
  </r>
  <r>
    <s v="ORD1882"/>
    <x v="520"/>
    <s v="David Hughes"/>
    <x v="0"/>
    <x v="0"/>
    <s v="Newell 329"/>
    <x v="1"/>
    <n v="574.49"/>
    <n v="10"/>
    <s v="Net Banking"/>
    <x v="880"/>
  </r>
  <r>
    <s v="ORD1883"/>
    <x v="417"/>
    <s v="Jessica Smith"/>
    <x v="3"/>
    <x v="0"/>
    <s v="Black Print Carbonless Snap-Off® Rapid Letter, 8 1/2&quot; x 7&quot;"/>
    <x v="3"/>
    <n v="977.04"/>
    <n v="10"/>
    <s v="Net Banking"/>
    <x v="881"/>
  </r>
  <r>
    <s v="ORD1884"/>
    <x v="521"/>
    <s v="Kimberly May"/>
    <x v="1"/>
    <x v="0"/>
    <s v="Stockwell Push Pins"/>
    <x v="1"/>
    <n v="1286.96"/>
    <n v="10"/>
    <s v="Credit Card"/>
    <x v="882"/>
  </r>
  <r>
    <s v="ORD1885"/>
    <x v="152"/>
    <s v="Nicole Richards"/>
    <x v="2"/>
    <x v="1"/>
    <s v="Bevis Round Conference Table Top, X-Base"/>
    <x v="2"/>
    <n v="1998.96"/>
    <n v="20"/>
    <s v="Credit Card"/>
    <x v="883"/>
  </r>
  <r>
    <s v="ORD1886"/>
    <x v="387"/>
    <s v="Angel Reilly"/>
    <x v="0"/>
    <x v="0"/>
    <s v="Avery Reinforcements for Hole-Punch Pages"/>
    <x v="5"/>
    <n v="254.38"/>
    <n v="10"/>
    <s v="Cash"/>
    <x v="884"/>
  </r>
  <r>
    <s v="ORD1887"/>
    <x v="251"/>
    <s v="Richard Turner"/>
    <x v="3"/>
    <x v="2"/>
    <s v="Canon PC1060 Personal Laser Copier"/>
    <x v="5"/>
    <n v="1022.21"/>
    <n v="5"/>
    <s v="UPI"/>
    <x v="885"/>
  </r>
  <r>
    <s v="ORD1888"/>
    <x v="157"/>
    <s v="Preston Kim"/>
    <x v="1"/>
    <x v="2"/>
    <s v="Polycom ViewStation™ ISDN Videoconferencing Unit"/>
    <x v="2"/>
    <n v="800.98"/>
    <n v="0"/>
    <s v="Cash"/>
    <x v="886"/>
  </r>
  <r>
    <s v="ORD1889"/>
    <x v="522"/>
    <s v="Matthew Wells"/>
    <x v="1"/>
    <x v="0"/>
    <s v="GBC Clear Cover, 8-1/2 x 11, unpunched, 25 covers per pack"/>
    <x v="0"/>
    <n v="1738.35"/>
    <n v="20"/>
    <s v="UPI"/>
    <x v="887"/>
  </r>
  <r>
    <s v="ORD1890"/>
    <x v="262"/>
    <s v="Brandy Myers"/>
    <x v="3"/>
    <x v="0"/>
    <s v="Acme® Preferred Stainless Steel Scissors"/>
    <x v="2"/>
    <n v="978.14"/>
    <n v="0"/>
    <s v="UPI"/>
    <x v="888"/>
  </r>
  <r>
    <s v="ORD1891"/>
    <x v="434"/>
    <s v="Kimberly Choi"/>
    <x v="1"/>
    <x v="0"/>
    <s v="Peel &amp; Stick Add-On Corner Pockets"/>
    <x v="6"/>
    <n v="266.41000000000003"/>
    <n v="10"/>
    <s v="UPI"/>
    <x v="889"/>
  </r>
  <r>
    <s v="ORD1892"/>
    <x v="318"/>
    <s v="Michael Sloan"/>
    <x v="3"/>
    <x v="0"/>
    <s v="Filing/Storage Totes and Swivel Casters"/>
    <x v="8"/>
    <n v="1287.1300000000001"/>
    <n v="20"/>
    <s v="UPI"/>
    <x v="890"/>
  </r>
  <r>
    <s v="ORD1893"/>
    <x v="471"/>
    <s v="Monica Brooks"/>
    <x v="1"/>
    <x v="2"/>
    <s v="TDK 4.7GB DVD-R Spindle, 15/Pack"/>
    <x v="7"/>
    <n v="1553.02"/>
    <n v="15"/>
    <s v="Net Banking"/>
    <x v="891"/>
  </r>
  <r>
    <s v="ORD1894"/>
    <x v="522"/>
    <s v="Kristen Peters"/>
    <x v="2"/>
    <x v="0"/>
    <s v="Martin-Yale Premier Letter Opener"/>
    <x v="2"/>
    <n v="55.62"/>
    <n v="5"/>
    <s v="UPI"/>
    <x v="892"/>
  </r>
  <r>
    <s v="ORD1895"/>
    <x v="523"/>
    <s v="Aaron Carlson"/>
    <x v="3"/>
    <x v="2"/>
    <s v="600 Series Non-Flip"/>
    <x v="1"/>
    <n v="1724.97"/>
    <n v="10"/>
    <s v="Net Banking"/>
    <x v="893"/>
  </r>
  <r>
    <s v="ORD1896"/>
    <x v="524"/>
    <s v="Theresa Torres"/>
    <x v="3"/>
    <x v="0"/>
    <s v="GBC Prepunched Paper, 19-Hole, for Binding Systems, 24-lb"/>
    <x v="1"/>
    <n v="412.74"/>
    <n v="10"/>
    <s v="UPI"/>
    <x v="894"/>
  </r>
  <r>
    <s v="ORD1897"/>
    <x v="525"/>
    <s v="Stephanie Cooper"/>
    <x v="0"/>
    <x v="2"/>
    <s v="Keytronic Designer 104- Key Black Keyboard"/>
    <x v="3"/>
    <n v="1126.54"/>
    <n v="5"/>
    <s v="Net Banking"/>
    <x v="895"/>
  </r>
  <r>
    <s v="ORD1898"/>
    <x v="459"/>
    <s v="Matthew Hunt"/>
    <x v="2"/>
    <x v="0"/>
    <s v="Recycled Eldon Regeneration Jumbo File"/>
    <x v="2"/>
    <n v="860.81"/>
    <n v="5"/>
    <s v="Net Banking"/>
    <x v="896"/>
  </r>
  <r>
    <s v="ORD1899"/>
    <x v="526"/>
    <s v="Daniel Davenport"/>
    <x v="3"/>
    <x v="2"/>
    <s v="Panasonic KX-P2130 Dot Matrix Printer"/>
    <x v="3"/>
    <n v="1453.32"/>
    <n v="15"/>
    <s v="Cash"/>
    <x v="897"/>
  </r>
  <r>
    <s v="ORD1900"/>
    <x v="389"/>
    <s v="Christopher Marsh"/>
    <x v="1"/>
    <x v="0"/>
    <s v="Xerox 1882"/>
    <x v="2"/>
    <n v="773.77"/>
    <n v="10"/>
    <s v="Cash"/>
    <x v="898"/>
  </r>
  <r>
    <s v="ORD1901"/>
    <x v="527"/>
    <s v="Sarah Randolph"/>
    <x v="1"/>
    <x v="0"/>
    <s v="Letter/Legal File Tote with Clear Snap-On Lid, Black Granite"/>
    <x v="7"/>
    <n v="1746.04"/>
    <n v="10"/>
    <s v="Credit Card"/>
    <x v="899"/>
  </r>
  <r>
    <s v="ORD1902"/>
    <x v="141"/>
    <s v="Julia Dunn MD"/>
    <x v="1"/>
    <x v="1"/>
    <s v="Hon 2111 Invitation™ Series Corner Table"/>
    <x v="8"/>
    <n v="1474.47"/>
    <n v="0"/>
    <s v="Cash"/>
    <x v="900"/>
  </r>
  <r>
    <s v="ORD1903"/>
    <x v="489"/>
    <s v="Brett Swanson"/>
    <x v="0"/>
    <x v="0"/>
    <s v="Trav-L-File Heavy-Duty Shuttle II, Black"/>
    <x v="5"/>
    <n v="1313.04"/>
    <n v="20"/>
    <s v="Cash"/>
    <x v="901"/>
  </r>
  <r>
    <s v="ORD1904"/>
    <x v="195"/>
    <s v="Mr. Carl Rios"/>
    <x v="3"/>
    <x v="1"/>
    <s v="6&quot; Cubicle Wall Clock, Black"/>
    <x v="4"/>
    <n v="1602.67"/>
    <n v="20"/>
    <s v="UPI"/>
    <x v="902"/>
  </r>
  <r>
    <s v="ORD1905"/>
    <x v="528"/>
    <s v="Manuel Mccullough"/>
    <x v="1"/>
    <x v="0"/>
    <s v="BOSTON® Ranger® #55 Pencil Sharpener, Black"/>
    <x v="2"/>
    <n v="1520.34"/>
    <n v="0"/>
    <s v="Credit Card"/>
    <x v="903"/>
  </r>
  <r>
    <s v="ORD1906"/>
    <x v="354"/>
    <s v="Jerry Jensen"/>
    <x v="0"/>
    <x v="2"/>
    <s v="Imation 3.5&quot; IBM-Formatted Diskettes, 10/Pack"/>
    <x v="8"/>
    <n v="120.08"/>
    <n v="20"/>
    <s v="Cash"/>
    <x v="904"/>
  </r>
  <r>
    <s v="ORD1907"/>
    <x v="211"/>
    <s v="Kevin Cunningham"/>
    <x v="0"/>
    <x v="2"/>
    <s v="Hewlett-Packard Deskjet 3820 Color Inkjet Printer"/>
    <x v="5"/>
    <n v="819.73"/>
    <n v="5"/>
    <s v="Cash"/>
    <x v="905"/>
  </r>
  <r>
    <s v="ORD1908"/>
    <x v="257"/>
    <s v="Eugene Patterson"/>
    <x v="3"/>
    <x v="2"/>
    <s v="Hewlett-Packard Deskjet 5550 Color Inkjet Printer"/>
    <x v="0"/>
    <n v="1865.07"/>
    <n v="20"/>
    <s v="Net Banking"/>
    <x v="906"/>
  </r>
  <r>
    <s v="ORD1909"/>
    <x v="48"/>
    <s v="David Walker"/>
    <x v="1"/>
    <x v="0"/>
    <s v="Newell 336"/>
    <x v="7"/>
    <n v="295.16000000000003"/>
    <n v="20"/>
    <s v="Credit Card"/>
    <x v="907"/>
  </r>
  <r>
    <s v="ORD1910"/>
    <x v="321"/>
    <s v="Jessica Larsen"/>
    <x v="2"/>
    <x v="1"/>
    <s v="3M Polarizing Task Lamp with Clamp Arm, Light Gray"/>
    <x v="3"/>
    <n v="1487.34"/>
    <n v="0"/>
    <s v="Credit Card"/>
    <x v="908"/>
  </r>
  <r>
    <s v="ORD1911"/>
    <x v="490"/>
    <s v="Nicholas Humphrey"/>
    <x v="1"/>
    <x v="0"/>
    <s v="Eaton Premium Continuous-Feed Paper, 25% Cotton, Letter Size, White, 1000 Shts/Box"/>
    <x v="3"/>
    <n v="1950.45"/>
    <n v="15"/>
    <s v="Credit Card"/>
    <x v="909"/>
  </r>
  <r>
    <s v="ORD1912"/>
    <x v="529"/>
    <s v="Ian Torres"/>
    <x v="2"/>
    <x v="1"/>
    <s v="Tenex Contemporary Contur Chairmats for Low and Medium Pile Carpet, Computer, 39&quot; x 49&quot;"/>
    <x v="1"/>
    <n v="151.79"/>
    <n v="20"/>
    <s v="Net Banking"/>
    <x v="910"/>
  </r>
  <r>
    <s v="ORD1913"/>
    <x v="184"/>
    <s v="Casey Obrien"/>
    <x v="2"/>
    <x v="0"/>
    <s v="Acco® Hot Clips™ Clips to Go"/>
    <x v="5"/>
    <n v="1380.28"/>
    <n v="20"/>
    <s v="Credit Card"/>
    <x v="911"/>
  </r>
  <r>
    <s v="ORD1914"/>
    <x v="296"/>
    <s v="Shannon Taylor"/>
    <x v="1"/>
    <x v="0"/>
    <s v="Bionaire Personal Warm Mist Humidifier/Vaporizer"/>
    <x v="0"/>
    <n v="962.9"/>
    <n v="15"/>
    <s v="Credit Card"/>
    <x v="912"/>
  </r>
  <r>
    <s v="ORD1915"/>
    <x v="526"/>
    <s v="Deborah Mercado"/>
    <x v="2"/>
    <x v="0"/>
    <s v="Acme® 8&quot; Straight Scissors"/>
    <x v="8"/>
    <n v="1179.3900000000001"/>
    <n v="0"/>
    <s v="Net Banking"/>
    <x v="913"/>
  </r>
  <r>
    <s v="ORD1916"/>
    <x v="324"/>
    <s v="Bernard Smith"/>
    <x v="0"/>
    <x v="0"/>
    <s v="Belkin Premiere Surge Master II 8-outlet surge protector"/>
    <x v="7"/>
    <n v="216.42"/>
    <n v="15"/>
    <s v="Credit Card"/>
    <x v="914"/>
  </r>
  <r>
    <s v="ORD1917"/>
    <x v="11"/>
    <s v="Amanda Perkins"/>
    <x v="0"/>
    <x v="2"/>
    <s v="Sony MFD2HD Formatted Diskettes, 10/Pack"/>
    <x v="5"/>
    <n v="133.86000000000001"/>
    <n v="0"/>
    <s v="Credit Card"/>
    <x v="915"/>
  </r>
  <r>
    <s v="ORD1918"/>
    <x v="293"/>
    <s v="Kevin Escobar"/>
    <x v="1"/>
    <x v="0"/>
    <s v="Avery 485"/>
    <x v="0"/>
    <n v="1350.39"/>
    <n v="5"/>
    <s v="UPI"/>
    <x v="916"/>
  </r>
  <r>
    <s v="ORD1919"/>
    <x v="29"/>
    <s v="Kimberly Lutz"/>
    <x v="3"/>
    <x v="2"/>
    <s v="i270"/>
    <x v="4"/>
    <n v="1655.45"/>
    <n v="0"/>
    <s v="Cash"/>
    <x v="917"/>
  </r>
  <r>
    <s v="ORD1920"/>
    <x v="135"/>
    <s v="Reginald Diaz"/>
    <x v="0"/>
    <x v="0"/>
    <s v="Tennsco Regal Shelving Units"/>
    <x v="2"/>
    <n v="1574.93"/>
    <n v="5"/>
    <s v="Credit Card"/>
    <x v="918"/>
  </r>
  <r>
    <s v="ORD1921"/>
    <x v="137"/>
    <s v="Raymond Quinn"/>
    <x v="1"/>
    <x v="2"/>
    <s v="T60"/>
    <x v="3"/>
    <n v="1110.42"/>
    <n v="5"/>
    <s v="Net Banking"/>
    <x v="919"/>
  </r>
  <r>
    <s v="ORD1922"/>
    <x v="414"/>
    <s v="John Dixon"/>
    <x v="2"/>
    <x v="0"/>
    <s v="Telephone Message Books with Fax/Mobile Section, 4 1/4&quot; x 6&quot;"/>
    <x v="8"/>
    <n v="244.74"/>
    <n v="0"/>
    <s v="UPI"/>
    <x v="920"/>
  </r>
  <r>
    <s v="ORD1923"/>
    <x v="530"/>
    <s v="Jonathan Bates"/>
    <x v="0"/>
    <x v="2"/>
    <s v="Imation DVD-RAM discs"/>
    <x v="3"/>
    <n v="1391.69"/>
    <n v="10"/>
    <s v="Cash"/>
    <x v="921"/>
  </r>
  <r>
    <s v="ORD1924"/>
    <x v="280"/>
    <s v="Renee Mendez"/>
    <x v="1"/>
    <x v="0"/>
    <s v="Letter Size Cart"/>
    <x v="8"/>
    <n v="521.67999999999995"/>
    <n v="0"/>
    <s v="Cash"/>
    <x v="922"/>
  </r>
  <r>
    <s v="ORD1925"/>
    <x v="53"/>
    <s v="Jose Griffin"/>
    <x v="1"/>
    <x v="0"/>
    <s v="Avery 491"/>
    <x v="1"/>
    <n v="1826.58"/>
    <n v="20"/>
    <s v="UPI"/>
    <x v="923"/>
  </r>
  <r>
    <s v="ORD1926"/>
    <x v="140"/>
    <s v="Travis Hopkins"/>
    <x v="3"/>
    <x v="0"/>
    <s v="GBC DocuBind TL200 Manual Binding Machine"/>
    <x v="8"/>
    <n v="1684.62"/>
    <n v="20"/>
    <s v="Net Banking"/>
    <x v="924"/>
  </r>
  <r>
    <s v="ORD1927"/>
    <x v="30"/>
    <s v="Nancy Webb"/>
    <x v="2"/>
    <x v="1"/>
    <s v="Global Commerce™ Series High-Back Swivel/Tilt Chairs"/>
    <x v="3"/>
    <n v="1433.3"/>
    <n v="10"/>
    <s v="Cash"/>
    <x v="925"/>
  </r>
  <r>
    <s v="ORD1928"/>
    <x v="194"/>
    <s v="Daniel Freeman"/>
    <x v="2"/>
    <x v="0"/>
    <s v="Xerox 194"/>
    <x v="8"/>
    <n v="1900.25"/>
    <n v="5"/>
    <s v="Cash"/>
    <x v="926"/>
  </r>
  <r>
    <s v="ORD1929"/>
    <x v="108"/>
    <s v="Jacob Williams"/>
    <x v="2"/>
    <x v="1"/>
    <s v="DAX Wood Document Frame."/>
    <x v="4"/>
    <n v="111.27"/>
    <n v="10"/>
    <s v="Cash"/>
    <x v="927"/>
  </r>
  <r>
    <s v="ORD1930"/>
    <x v="371"/>
    <s v="Terry Ward"/>
    <x v="1"/>
    <x v="0"/>
    <s v="Staples Colored Interoffice Envelopes"/>
    <x v="1"/>
    <n v="1485.59"/>
    <n v="20"/>
    <s v="Credit Card"/>
    <x v="928"/>
  </r>
  <r>
    <s v="ORD1931"/>
    <x v="440"/>
    <s v="Jesse Williams"/>
    <x v="1"/>
    <x v="1"/>
    <s v="Electrix Fluorescent Magnifier Lamps &amp; Weighted Base"/>
    <x v="8"/>
    <n v="693.97"/>
    <n v="10"/>
    <s v="Credit Card"/>
    <x v="929"/>
  </r>
  <r>
    <s v="ORD1932"/>
    <x v="206"/>
    <s v="Mrs. Michele Boyd"/>
    <x v="2"/>
    <x v="1"/>
    <s v="Eldon® 200 Class™ Desk Accessories"/>
    <x v="5"/>
    <n v="1816.83"/>
    <n v="0"/>
    <s v="UPI"/>
    <x v="930"/>
  </r>
  <r>
    <s v="ORD1933"/>
    <x v="531"/>
    <s v="Sandy Baker"/>
    <x v="1"/>
    <x v="0"/>
    <s v="Staples Copy Paper (20Lb. and 84 Bright)"/>
    <x v="6"/>
    <n v="570.02"/>
    <n v="10"/>
    <s v="UPI"/>
    <x v="931"/>
  </r>
  <r>
    <s v="ORD1934"/>
    <x v="526"/>
    <s v="Carrie Valdez"/>
    <x v="3"/>
    <x v="1"/>
    <s v="Eldon® 200 Class™ Desk Accessories"/>
    <x v="0"/>
    <n v="1463.47"/>
    <n v="5"/>
    <s v="Net Banking"/>
    <x v="932"/>
  </r>
  <r>
    <s v="ORD1935"/>
    <x v="47"/>
    <s v="Matthew Houston"/>
    <x v="1"/>
    <x v="0"/>
    <s v="Staples Copy Paper (20Lb. and 84 Bright)"/>
    <x v="6"/>
    <n v="1761.41"/>
    <n v="0"/>
    <s v="Net Banking"/>
    <x v="933"/>
  </r>
  <r>
    <s v="ORD1936"/>
    <x v="250"/>
    <s v="Jamie Solomon"/>
    <x v="1"/>
    <x v="1"/>
    <s v="Eldon® Wave Desk Accessories"/>
    <x v="6"/>
    <n v="131.22999999999999"/>
    <n v="15"/>
    <s v="UPI"/>
    <x v="934"/>
  </r>
  <r>
    <s v="ORD1937"/>
    <x v="432"/>
    <s v="Heather Parrish"/>
    <x v="0"/>
    <x v="0"/>
    <s v="Tennsco Industrial Shelving"/>
    <x v="7"/>
    <n v="825.41"/>
    <n v="20"/>
    <s v="Net Banking"/>
    <x v="935"/>
  </r>
  <r>
    <s v="ORD1938"/>
    <x v="532"/>
    <s v="Mr. Larry Shaw"/>
    <x v="3"/>
    <x v="2"/>
    <s v="636"/>
    <x v="4"/>
    <n v="1536.5"/>
    <n v="20"/>
    <s v="Cash"/>
    <x v="936"/>
  </r>
  <r>
    <s v="ORD1939"/>
    <x v="533"/>
    <s v="Christopher Jones"/>
    <x v="0"/>
    <x v="0"/>
    <s v="Fellowes Stor/Drawer® Steel Plus™ Storage Drawers"/>
    <x v="5"/>
    <n v="937.09"/>
    <n v="10"/>
    <s v="Cash"/>
    <x v="937"/>
  </r>
  <r>
    <s v="ORD1940"/>
    <x v="534"/>
    <s v="Christine Lopez"/>
    <x v="2"/>
    <x v="0"/>
    <s v="Acme Design Line 8&quot; Stainless Steel Bent Scissors w/Champagne Handles, 3-1/8&quot; Cut"/>
    <x v="2"/>
    <n v="571.14"/>
    <n v="0"/>
    <s v="Net Banking"/>
    <x v="938"/>
  </r>
  <r>
    <s v="ORD1941"/>
    <x v="217"/>
    <s v="Mitchell Wilson"/>
    <x v="2"/>
    <x v="0"/>
    <s v="IBM Multi-Purpose Copy Paper, 8 1/2 x 11&quot;, Case"/>
    <x v="8"/>
    <n v="478.62"/>
    <n v="15"/>
    <s v="Net Banking"/>
    <x v="939"/>
  </r>
  <r>
    <s v="ORD1942"/>
    <x v="510"/>
    <s v="Robert Cortez"/>
    <x v="3"/>
    <x v="0"/>
    <s v="#10 White Business Envelopes,4 1/8 x 9 1/2"/>
    <x v="0"/>
    <n v="306.45999999999998"/>
    <n v="0"/>
    <s v="UPI"/>
    <x v="940"/>
  </r>
  <r>
    <s v="ORD1943"/>
    <x v="161"/>
    <s v="Mr. Daniel Martin"/>
    <x v="1"/>
    <x v="0"/>
    <s v="Fellowes Personal Hanging Folder Files, Navy"/>
    <x v="1"/>
    <n v="1721.4"/>
    <n v="20"/>
    <s v="UPI"/>
    <x v="941"/>
  </r>
  <r>
    <s v="ORD1944"/>
    <x v="323"/>
    <s v="Alison Williams"/>
    <x v="0"/>
    <x v="0"/>
    <s v="Ibico Presentation Index for Binding Systems"/>
    <x v="5"/>
    <n v="1171.94"/>
    <n v="0"/>
    <s v="Net Banking"/>
    <x v="942"/>
  </r>
  <r>
    <s v="ORD1945"/>
    <x v="213"/>
    <s v="Candace Soto"/>
    <x v="3"/>
    <x v="0"/>
    <s v="Xerox 207"/>
    <x v="3"/>
    <n v="198.95"/>
    <n v="15"/>
    <s v="Cash"/>
    <x v="943"/>
  </r>
  <r>
    <s v="ORD1946"/>
    <x v="535"/>
    <s v="Kenneth Brown"/>
    <x v="0"/>
    <x v="0"/>
    <s v="Holmes Replacement Filter for HEPA Air Cleaner, Large Room"/>
    <x v="2"/>
    <n v="796.03"/>
    <n v="10"/>
    <s v="Credit Card"/>
    <x v="944"/>
  </r>
  <r>
    <s v="ORD1947"/>
    <x v="101"/>
    <s v="Christopher Mullen"/>
    <x v="1"/>
    <x v="0"/>
    <s v="Important Message Pads, 50 4-1/4 x 5-1/2 Forms per Pad"/>
    <x v="7"/>
    <n v="767.08"/>
    <n v="5"/>
    <s v="Net Banking"/>
    <x v="945"/>
  </r>
  <r>
    <s v="ORD1948"/>
    <x v="23"/>
    <s v="Kristy Smith"/>
    <x v="0"/>
    <x v="0"/>
    <s v="Staples Standard Envelopes"/>
    <x v="7"/>
    <n v="404.39"/>
    <n v="0"/>
    <s v="UPI"/>
    <x v="946"/>
  </r>
  <r>
    <s v="ORD1949"/>
    <x v="503"/>
    <s v="Mary Campbell"/>
    <x v="3"/>
    <x v="2"/>
    <s v="6185"/>
    <x v="5"/>
    <n v="899.24"/>
    <n v="5"/>
    <s v="UPI"/>
    <x v="947"/>
  </r>
  <r>
    <s v="ORD1950"/>
    <x v="536"/>
    <s v="Jerry Haney"/>
    <x v="1"/>
    <x v="0"/>
    <s v="Avery Premier Heavy-Duty Binder with Round Locking Rings"/>
    <x v="6"/>
    <n v="697.59"/>
    <n v="20"/>
    <s v="Net Banking"/>
    <x v="948"/>
  </r>
  <r>
    <s v="ORD1951"/>
    <x v="537"/>
    <s v="Carolyn Greer"/>
    <x v="1"/>
    <x v="0"/>
    <s v="Fellowes Stor/Drawer® Steel Plus™ Storage Drawers"/>
    <x v="3"/>
    <n v="716.52"/>
    <n v="10"/>
    <s v="UPI"/>
    <x v="949"/>
  </r>
  <r>
    <s v="ORD1952"/>
    <x v="538"/>
    <s v="Rebecca Hoover"/>
    <x v="3"/>
    <x v="1"/>
    <s v="Master Giant Foot® Doorstop, Safety Yellow"/>
    <x v="7"/>
    <n v="1491.1"/>
    <n v="10"/>
    <s v="Cash"/>
    <x v="950"/>
  </r>
  <r>
    <s v="ORD1953"/>
    <x v="313"/>
    <s v="Matthew Baker"/>
    <x v="1"/>
    <x v="0"/>
    <s v="Hunt BOSTON® Vista® Battery-Operated Pencil Sharpener, Black"/>
    <x v="0"/>
    <n v="485.36"/>
    <n v="0"/>
    <s v="UPI"/>
    <x v="951"/>
  </r>
  <r>
    <s v="ORD1954"/>
    <x v="435"/>
    <s v="Grace Chavez"/>
    <x v="0"/>
    <x v="2"/>
    <s v="TI 36X Solar Scientific Calculator"/>
    <x v="7"/>
    <n v="1301.6300000000001"/>
    <n v="10"/>
    <s v="Credit Card"/>
    <x v="952"/>
  </r>
  <r>
    <s v="ORD1955"/>
    <x v="474"/>
    <s v="Crystal Cruz"/>
    <x v="2"/>
    <x v="1"/>
    <s v="Global Leather and Oak Executive Chair, Black"/>
    <x v="1"/>
    <n v="1162.77"/>
    <n v="0"/>
    <s v="Credit Card"/>
    <x v="953"/>
  </r>
  <r>
    <s v="ORD1956"/>
    <x v="130"/>
    <s v="Dale Heath"/>
    <x v="3"/>
    <x v="2"/>
    <s v="Maxell DVD-RAM Discs"/>
    <x v="8"/>
    <n v="1157.78"/>
    <n v="0"/>
    <s v="Cash"/>
    <x v="954"/>
  </r>
  <r>
    <s v="ORD1957"/>
    <x v="139"/>
    <s v="Jennifer Hernandez"/>
    <x v="0"/>
    <x v="0"/>
    <s v="Eldon Simplefile® Box Office®"/>
    <x v="7"/>
    <n v="1342.86"/>
    <n v="5"/>
    <s v="UPI"/>
    <x v="955"/>
  </r>
  <r>
    <s v="ORD1958"/>
    <x v="539"/>
    <s v="John Mendez"/>
    <x v="1"/>
    <x v="2"/>
    <s v="US Robotics 56K V.92 Internal PCI Faxmodem"/>
    <x v="1"/>
    <n v="1119.3399999999999"/>
    <n v="10"/>
    <s v="UPI"/>
    <x v="956"/>
  </r>
  <r>
    <s v="ORD1959"/>
    <x v="82"/>
    <s v="Richard Gordon"/>
    <x v="2"/>
    <x v="0"/>
    <s v="Xerox 1923"/>
    <x v="5"/>
    <n v="1764.55"/>
    <n v="0"/>
    <s v="Net Banking"/>
    <x v="957"/>
  </r>
  <r>
    <s v="ORD1960"/>
    <x v="540"/>
    <s v="John Anderson"/>
    <x v="0"/>
    <x v="0"/>
    <s v="Portfile® Personal File Boxes"/>
    <x v="5"/>
    <n v="1367.38"/>
    <n v="5"/>
    <s v="Credit Card"/>
    <x v="958"/>
  </r>
  <r>
    <s v="ORD1961"/>
    <x v="541"/>
    <s v="Samantha Prince"/>
    <x v="3"/>
    <x v="0"/>
    <s v="Eldon Simplefile® Box Office®"/>
    <x v="2"/>
    <n v="1116.58"/>
    <n v="15"/>
    <s v="Net Banking"/>
    <x v="959"/>
  </r>
  <r>
    <s v="ORD1962"/>
    <x v="290"/>
    <s v="Marie Boyd"/>
    <x v="1"/>
    <x v="2"/>
    <s v="Accessory35"/>
    <x v="7"/>
    <n v="1668.04"/>
    <n v="5"/>
    <s v="Net Banking"/>
    <x v="960"/>
  </r>
  <r>
    <s v="ORD1963"/>
    <x v="341"/>
    <s v="Andrew Moreno"/>
    <x v="3"/>
    <x v="0"/>
    <s v="Super Decoflex Portable Personal File"/>
    <x v="0"/>
    <n v="1231.99"/>
    <n v="5"/>
    <s v="UPI"/>
    <x v="961"/>
  </r>
  <r>
    <s v="ORD1964"/>
    <x v="62"/>
    <s v="Robert Clarke"/>
    <x v="0"/>
    <x v="0"/>
    <s v="Eaton Premium Continuous-Feed Paper, 25% Cotton, Letter Size, White, 1000 Shts/Box"/>
    <x v="7"/>
    <n v="617.73"/>
    <n v="0"/>
    <s v="Credit Card"/>
    <x v="962"/>
  </r>
  <r>
    <s v="ORD1965"/>
    <x v="429"/>
    <s v="Kevin Figueroa"/>
    <x v="2"/>
    <x v="2"/>
    <s v="StarTAC 7760"/>
    <x v="0"/>
    <n v="453.84"/>
    <n v="20"/>
    <s v="Net Banking"/>
    <x v="963"/>
  </r>
  <r>
    <s v="ORD1966"/>
    <x v="221"/>
    <s v="Melissa Davis"/>
    <x v="0"/>
    <x v="0"/>
    <s v="Euro Pro Shark Stick Mini Vacuum"/>
    <x v="4"/>
    <n v="347.04"/>
    <n v="20"/>
    <s v="UPI"/>
    <x v="964"/>
  </r>
  <r>
    <s v="ORD1967"/>
    <x v="307"/>
    <s v="John Hall"/>
    <x v="0"/>
    <x v="0"/>
    <s v="Fellowes PB500 Electric Punch Plastic Comb Binding Machine with Manual Bind"/>
    <x v="2"/>
    <n v="1803.94"/>
    <n v="20"/>
    <s v="Cash"/>
    <x v="965"/>
  </r>
  <r>
    <s v="ORD1968"/>
    <x v="457"/>
    <s v="Diane Mcdowell"/>
    <x v="1"/>
    <x v="0"/>
    <s v="Xerox 197"/>
    <x v="4"/>
    <n v="1434.76"/>
    <n v="5"/>
    <s v="Credit Card"/>
    <x v="966"/>
  </r>
  <r>
    <s v="ORD1969"/>
    <x v="236"/>
    <s v="Colin Fletcher"/>
    <x v="3"/>
    <x v="0"/>
    <s v="Euro Pro Shark Stick Mini Vacuum"/>
    <x v="7"/>
    <n v="1877.89"/>
    <n v="0"/>
    <s v="UPI"/>
    <x v="967"/>
  </r>
  <r>
    <s v="ORD1970"/>
    <x v="177"/>
    <s v="Laura Wilson"/>
    <x v="0"/>
    <x v="0"/>
    <s v="Fellowes PB500 Electric Punch Plastic Comb Binding Machine with Manual Bind"/>
    <x v="2"/>
    <n v="1226.42"/>
    <n v="10"/>
    <s v="Cash"/>
    <x v="968"/>
  </r>
  <r>
    <s v="ORD1971"/>
    <x v="542"/>
    <s v="Matthew Watts"/>
    <x v="0"/>
    <x v="2"/>
    <s v="StarTAC 8000"/>
    <x v="4"/>
    <n v="973.13"/>
    <n v="5"/>
    <s v="Net Banking"/>
    <x v="969"/>
  </r>
  <r>
    <s v="ORD1972"/>
    <x v="62"/>
    <s v="Jack Moore"/>
    <x v="2"/>
    <x v="0"/>
    <s v="Xerox 197"/>
    <x v="6"/>
    <n v="166.45"/>
    <n v="5"/>
    <s v="Net Banking"/>
    <x v="970"/>
  </r>
  <r>
    <s v="ORD1973"/>
    <x v="33"/>
    <s v="Dawn Wyatt"/>
    <x v="2"/>
    <x v="1"/>
    <s v="Advantus Employee of the Month Certificate Frame, 11 x 13-1/2"/>
    <x v="7"/>
    <n v="1359.7"/>
    <n v="0"/>
    <s v="Net Banking"/>
    <x v="971"/>
  </r>
  <r>
    <s v="ORD1974"/>
    <x v="543"/>
    <s v="Jacob Hill"/>
    <x v="3"/>
    <x v="0"/>
    <s v="Newell 308"/>
    <x v="4"/>
    <n v="1185.31"/>
    <n v="15"/>
    <s v="Cash"/>
    <x v="972"/>
  </r>
  <r>
    <s v="ORD1975"/>
    <x v="525"/>
    <s v="Nicole Gutierrez"/>
    <x v="3"/>
    <x v="2"/>
    <s v="5165"/>
    <x v="6"/>
    <n v="1980.91"/>
    <n v="5"/>
    <s v="Cash"/>
    <x v="973"/>
  </r>
  <r>
    <s v="ORD1976"/>
    <x v="15"/>
    <s v="Karen Wood"/>
    <x v="1"/>
    <x v="0"/>
    <s v="Xerox 1880"/>
    <x v="6"/>
    <n v="516.36"/>
    <n v="15"/>
    <s v="Net Banking"/>
    <x v="974"/>
  </r>
  <r>
    <s v="ORD1977"/>
    <x v="163"/>
    <s v="Dawn Parker"/>
    <x v="3"/>
    <x v="1"/>
    <s v="SAFCO PlanMaster Heigh-Adjustable Drafting Table Base, 43w x 30d x 30-37h, Black"/>
    <x v="5"/>
    <n v="1084.94"/>
    <n v="15"/>
    <s v="Net Banking"/>
    <x v="975"/>
  </r>
  <r>
    <s v="ORD1978"/>
    <x v="392"/>
    <s v="Michael Fitzgerald"/>
    <x v="2"/>
    <x v="2"/>
    <s v="Accessory28"/>
    <x v="7"/>
    <n v="1319.37"/>
    <n v="20"/>
    <s v="Cash"/>
    <x v="976"/>
  </r>
  <r>
    <s v="ORD1979"/>
    <x v="337"/>
    <s v="Mary Adkins"/>
    <x v="3"/>
    <x v="0"/>
    <s v="Avery 05222 Permanent Self-Adhesive File Folder Labels for Typewriters, on Rolls, White, 250/Roll"/>
    <x v="6"/>
    <n v="1306.95"/>
    <n v="0"/>
    <s v="UPI"/>
    <x v="977"/>
  </r>
  <r>
    <s v="ORD1980"/>
    <x v="419"/>
    <s v="Michael Martin"/>
    <x v="0"/>
    <x v="1"/>
    <s v="Tenex Traditional Chairmats for Medium Pile Carpet, Standard Lip, 36&quot; x 48&quot;"/>
    <x v="5"/>
    <n v="1144.52"/>
    <n v="15"/>
    <s v="Credit Card"/>
    <x v="978"/>
  </r>
  <r>
    <s v="ORD1981"/>
    <x v="195"/>
    <s v="James Morgan"/>
    <x v="3"/>
    <x v="1"/>
    <s v="Bevis 36 x 72 Conference Tables"/>
    <x v="4"/>
    <n v="1565.01"/>
    <n v="0"/>
    <s v="Net Banking"/>
    <x v="979"/>
  </r>
  <r>
    <s v="ORD1982"/>
    <x v="462"/>
    <s v="Melissa Mann"/>
    <x v="3"/>
    <x v="2"/>
    <s v="Accessory17"/>
    <x v="1"/>
    <n v="449.71"/>
    <n v="20"/>
    <s v="Cash"/>
    <x v="980"/>
  </r>
  <r>
    <s v="ORD1983"/>
    <x v="135"/>
    <s v="Vincent Smith"/>
    <x v="1"/>
    <x v="1"/>
    <s v="Bevis 36 x 72 Conference Tables"/>
    <x v="7"/>
    <n v="1464.97"/>
    <n v="0"/>
    <s v="UPI"/>
    <x v="981"/>
  </r>
  <r>
    <s v="ORD1984"/>
    <x v="544"/>
    <s v="Charles Frost"/>
    <x v="0"/>
    <x v="0"/>
    <s v="Avery 05222 Permanent Self-Adhesive File Folder Labels for Typewriters, on Rolls, White, 250/Roll"/>
    <x v="2"/>
    <n v="1258.48"/>
    <n v="5"/>
    <s v="UPI"/>
    <x v="982"/>
  </r>
  <r>
    <s v="ORD1985"/>
    <x v="353"/>
    <s v="Austin Walker"/>
    <x v="1"/>
    <x v="1"/>
    <s v="Tenex Traditional Chairmats for Medium Pile Carpet, Standard Lip, 36&quot; x 48&quot;"/>
    <x v="0"/>
    <n v="1797.35"/>
    <n v="15"/>
    <s v="UPI"/>
    <x v="983"/>
  </r>
  <r>
    <s v="ORD1986"/>
    <x v="235"/>
    <s v="Andrew Cruz"/>
    <x v="2"/>
    <x v="2"/>
    <s v="Hewlett-Packard 4.7GB DVD+R Discs"/>
    <x v="0"/>
    <n v="1702.03"/>
    <n v="0"/>
    <s v="Net Banking"/>
    <x v="984"/>
  </r>
  <r>
    <s v="ORD1987"/>
    <x v="27"/>
    <s v="Miss Kelly Dawson"/>
    <x v="3"/>
    <x v="2"/>
    <s v="AT&amp;T Black Trimline Phone, Model 210"/>
    <x v="4"/>
    <n v="664.54"/>
    <n v="10"/>
    <s v="Cash"/>
    <x v="985"/>
  </r>
  <r>
    <s v="ORD1988"/>
    <x v="208"/>
    <s v="Theresa Wilkins"/>
    <x v="3"/>
    <x v="2"/>
    <s v="600 Series Flip"/>
    <x v="4"/>
    <n v="588.66"/>
    <n v="0"/>
    <s v="Credit Card"/>
    <x v="986"/>
  </r>
  <r>
    <s v="ORD1989"/>
    <x v="545"/>
    <s v="Jessica Harris"/>
    <x v="2"/>
    <x v="2"/>
    <s v="8890"/>
    <x v="6"/>
    <n v="1964.22"/>
    <n v="15"/>
    <s v="Cash"/>
    <x v="987"/>
  </r>
  <r>
    <s v="ORD1990"/>
    <x v="291"/>
    <s v="Regina Mitchell"/>
    <x v="1"/>
    <x v="1"/>
    <s v="12-1/2 Diameter Round Wall Clock"/>
    <x v="7"/>
    <n v="1078.17"/>
    <n v="20"/>
    <s v="Cash"/>
    <x v="988"/>
  </r>
  <r>
    <s v="ORD1991"/>
    <x v="546"/>
    <s v="Kyle Black"/>
    <x v="0"/>
    <x v="1"/>
    <s v="Regeneration Desk Collection"/>
    <x v="0"/>
    <n v="1817.52"/>
    <n v="20"/>
    <s v="UPI"/>
    <x v="989"/>
  </r>
  <r>
    <s v="ORD1992"/>
    <x v="296"/>
    <s v="Christopher Johnson"/>
    <x v="1"/>
    <x v="0"/>
    <s v="Avery Binding System Hidden Tab™ Executive Style Index Sets"/>
    <x v="0"/>
    <n v="369.57"/>
    <n v="15"/>
    <s v="Credit Card"/>
    <x v="990"/>
  </r>
  <r>
    <s v="ORD1993"/>
    <x v="16"/>
    <s v="Aaron Moore"/>
    <x v="1"/>
    <x v="2"/>
    <s v="Microsoft Natural Multimedia Keyboard"/>
    <x v="6"/>
    <n v="1303.5"/>
    <n v="5"/>
    <s v="Net Banking"/>
    <x v="991"/>
  </r>
  <r>
    <s v="ORD1994"/>
    <x v="234"/>
    <s v="Penny Gomez MD"/>
    <x v="0"/>
    <x v="0"/>
    <s v="Euro Pro Shark Stick Mini Vacuum"/>
    <x v="0"/>
    <n v="1629.23"/>
    <n v="5"/>
    <s v="Net Banking"/>
    <x v="992"/>
  </r>
  <r>
    <s v="ORD1995"/>
    <x v="25"/>
    <s v="Kelly Mclaughlin"/>
    <x v="3"/>
    <x v="0"/>
    <s v="GBC Binding covers"/>
    <x v="2"/>
    <n v="1897.42"/>
    <n v="20"/>
    <s v="UPI"/>
    <x v="993"/>
  </r>
  <r>
    <s v="ORD1996"/>
    <x v="547"/>
    <s v="Brandon Mitchell"/>
    <x v="1"/>
    <x v="0"/>
    <s v="Xerox 1978"/>
    <x v="7"/>
    <n v="707.81"/>
    <n v="20"/>
    <s v="Net Banking"/>
    <x v="994"/>
  </r>
  <r>
    <s v="ORD1997"/>
    <x v="195"/>
    <s v="Suzanne Bailey"/>
    <x v="2"/>
    <x v="0"/>
    <s v="Wirebound Message Book, 4 per Page"/>
    <x v="8"/>
    <n v="1463.71"/>
    <n v="15"/>
    <s v="Cash"/>
    <x v="995"/>
  </r>
  <r>
    <s v="ORD1998"/>
    <x v="349"/>
    <s v="Destiny Obrien"/>
    <x v="0"/>
    <x v="0"/>
    <s v="Riverleaf Stik-Withit® Designer Note Cubes®"/>
    <x v="0"/>
    <n v="1100.69"/>
    <n v="5"/>
    <s v="UPI"/>
    <x v="996"/>
  </r>
  <r>
    <s v="ORD1999"/>
    <x v="152"/>
    <s v="Timothy Andrews"/>
    <x v="3"/>
    <x v="1"/>
    <s v="Telescoping Adjustable Floor Lamp"/>
    <x v="4"/>
    <n v="168.23"/>
    <n v="20"/>
    <s v="Credit Card"/>
    <x v="997"/>
  </r>
  <r>
    <s v="ORD2000"/>
    <x v="200"/>
    <s v="Jason Rodriguez"/>
    <x v="0"/>
    <x v="2"/>
    <s v="Sharp EL500L Fraction Calculator"/>
    <x v="2"/>
    <n v="1395.5"/>
    <n v="5"/>
    <s v="Cash"/>
    <x v="998"/>
  </r>
  <r>
    <s v="ORD2001"/>
    <x v="396"/>
    <s v="Edward Arroyo"/>
    <x v="2"/>
    <x v="0"/>
    <s v="White GlueTop Scratch Pads"/>
    <x v="0"/>
    <n v="1395.69"/>
    <n v="20"/>
    <s v="Credit Card"/>
    <x v="999"/>
  </r>
  <r>
    <s v="ORD2002"/>
    <x v="258"/>
    <s v="Tina Walter"/>
    <x v="0"/>
    <x v="0"/>
    <s v="Xerox 194"/>
    <x v="2"/>
    <n v="1864.68"/>
    <n v="0"/>
    <s v="Credit Card"/>
    <x v="1000"/>
  </r>
  <r>
    <s v="ORD2003"/>
    <x v="250"/>
    <s v="Laura Benson"/>
    <x v="0"/>
    <x v="1"/>
    <s v="Master Caster Door Stop, Brown"/>
    <x v="5"/>
    <n v="1019.76"/>
    <n v="10"/>
    <s v="Cash"/>
    <x v="1001"/>
  </r>
  <r>
    <s v="ORD2004"/>
    <x v="167"/>
    <s v="Kristine Carrillo"/>
    <x v="1"/>
    <x v="0"/>
    <s v="Newell 342"/>
    <x v="8"/>
    <n v="498.99"/>
    <n v="0"/>
    <s v="Credit Card"/>
    <x v="1002"/>
  </r>
  <r>
    <s v="ORD2005"/>
    <x v="538"/>
    <s v="Tonya Ellis"/>
    <x v="2"/>
    <x v="2"/>
    <s v="TimeportP7382"/>
    <x v="3"/>
    <n v="136.9"/>
    <n v="20"/>
    <s v="UPI"/>
    <x v="1003"/>
  </r>
  <r>
    <s v="ORD2006"/>
    <x v="19"/>
    <s v="Kevin Johnson"/>
    <x v="2"/>
    <x v="1"/>
    <s v="Riverside Palais Royal Lawyers Bookcase, Royale Cherry Finish"/>
    <x v="4"/>
    <n v="860.5"/>
    <n v="10"/>
    <s v="UPI"/>
    <x v="1004"/>
  </r>
  <r>
    <s v="ORD2007"/>
    <x v="471"/>
    <s v="Austin Schultz"/>
    <x v="2"/>
    <x v="0"/>
    <s v="*Staples* vLetter Openers, 2/Pack"/>
    <x v="4"/>
    <n v="638.74"/>
    <n v="10"/>
    <s v="Cash"/>
    <x v="1005"/>
  </r>
  <r>
    <s v="ORD2008"/>
    <x v="548"/>
    <s v="Megan Hall MD"/>
    <x v="0"/>
    <x v="2"/>
    <s v="Imation Neon Mac Format Diskettes, 10/Pack"/>
    <x v="7"/>
    <n v="1534.12"/>
    <n v="20"/>
    <s v="Net Banking"/>
    <x v="1006"/>
  </r>
  <r>
    <s v="ORD2009"/>
    <x v="549"/>
    <s v="Kelli Smith"/>
    <x v="2"/>
    <x v="2"/>
    <s v="Micro Innovations Media Access Pro Keyboard"/>
    <x v="2"/>
    <n v="740.82"/>
    <n v="20"/>
    <s v="Credit Card"/>
    <x v="1007"/>
  </r>
  <r>
    <s v="ORD2010"/>
    <x v="550"/>
    <s v="Danielle Davis"/>
    <x v="2"/>
    <x v="0"/>
    <s v="Newell 340"/>
    <x v="6"/>
    <n v="1900.69"/>
    <n v="5"/>
    <s v="Cash"/>
    <x v="1008"/>
  </r>
  <r>
    <s v="ORD2011"/>
    <x v="393"/>
    <s v="Samantha Jones"/>
    <x v="2"/>
    <x v="2"/>
    <s v="Lexmark Z54se Color Inkjet Printer"/>
    <x v="4"/>
    <n v="1926.5"/>
    <n v="20"/>
    <s v="Credit Card"/>
    <x v="1009"/>
  </r>
  <r>
    <s v="ORD2012"/>
    <x v="551"/>
    <s v="Karen Gomez"/>
    <x v="1"/>
    <x v="0"/>
    <s v="Staples Battery-Operated Desktop Pencil Sharpener"/>
    <x v="2"/>
    <n v="1260.77"/>
    <n v="15"/>
    <s v="Cash"/>
    <x v="1010"/>
  </r>
  <r>
    <s v="ORD2013"/>
    <x v="441"/>
    <s v="Debra Valentine"/>
    <x v="2"/>
    <x v="2"/>
    <s v="Canon P1-DHIII Palm Printing Calculator"/>
    <x v="2"/>
    <n v="1860.89"/>
    <n v="20"/>
    <s v="Credit Card"/>
    <x v="1011"/>
  </r>
  <r>
    <s v="ORD2014"/>
    <x v="220"/>
    <s v="Susan Porter"/>
    <x v="0"/>
    <x v="0"/>
    <s v="Xerox 1896"/>
    <x v="1"/>
    <n v="1533.67"/>
    <n v="15"/>
    <s v="Net Banking"/>
    <x v="1012"/>
  </r>
  <r>
    <s v="ORD2015"/>
    <x v="137"/>
    <s v="Nicolas Salas"/>
    <x v="1"/>
    <x v="0"/>
    <s v="Staples Battery-Operated Desktop Pencil Sharpener"/>
    <x v="1"/>
    <n v="1116.3800000000001"/>
    <n v="20"/>
    <s v="Cash"/>
    <x v="1013"/>
  </r>
  <r>
    <s v="ORD2016"/>
    <x v="123"/>
    <s v="Dale Wright"/>
    <x v="2"/>
    <x v="1"/>
    <s v="3M Polarizing Light Filter Sleeves"/>
    <x v="3"/>
    <n v="401.6"/>
    <n v="5"/>
    <s v="UPI"/>
    <x v="1014"/>
  </r>
  <r>
    <s v="ORD2017"/>
    <x v="167"/>
    <s v="Brittney Rodriguez"/>
    <x v="2"/>
    <x v="2"/>
    <s v="Canon P1-DHIII Palm Printing Calculator"/>
    <x v="5"/>
    <n v="944.27"/>
    <n v="15"/>
    <s v="Net Banking"/>
    <x v="1015"/>
  </r>
  <r>
    <s v="ORD2018"/>
    <x v="189"/>
    <s v="Megan Alvarado"/>
    <x v="1"/>
    <x v="0"/>
    <s v="Xerox 1896"/>
    <x v="3"/>
    <n v="1143.71"/>
    <n v="0"/>
    <s v="UPI"/>
    <x v="1016"/>
  </r>
  <r>
    <s v="ORD2019"/>
    <x v="552"/>
    <s v="Pamela Weaver"/>
    <x v="2"/>
    <x v="2"/>
    <s v="2180"/>
    <x v="0"/>
    <n v="1734.73"/>
    <n v="15"/>
    <s v="Net Banking"/>
    <x v="1017"/>
  </r>
  <r>
    <s v="ORD2020"/>
    <x v="304"/>
    <s v="John Oliver"/>
    <x v="0"/>
    <x v="0"/>
    <s v="Gould Plastics 9-Pocket Panel Bin, 18-3/8w x 5-1/4d x 20-1/2h, Black"/>
    <x v="6"/>
    <n v="988.6"/>
    <n v="5"/>
    <s v="UPI"/>
    <x v="1018"/>
  </r>
  <r>
    <s v="ORD2021"/>
    <x v="481"/>
    <s v="William Prince PhD"/>
    <x v="0"/>
    <x v="0"/>
    <s v="Wirebound Message Books, Four 2 3/4&quot; x 5&quot; Forms per Page, 600 Sets per Book"/>
    <x v="0"/>
    <n v="1800.47"/>
    <n v="15"/>
    <s v="Net Banking"/>
    <x v="1019"/>
  </r>
  <r>
    <s v="ORD2022"/>
    <x v="369"/>
    <s v="William Moon IV"/>
    <x v="2"/>
    <x v="0"/>
    <s v="Newell 315"/>
    <x v="0"/>
    <n v="1364.98"/>
    <n v="20"/>
    <s v="Credit Card"/>
    <x v="1020"/>
  </r>
  <r>
    <s v="ORD2023"/>
    <x v="316"/>
    <s v="Kenneth Brown"/>
    <x v="0"/>
    <x v="1"/>
    <s v="Bush Westfield Collection Bookcases, Dark Cherry Finish, Fully Assembled"/>
    <x v="7"/>
    <n v="317.14999999999998"/>
    <n v="20"/>
    <s v="UPI"/>
    <x v="1021"/>
  </r>
  <r>
    <s v="ORD2024"/>
    <x v="2"/>
    <s v="Karen Fernandez"/>
    <x v="1"/>
    <x v="2"/>
    <s v="Accessory34"/>
    <x v="0"/>
    <n v="1990.21"/>
    <n v="5"/>
    <s v="Credit Card"/>
    <x v="1022"/>
  </r>
  <r>
    <s v="ORD2025"/>
    <x v="196"/>
    <s v="Jennifer Parks"/>
    <x v="2"/>
    <x v="0"/>
    <s v="Xerox 1983"/>
    <x v="3"/>
    <n v="1078.0999999999999"/>
    <n v="10"/>
    <s v="Cash"/>
    <x v="1023"/>
  </r>
  <r>
    <s v="ORD2026"/>
    <x v="226"/>
    <s v="William Wolfe"/>
    <x v="1"/>
    <x v="0"/>
    <s v="Wilson Jones Hanging View Binder, White, 1&quot;"/>
    <x v="4"/>
    <n v="814.12"/>
    <n v="20"/>
    <s v="Credit Card"/>
    <x v="1024"/>
  </r>
  <r>
    <s v="ORD2027"/>
    <x v="257"/>
    <s v="Michael Smith"/>
    <x v="0"/>
    <x v="2"/>
    <s v="Fellowes Basic 104-Key Keyboard, Platinum"/>
    <x v="4"/>
    <n v="1335.27"/>
    <n v="0"/>
    <s v="UPI"/>
    <x v="1025"/>
  </r>
  <r>
    <s v="ORD2028"/>
    <x v="461"/>
    <s v="Kevin Nguyen"/>
    <x v="2"/>
    <x v="1"/>
    <s v="Eldon Expressions Punched Metal &amp; Wood Desk Accessories, Pewter &amp; Cherry"/>
    <x v="1"/>
    <n v="262.33999999999997"/>
    <n v="5"/>
    <s v="Net Banking"/>
    <x v="1026"/>
  </r>
  <r>
    <s v="ORD2029"/>
    <x v="377"/>
    <s v="Debbie Dunn"/>
    <x v="1"/>
    <x v="0"/>
    <s v="Ibico Recycled Linen-Style Covers"/>
    <x v="6"/>
    <n v="1291.25"/>
    <n v="15"/>
    <s v="Credit Card"/>
    <x v="1027"/>
  </r>
  <r>
    <s v="ORD2030"/>
    <x v="553"/>
    <s v="John Austin"/>
    <x v="0"/>
    <x v="0"/>
    <s v="Self-Adhesive Ring Binder Labels"/>
    <x v="6"/>
    <n v="1021.56"/>
    <n v="15"/>
    <s v="Net Banking"/>
    <x v="1028"/>
  </r>
  <r>
    <s v="ORD2031"/>
    <x v="554"/>
    <s v="Jonathan Clark"/>
    <x v="2"/>
    <x v="0"/>
    <s v="Tenex File Box, Personal Filing Tote with Lid, Black"/>
    <x v="7"/>
    <n v="843.01"/>
    <n v="0"/>
    <s v="Cash"/>
    <x v="1029"/>
  </r>
  <r>
    <s v="ORD2032"/>
    <x v="555"/>
    <s v="Jacqueline Dickerson"/>
    <x v="3"/>
    <x v="2"/>
    <s v="CF 688"/>
    <x v="3"/>
    <n v="1908.39"/>
    <n v="20"/>
    <s v="Cash"/>
    <x v="1030"/>
  </r>
  <r>
    <s v="ORD2033"/>
    <x v="25"/>
    <s v="Christopher Anderson"/>
    <x v="0"/>
    <x v="0"/>
    <s v="Xerox 1983"/>
    <x v="1"/>
    <n v="1068.95"/>
    <n v="5"/>
    <s v="UPI"/>
    <x v="1031"/>
  </r>
  <r>
    <s v="ORD2034"/>
    <x v="556"/>
    <s v="Crystal Garcia"/>
    <x v="0"/>
    <x v="0"/>
    <s v="Avery Trapezoid Ring Binder, 3&quot; Capacity, Black, 1040 sheets"/>
    <x v="6"/>
    <n v="477.28"/>
    <n v="0"/>
    <s v="Net Banking"/>
    <x v="1032"/>
  </r>
  <r>
    <s v="ORD2035"/>
    <x v="537"/>
    <s v="David Reynolds"/>
    <x v="3"/>
    <x v="2"/>
    <s v="Accessory35"/>
    <x v="4"/>
    <n v="944.98"/>
    <n v="20"/>
    <s v="Credit Card"/>
    <x v="1033"/>
  </r>
  <r>
    <s v="ORD2036"/>
    <x v="388"/>
    <s v="Charles Haley"/>
    <x v="3"/>
    <x v="2"/>
    <s v="i2000"/>
    <x v="0"/>
    <n v="1842.81"/>
    <n v="5"/>
    <s v="Credit Card"/>
    <x v="1034"/>
  </r>
  <r>
    <s v="ORD2037"/>
    <x v="198"/>
    <s v="Robert Thompson"/>
    <x v="1"/>
    <x v="0"/>
    <s v="Xerox 23"/>
    <x v="0"/>
    <n v="393.39"/>
    <n v="15"/>
    <s v="Cash"/>
    <x v="1035"/>
  </r>
  <r>
    <s v="ORD2038"/>
    <x v="153"/>
    <s v="Dr. Samuel Holmes DDS"/>
    <x v="0"/>
    <x v="2"/>
    <s v="Fellowes 17-key keypad for PS/2 interface"/>
    <x v="1"/>
    <n v="467.22"/>
    <n v="5"/>
    <s v="Net Banking"/>
    <x v="1036"/>
  </r>
  <r>
    <s v="ORD2039"/>
    <x v="259"/>
    <s v="Elizabeth Hart"/>
    <x v="3"/>
    <x v="0"/>
    <s v="Avery Hanging File Binders"/>
    <x v="3"/>
    <n v="75.41"/>
    <n v="10"/>
    <s v="Net Banking"/>
    <x v="1037"/>
  </r>
  <r>
    <s v="ORD2040"/>
    <x v="9"/>
    <s v="Jennifer Vaughn"/>
    <x v="2"/>
    <x v="1"/>
    <s v="6&quot; Cubicle Wall Clock, Black"/>
    <x v="3"/>
    <n v="77.67"/>
    <n v="5"/>
    <s v="Cash"/>
    <x v="1038"/>
  </r>
  <r>
    <s v="ORD2041"/>
    <x v="309"/>
    <s v="Robert Woods"/>
    <x v="0"/>
    <x v="0"/>
    <s v="Tyvek® Side-Opening Peel &amp; Seel® Expanding Envelopes"/>
    <x v="5"/>
    <n v="1667.31"/>
    <n v="10"/>
    <s v="Credit Card"/>
    <x v="1039"/>
  </r>
  <r>
    <s v="ORD2042"/>
    <x v="79"/>
    <s v="Joanna Cook"/>
    <x v="1"/>
    <x v="0"/>
    <s v="Xerox 1991"/>
    <x v="8"/>
    <n v="1477.64"/>
    <n v="5"/>
    <s v="Cash"/>
    <x v="1040"/>
  </r>
  <r>
    <s v="ORD2043"/>
    <x v="357"/>
    <s v="Justin Frederick"/>
    <x v="3"/>
    <x v="2"/>
    <s v="T60"/>
    <x v="6"/>
    <n v="742.33"/>
    <n v="10"/>
    <s v="Net Banking"/>
    <x v="1041"/>
  </r>
  <r>
    <s v="ORD2044"/>
    <x v="484"/>
    <s v="Alejandro Martinez"/>
    <x v="0"/>
    <x v="0"/>
    <s v="Xerox 1978"/>
    <x v="3"/>
    <n v="1411.71"/>
    <n v="15"/>
    <s v="Credit Card"/>
    <x v="1042"/>
  </r>
  <r>
    <s v="ORD2045"/>
    <x v="109"/>
    <s v="Tracey Gonzalez"/>
    <x v="0"/>
    <x v="2"/>
    <s v="Epson LQ-870 Dot Matrix Printer"/>
    <x v="4"/>
    <n v="820.65"/>
    <n v="20"/>
    <s v="Cash"/>
    <x v="1043"/>
  </r>
  <r>
    <s v="ORD2046"/>
    <x v="557"/>
    <s v="Mariah Thompson"/>
    <x v="3"/>
    <x v="0"/>
    <s v="Space Solutions™ Industrial Galvanized Steel Shelving."/>
    <x v="1"/>
    <n v="1908.15"/>
    <n v="10"/>
    <s v="Net Banking"/>
    <x v="1044"/>
  </r>
  <r>
    <s v="ORD2047"/>
    <x v="38"/>
    <s v="Heather Nunez"/>
    <x v="3"/>
    <x v="1"/>
    <s v="Chromcraft 48&quot; x 96&quot; Racetrack Double Pedestal Table"/>
    <x v="5"/>
    <n v="1935.75"/>
    <n v="10"/>
    <s v="Net Banking"/>
    <x v="1045"/>
  </r>
  <r>
    <s v="ORD2048"/>
    <x v="497"/>
    <s v="Dr. Steve James"/>
    <x v="3"/>
    <x v="1"/>
    <s v="Global Ergonomic Managers Chair"/>
    <x v="2"/>
    <n v="815.95"/>
    <n v="15"/>
    <s v="UPI"/>
    <x v="1046"/>
  </r>
  <r>
    <s v="ORD2049"/>
    <x v="399"/>
    <s v="Mark Thomas"/>
    <x v="0"/>
    <x v="1"/>
    <s v="Global Leather and Oak Executive Chair, Black"/>
    <x v="7"/>
    <n v="1715.73"/>
    <n v="10"/>
    <s v="UPI"/>
    <x v="1047"/>
  </r>
  <r>
    <s v="ORD2050"/>
    <x v="339"/>
    <s v="Robert Rogers"/>
    <x v="3"/>
    <x v="0"/>
    <s v="Newell 343"/>
    <x v="2"/>
    <n v="1557.52"/>
    <n v="0"/>
    <s v="Cash"/>
    <x v="1048"/>
  </r>
  <r>
    <s v="ORD2051"/>
    <x v="412"/>
    <s v="Laura Sweeney"/>
    <x v="3"/>
    <x v="0"/>
    <s v="Quality Park Security Envelopes"/>
    <x v="0"/>
    <n v="654.5"/>
    <n v="15"/>
    <s v="Credit Card"/>
    <x v="1049"/>
  </r>
  <r>
    <s v="ORD2052"/>
    <x v="546"/>
    <s v="Christopher Perez"/>
    <x v="0"/>
    <x v="0"/>
    <s v="Ibico EB-19 Dual Function Manual Binding System"/>
    <x v="7"/>
    <n v="502.48"/>
    <n v="0"/>
    <s v="Credit Card"/>
    <x v="1050"/>
  </r>
  <r>
    <s v="ORD2053"/>
    <x v="558"/>
    <s v="Eddie Adams"/>
    <x v="0"/>
    <x v="0"/>
    <s v="#10- 4 1/8&quot; x 9 1/2&quot; Security-Tint Envelopes"/>
    <x v="6"/>
    <n v="943.56"/>
    <n v="15"/>
    <s v="UPI"/>
    <x v="1051"/>
  </r>
  <r>
    <s v="ORD2054"/>
    <x v="210"/>
    <s v="Denise Wallace"/>
    <x v="1"/>
    <x v="0"/>
    <s v="Binding Machine Supplies"/>
    <x v="4"/>
    <n v="1573.63"/>
    <n v="10"/>
    <s v="Net Banking"/>
    <x v="1052"/>
  </r>
  <r>
    <s v="ORD2055"/>
    <x v="139"/>
    <s v="Heidi Matthews"/>
    <x v="2"/>
    <x v="2"/>
    <s v="TI 30X Scientific Calculator"/>
    <x v="7"/>
    <n v="1922.33"/>
    <n v="0"/>
    <s v="UPI"/>
    <x v="1053"/>
  </r>
  <r>
    <s v="ORD2056"/>
    <x v="77"/>
    <s v="Jennifer White"/>
    <x v="0"/>
    <x v="2"/>
    <s v="SC7868i"/>
    <x v="8"/>
    <n v="1538.98"/>
    <n v="10"/>
    <s v="Cash"/>
    <x v="1054"/>
  </r>
  <r>
    <s v="ORD2057"/>
    <x v="89"/>
    <s v="Nicholas Stanley"/>
    <x v="2"/>
    <x v="1"/>
    <s v="Executive Impressions 13-1/2&quot; Indoor/Outdoor Wall Clock"/>
    <x v="2"/>
    <n v="1717.65"/>
    <n v="15"/>
    <s v="UPI"/>
    <x v="1055"/>
  </r>
  <r>
    <s v="ORD2058"/>
    <x v="208"/>
    <s v="Mercedes Miller"/>
    <x v="1"/>
    <x v="1"/>
    <s v="Executive Impressions 14&quot; Contract Wall Clock"/>
    <x v="6"/>
    <n v="1225.98"/>
    <n v="10"/>
    <s v="Credit Card"/>
    <x v="1056"/>
  </r>
  <r>
    <s v="ORD2059"/>
    <x v="21"/>
    <s v="Brian Brown"/>
    <x v="1"/>
    <x v="0"/>
    <s v="Avery® 3 1/2&quot; Diskette Storage Pages, 10/Pack"/>
    <x v="8"/>
    <n v="1679.05"/>
    <n v="0"/>
    <s v="Cash"/>
    <x v="1057"/>
  </r>
  <r>
    <s v="ORD2060"/>
    <x v="559"/>
    <s v="Kimberly Johnson"/>
    <x v="3"/>
    <x v="2"/>
    <s v="T28 WORLD"/>
    <x v="0"/>
    <n v="1579.62"/>
    <n v="0"/>
    <s v="Credit Card"/>
    <x v="1058"/>
  </r>
  <r>
    <s v="ORD2061"/>
    <x v="560"/>
    <s v="Phillip Miller"/>
    <x v="1"/>
    <x v="1"/>
    <s v="Bevis Round Bullnose 29&quot; High Table Top"/>
    <x v="8"/>
    <n v="785.12"/>
    <n v="10"/>
    <s v="Cash"/>
    <x v="1059"/>
  </r>
  <r>
    <s v="ORD2062"/>
    <x v="561"/>
    <s v="Christopher Pena"/>
    <x v="3"/>
    <x v="0"/>
    <s v="Ibico EPK-21 Electric Binding System"/>
    <x v="5"/>
    <n v="1126.3800000000001"/>
    <n v="5"/>
    <s v="Net Banking"/>
    <x v="1060"/>
  </r>
  <r>
    <s v="ORD2063"/>
    <x v="297"/>
    <s v="Ellen Wright"/>
    <x v="3"/>
    <x v="0"/>
    <s v="OIC Colored Binder Clips, Assorted Sizes"/>
    <x v="5"/>
    <n v="1619.27"/>
    <n v="15"/>
    <s v="UPI"/>
    <x v="1061"/>
  </r>
  <r>
    <s v="ORD2064"/>
    <x v="459"/>
    <s v="Mark Anderson"/>
    <x v="0"/>
    <x v="1"/>
    <s v="Office Star - Ergonomic Mid Back Chair with 2-Way Adjustable Arms"/>
    <x v="1"/>
    <n v="139.81"/>
    <n v="15"/>
    <s v="Credit Card"/>
    <x v="1062"/>
  </r>
  <r>
    <s v="ORD2065"/>
    <x v="115"/>
    <s v="Alyssa Alvarado"/>
    <x v="0"/>
    <x v="0"/>
    <s v="Belkin F9M820V08 8 Outlet Surge"/>
    <x v="6"/>
    <n v="1625.75"/>
    <n v="10"/>
    <s v="Cash"/>
    <x v="1063"/>
  </r>
  <r>
    <s v="ORD2066"/>
    <x v="562"/>
    <s v="Erika Alvarez"/>
    <x v="2"/>
    <x v="0"/>
    <s v="Bravo II™ Megaboss® 12-Amp Hard Body Upright, Replacement Belts, 2 Belts per Pack"/>
    <x v="0"/>
    <n v="396.88"/>
    <n v="5"/>
    <s v="UPI"/>
    <x v="1064"/>
  </r>
  <r>
    <s v="ORD2067"/>
    <x v="563"/>
    <s v="Kimberly Nelson"/>
    <x v="3"/>
    <x v="1"/>
    <s v="Rubbermaid ClusterMat Chairmats, Mat Size- 66&quot; x 60&quot;, Lip 20&quot; x 11&quot; -90 Degree Angle"/>
    <x v="3"/>
    <n v="1053.6300000000001"/>
    <n v="0"/>
    <s v="Credit Card"/>
    <x v="1065"/>
  </r>
  <r>
    <s v="ORD2068"/>
    <x v="564"/>
    <s v="Wayne Wolfe"/>
    <x v="3"/>
    <x v="0"/>
    <s v="Advantus Map Pennant Flags and Round Head Tacks"/>
    <x v="5"/>
    <n v="1626.14"/>
    <n v="20"/>
    <s v="Net Banking"/>
    <x v="1066"/>
  </r>
  <r>
    <s v="ORD2069"/>
    <x v="143"/>
    <s v="Kyle Welch"/>
    <x v="2"/>
    <x v="2"/>
    <s v="Adesso Programmable 142-Key Keyboard"/>
    <x v="6"/>
    <n v="544.95000000000005"/>
    <n v="20"/>
    <s v="Cash"/>
    <x v="1067"/>
  </r>
  <r>
    <s v="ORD2070"/>
    <x v="85"/>
    <s v="Kristy Mills"/>
    <x v="3"/>
    <x v="0"/>
    <s v="Acme Design Line 8&quot; Stainless Steel Bent Scissors w/Champagne Handles, 3-1/8&quot; Cut"/>
    <x v="3"/>
    <n v="529.32000000000005"/>
    <n v="10"/>
    <s v="Credit Card"/>
    <x v="1068"/>
  </r>
  <r>
    <s v="ORD2071"/>
    <x v="11"/>
    <s v="Emily Reed"/>
    <x v="1"/>
    <x v="0"/>
    <s v="Honeywell Quietcare HEPA Air Cleaner"/>
    <x v="1"/>
    <n v="835.39"/>
    <n v="5"/>
    <s v="Credit Card"/>
    <x v="1069"/>
  </r>
  <r>
    <s v="ORD2072"/>
    <x v="565"/>
    <s v="Regina Ramos"/>
    <x v="3"/>
    <x v="1"/>
    <s v="Global High-Back Leather Tilter, Burgundy"/>
    <x v="8"/>
    <n v="1794.55"/>
    <n v="5"/>
    <s v="Net Banking"/>
    <x v="1070"/>
  </r>
  <r>
    <s v="ORD2073"/>
    <x v="422"/>
    <s v="David Torres"/>
    <x v="3"/>
    <x v="1"/>
    <s v="Eldon ClusterMat Chair Mat with Cordless Antistatic Protection"/>
    <x v="5"/>
    <n v="50.86"/>
    <n v="15"/>
    <s v="Cash"/>
    <x v="1071"/>
  </r>
  <r>
    <s v="ORD2074"/>
    <x v="241"/>
    <s v="Robert Charles"/>
    <x v="3"/>
    <x v="0"/>
    <s v="Xerox 1947"/>
    <x v="6"/>
    <n v="1807.7"/>
    <n v="0"/>
    <s v="UPI"/>
    <x v="1072"/>
  </r>
  <r>
    <s v="ORD2075"/>
    <x v="152"/>
    <s v="John Smith"/>
    <x v="0"/>
    <x v="1"/>
    <s v="Bush Advantage Collection® Racetrack Conference Table"/>
    <x v="7"/>
    <n v="349.92"/>
    <n v="5"/>
    <s v="Credit Card"/>
    <x v="1073"/>
  </r>
  <r>
    <s v="ORD2076"/>
    <x v="440"/>
    <s v="Theresa Woods"/>
    <x v="1"/>
    <x v="0"/>
    <s v="Xerox 1986"/>
    <x v="3"/>
    <n v="1980.67"/>
    <n v="20"/>
    <s v="Cash"/>
    <x v="1074"/>
  </r>
  <r>
    <s v="ORD2077"/>
    <x v="493"/>
    <s v="Jeffrey Carter"/>
    <x v="3"/>
    <x v="2"/>
    <s v="Targus USB Numeric Keypad"/>
    <x v="8"/>
    <n v="1911.95"/>
    <n v="0"/>
    <s v="Cash"/>
    <x v="1075"/>
  </r>
  <r>
    <s v="ORD2078"/>
    <x v="566"/>
    <s v="Adam Brooks"/>
    <x v="1"/>
    <x v="2"/>
    <s v="Micro Innovations Media Access Pro Keyboard"/>
    <x v="5"/>
    <n v="1014.62"/>
    <n v="0"/>
    <s v="Net Banking"/>
    <x v="1076"/>
  </r>
  <r>
    <s v="ORD2079"/>
    <x v="567"/>
    <s v="Justin Foster"/>
    <x v="1"/>
    <x v="2"/>
    <s v="Belkin ErgoBoard™ Keyboard"/>
    <x v="0"/>
    <n v="1049.8"/>
    <n v="10"/>
    <s v="Credit Card"/>
    <x v="1077"/>
  </r>
  <r>
    <s v="ORD2080"/>
    <x v="568"/>
    <s v="Omar Price"/>
    <x v="1"/>
    <x v="1"/>
    <s v="Career Cubicle Clock, 8 1/4&quot;, Black"/>
    <x v="3"/>
    <n v="989.02"/>
    <n v="5"/>
    <s v="UPI"/>
    <x v="1078"/>
  </r>
  <r>
    <s v="ORD2081"/>
    <x v="103"/>
    <s v="Dennis Henderson"/>
    <x v="2"/>
    <x v="0"/>
    <s v="Hammermill Color Copier Paper (28Lb. and 96 Bright)"/>
    <x v="5"/>
    <n v="1289.1199999999999"/>
    <n v="10"/>
    <s v="Credit Card"/>
    <x v="1079"/>
  </r>
  <r>
    <s v="ORD2082"/>
    <x v="465"/>
    <s v="Phillip Kent"/>
    <x v="3"/>
    <x v="0"/>
    <s v="Xerox 1937"/>
    <x v="3"/>
    <n v="226.91"/>
    <n v="5"/>
    <s v="Credit Card"/>
    <x v="1080"/>
  </r>
  <r>
    <s v="ORD2083"/>
    <x v="261"/>
    <s v="Melinda Mitchell"/>
    <x v="0"/>
    <x v="0"/>
    <s v="Xerox 1986"/>
    <x v="8"/>
    <n v="113.6"/>
    <n v="15"/>
    <s v="UPI"/>
    <x v="1081"/>
  </r>
  <r>
    <s v="ORD2084"/>
    <x v="323"/>
    <s v="Rhonda Gutierrez"/>
    <x v="0"/>
    <x v="0"/>
    <s v="Xerox 1937"/>
    <x v="5"/>
    <n v="162.52000000000001"/>
    <n v="10"/>
    <s v="Cash"/>
    <x v="1082"/>
  </r>
  <r>
    <s v="ORD2085"/>
    <x v="135"/>
    <s v="Catherine Roberts"/>
    <x v="0"/>
    <x v="0"/>
    <s v="Xerox 1986"/>
    <x v="2"/>
    <n v="916.51"/>
    <n v="10"/>
    <s v="Credit Card"/>
    <x v="1083"/>
  </r>
  <r>
    <s v="ORD2086"/>
    <x v="569"/>
    <s v="Lisa Nelson"/>
    <x v="0"/>
    <x v="0"/>
    <s v="Honeywell Quietcare HEPA Air Cleaner"/>
    <x v="6"/>
    <n v="587.32000000000005"/>
    <n v="20"/>
    <s v="Cash"/>
    <x v="1084"/>
  </r>
  <r>
    <s v="ORD2087"/>
    <x v="570"/>
    <s v="Chelsea Smith"/>
    <x v="3"/>
    <x v="0"/>
    <s v="Peel &amp; Seel® Recycled Catalog Envelopes, Brown"/>
    <x v="8"/>
    <n v="1262.98"/>
    <n v="10"/>
    <s v="Net Banking"/>
    <x v="1085"/>
  </r>
  <r>
    <s v="ORD2088"/>
    <x v="471"/>
    <s v="Joseph Lopez"/>
    <x v="0"/>
    <x v="1"/>
    <s v="Global Leather Executive Chair"/>
    <x v="3"/>
    <n v="1985.26"/>
    <n v="5"/>
    <s v="Cash"/>
    <x v="1086"/>
  </r>
  <r>
    <s v="ORD2089"/>
    <x v="440"/>
    <s v="Derrick Espinoza"/>
    <x v="1"/>
    <x v="2"/>
    <s v="AT&amp;T Black Trimline Phone, Model 210"/>
    <x v="0"/>
    <n v="803.33"/>
    <n v="20"/>
    <s v="UPI"/>
    <x v="1087"/>
  </r>
  <r>
    <s v="ORD2090"/>
    <x v="571"/>
    <s v="Crystal Hernandez"/>
    <x v="2"/>
    <x v="0"/>
    <s v="Kensington 6 Outlet Guardian Standard Surge Protector"/>
    <x v="7"/>
    <n v="1168.99"/>
    <n v="10"/>
    <s v="UPI"/>
    <x v="1088"/>
  </r>
  <r>
    <s v="ORD2091"/>
    <x v="310"/>
    <s v="Glenn Collins DDS"/>
    <x v="0"/>
    <x v="0"/>
    <s v="#10 White Business Envelopes,4 1/8 x 9 1/2"/>
    <x v="3"/>
    <n v="860.43"/>
    <n v="10"/>
    <s v="Net Banking"/>
    <x v="1089"/>
  </r>
  <r>
    <s v="ORD2092"/>
    <x v="572"/>
    <s v="Mrs. Raven Rivera DVM"/>
    <x v="1"/>
    <x v="1"/>
    <s v="Hon Metal Bookcases, Putty"/>
    <x v="6"/>
    <n v="1702.18"/>
    <n v="15"/>
    <s v="Cash"/>
    <x v="1090"/>
  </r>
  <r>
    <s v="ORD2093"/>
    <x v="573"/>
    <s v="Amy Rowe"/>
    <x v="0"/>
    <x v="0"/>
    <s v="Newell 309"/>
    <x v="5"/>
    <n v="1809.36"/>
    <n v="10"/>
    <s v="Credit Card"/>
    <x v="1091"/>
  </r>
  <r>
    <s v="ORD2094"/>
    <x v="470"/>
    <s v="John Lee"/>
    <x v="3"/>
    <x v="0"/>
    <s v="Xerox 1893"/>
    <x v="7"/>
    <n v="1760.84"/>
    <n v="0"/>
    <s v="Net Banking"/>
    <x v="1092"/>
  </r>
  <r>
    <s v="ORD2095"/>
    <x v="327"/>
    <s v="Ruth Clayton"/>
    <x v="1"/>
    <x v="2"/>
    <s v="Accessory39"/>
    <x v="4"/>
    <n v="1950.03"/>
    <n v="20"/>
    <s v="UPI"/>
    <x v="1093"/>
  </r>
  <r>
    <s v="ORD2096"/>
    <x v="5"/>
    <s v="Randy Wright"/>
    <x v="3"/>
    <x v="2"/>
    <s v="Imation 3.5&quot; Unformatted DS/HD Diskettes, 10/Box"/>
    <x v="3"/>
    <n v="103.66"/>
    <n v="0"/>
    <s v="Cash"/>
    <x v="1094"/>
  </r>
  <r>
    <s v="ORD2097"/>
    <x v="198"/>
    <s v="Jessica Rojas"/>
    <x v="0"/>
    <x v="0"/>
    <s v="Eldon Jumbo ProFile™ Portable File Boxes Graphite/Black"/>
    <x v="1"/>
    <n v="1687.64"/>
    <n v="20"/>
    <s v="UPI"/>
    <x v="1095"/>
  </r>
  <r>
    <s v="ORD2098"/>
    <x v="574"/>
    <s v="Joel Wise"/>
    <x v="1"/>
    <x v="2"/>
    <s v="Bell Sonecor JB700 Caller ID"/>
    <x v="4"/>
    <n v="1515.96"/>
    <n v="15"/>
    <s v="Credit Card"/>
    <x v="1096"/>
  </r>
  <r>
    <s v="ORD2099"/>
    <x v="13"/>
    <s v="Vickie Kennedy"/>
    <x v="1"/>
    <x v="1"/>
    <s v="36X48 HARDFLOOR CHAIRMAT"/>
    <x v="3"/>
    <n v="495.95"/>
    <n v="10"/>
    <s v="Net Banking"/>
    <x v="1097"/>
  </r>
  <r>
    <s v="ORD2100"/>
    <x v="33"/>
    <s v="Emily Morris"/>
    <x v="1"/>
    <x v="1"/>
    <s v="Hon 4700 Series Mobuis™ Mid-Back Task Chairs with Adjustable Arms"/>
    <x v="2"/>
    <n v="1914.82"/>
    <n v="10"/>
    <s v="Net Banking"/>
    <x v="1098"/>
  </r>
  <r>
    <s v="ORD2101"/>
    <x v="354"/>
    <s v="Amanda Pineda"/>
    <x v="0"/>
    <x v="0"/>
    <s v="Southworth 25% Cotton Premium Laser Paper and Envelopes"/>
    <x v="1"/>
    <n v="338.95"/>
    <n v="10"/>
    <s v="UPI"/>
    <x v="1099"/>
  </r>
  <r>
    <s v="ORD2102"/>
    <x v="232"/>
    <s v="Dawn Little"/>
    <x v="2"/>
    <x v="2"/>
    <s v="Belkin ErgoBoard™ Keyboard"/>
    <x v="7"/>
    <n v="1375.12"/>
    <n v="20"/>
    <s v="Net Banking"/>
    <x v="1100"/>
  </r>
  <r>
    <s v="ORD2103"/>
    <x v="355"/>
    <s v="Stephen Boyer"/>
    <x v="2"/>
    <x v="0"/>
    <s v="White Dual Perf Computer Printout Paper, 2700 Sheets, 1 Part, Heavyweight, 20 lbs., 14 7/8 x 11"/>
    <x v="0"/>
    <n v="488.54"/>
    <n v="10"/>
    <s v="Cash"/>
    <x v="1101"/>
  </r>
  <r>
    <s v="ORD2104"/>
    <x v="405"/>
    <s v="Brian Chen"/>
    <x v="3"/>
    <x v="0"/>
    <s v="Sanford Pocket Accent® Highlighters"/>
    <x v="2"/>
    <n v="891.19"/>
    <n v="0"/>
    <s v="Cash"/>
    <x v="1102"/>
  </r>
  <r>
    <s v="ORD2105"/>
    <x v="495"/>
    <s v="Christopher Hill"/>
    <x v="2"/>
    <x v="0"/>
    <s v="Xerox 1938"/>
    <x v="4"/>
    <n v="1452.36"/>
    <n v="10"/>
    <s v="UPI"/>
    <x v="1103"/>
  </r>
  <r>
    <s v="ORD2106"/>
    <x v="333"/>
    <s v="Richard Smith"/>
    <x v="0"/>
    <x v="2"/>
    <s v="5170i"/>
    <x v="5"/>
    <n v="1148.48"/>
    <n v="15"/>
    <s v="UPI"/>
    <x v="1104"/>
  </r>
  <r>
    <s v="ORD2107"/>
    <x v="483"/>
    <s v="Richard Alvarez"/>
    <x v="1"/>
    <x v="2"/>
    <s v="Maxell DVD-RAM Discs"/>
    <x v="6"/>
    <n v="883.63"/>
    <n v="0"/>
    <s v="Net Banking"/>
    <x v="1105"/>
  </r>
  <r>
    <s v="ORD2108"/>
    <x v="360"/>
    <s v="Jacqueline Davis"/>
    <x v="1"/>
    <x v="0"/>
    <s v="GBC Standard Therm-A-Bind Covers"/>
    <x v="0"/>
    <n v="686.36"/>
    <n v="10"/>
    <s v="UPI"/>
    <x v="1106"/>
  </r>
  <r>
    <s v="ORD2109"/>
    <x v="62"/>
    <s v="Brandon Montgomery"/>
    <x v="0"/>
    <x v="0"/>
    <s v="Grip Seal Envelopes"/>
    <x v="2"/>
    <n v="1687.34"/>
    <n v="10"/>
    <s v="Cash"/>
    <x v="1107"/>
  </r>
  <r>
    <s v="ORD2110"/>
    <x v="47"/>
    <s v="Yolanda Garrett"/>
    <x v="1"/>
    <x v="0"/>
    <s v="Storex DuraTech Recycled Plastic Frosted Binders"/>
    <x v="5"/>
    <n v="330.44"/>
    <n v="5"/>
    <s v="Credit Card"/>
    <x v="1108"/>
  </r>
  <r>
    <s v="ORD2111"/>
    <x v="531"/>
    <s v="Matthew Miles"/>
    <x v="2"/>
    <x v="2"/>
    <s v="Polycom ViewStation™ ISDN Videoconferencing Unit"/>
    <x v="5"/>
    <n v="888.7"/>
    <n v="20"/>
    <s v="Cash"/>
    <x v="1109"/>
  </r>
  <r>
    <s v="ORD2112"/>
    <x v="146"/>
    <s v="Beth Hall"/>
    <x v="3"/>
    <x v="0"/>
    <s v="Xerox 1950"/>
    <x v="3"/>
    <n v="1812.33"/>
    <n v="0"/>
    <s v="Net Banking"/>
    <x v="1110"/>
  </r>
  <r>
    <s v="ORD2113"/>
    <x v="484"/>
    <s v="Dr. Nicole Trujillo"/>
    <x v="0"/>
    <x v="0"/>
    <s v="Staples Battery-Operated Desktop Pencil Sharpener"/>
    <x v="2"/>
    <n v="1699.41"/>
    <n v="5"/>
    <s v="UPI"/>
    <x v="1111"/>
  </r>
  <r>
    <s v="ORD2114"/>
    <x v="575"/>
    <s v="Corey Norris"/>
    <x v="1"/>
    <x v="2"/>
    <s v="80 Minute CD-R Spindle, 100/Pack - Staples"/>
    <x v="7"/>
    <n v="831.84"/>
    <n v="15"/>
    <s v="UPI"/>
    <x v="1112"/>
  </r>
  <r>
    <s v="ORD2115"/>
    <x v="541"/>
    <s v="Chad Roach"/>
    <x v="0"/>
    <x v="0"/>
    <s v="Avery 493"/>
    <x v="1"/>
    <n v="1538.06"/>
    <n v="20"/>
    <s v="UPI"/>
    <x v="1113"/>
  </r>
  <r>
    <s v="ORD2116"/>
    <x v="314"/>
    <s v="Mr. Edward Terry"/>
    <x v="2"/>
    <x v="0"/>
    <s v="Xerox 220"/>
    <x v="1"/>
    <n v="1655.16"/>
    <n v="0"/>
    <s v="Net Banking"/>
    <x v="1114"/>
  </r>
  <r>
    <s v="ORD2117"/>
    <x v="221"/>
    <s v="Cody Bailey"/>
    <x v="1"/>
    <x v="1"/>
    <s v="O'Sullivan Living Dimensions 2-Shelf Bookcases"/>
    <x v="4"/>
    <n v="1783.33"/>
    <n v="10"/>
    <s v="Credit Card"/>
    <x v="1115"/>
  </r>
  <r>
    <s v="ORD2118"/>
    <x v="90"/>
    <s v="Denise Guerra"/>
    <x v="1"/>
    <x v="2"/>
    <s v="Canon BP1200DH 12-Digit Bubble Jet Printing Calculator"/>
    <x v="4"/>
    <n v="1111.79"/>
    <n v="0"/>
    <s v="Net Banking"/>
    <x v="1116"/>
  </r>
  <r>
    <s v="ORD2119"/>
    <x v="532"/>
    <s v="Kristen Jones"/>
    <x v="1"/>
    <x v="2"/>
    <s v="688"/>
    <x v="1"/>
    <n v="448.7"/>
    <n v="10"/>
    <s v="Cash"/>
    <x v="1117"/>
  </r>
  <r>
    <s v="ORD2120"/>
    <x v="576"/>
    <s v="Edward Baker"/>
    <x v="1"/>
    <x v="0"/>
    <s v="Xerox 1908"/>
    <x v="7"/>
    <n v="547.85"/>
    <n v="20"/>
    <s v="Credit Card"/>
    <x v="1118"/>
  </r>
  <r>
    <s v="ORD2121"/>
    <x v="42"/>
    <s v="Aaron Little"/>
    <x v="0"/>
    <x v="0"/>
    <s v="Revere Boxed Rubber Bands by Revere"/>
    <x v="6"/>
    <n v="626.6"/>
    <n v="10"/>
    <s v="UPI"/>
    <x v="1119"/>
  </r>
  <r>
    <s v="ORD2122"/>
    <x v="577"/>
    <s v="Cody Smith"/>
    <x v="2"/>
    <x v="2"/>
    <s v="Keytronic French Keyboard"/>
    <x v="8"/>
    <n v="1207.9100000000001"/>
    <n v="15"/>
    <s v="Cash"/>
    <x v="1120"/>
  </r>
  <r>
    <s v="ORD2123"/>
    <x v="542"/>
    <s v="Patty Allen"/>
    <x v="2"/>
    <x v="0"/>
    <s v="Xerox 1893"/>
    <x v="6"/>
    <n v="113.98"/>
    <n v="10"/>
    <s v="UPI"/>
    <x v="1121"/>
  </r>
  <r>
    <s v="ORD2124"/>
    <x v="156"/>
    <s v="Mary Ryan"/>
    <x v="3"/>
    <x v="2"/>
    <s v="Accessory37"/>
    <x v="3"/>
    <n v="1290.28"/>
    <n v="15"/>
    <s v="Credit Card"/>
    <x v="1122"/>
  </r>
  <r>
    <s v="ORD2125"/>
    <x v="28"/>
    <s v="Joseph Jimenez"/>
    <x v="0"/>
    <x v="0"/>
    <s v="Xerox 199"/>
    <x v="8"/>
    <n v="760.49"/>
    <n v="20"/>
    <s v="Net Banking"/>
    <x v="1123"/>
  </r>
  <r>
    <s v="ORD2126"/>
    <x v="542"/>
    <s v="Lisa Morris"/>
    <x v="2"/>
    <x v="1"/>
    <s v="Bretford Rectangular Conference Table Tops"/>
    <x v="8"/>
    <n v="625.72"/>
    <n v="20"/>
    <s v="Cash"/>
    <x v="1124"/>
  </r>
  <r>
    <s v="ORD2127"/>
    <x v="380"/>
    <s v="Ashley Mills"/>
    <x v="0"/>
    <x v="1"/>
    <s v="Bush Advantage Collection® Racetrack Conference Table"/>
    <x v="2"/>
    <n v="1765.02"/>
    <n v="0"/>
    <s v="Net Banking"/>
    <x v="1125"/>
  </r>
  <r>
    <s v="ORD2128"/>
    <x v="312"/>
    <s v="Russell Anderson"/>
    <x v="0"/>
    <x v="2"/>
    <s v="T28 WORLD"/>
    <x v="7"/>
    <n v="947"/>
    <n v="15"/>
    <s v="Cash"/>
    <x v="1126"/>
  </r>
  <r>
    <s v="ORD2129"/>
    <x v="348"/>
    <s v="Christina Washington"/>
    <x v="2"/>
    <x v="2"/>
    <s v="Memorex 4.7GB DVD+R, 3/Pack"/>
    <x v="7"/>
    <n v="235.35"/>
    <n v="15"/>
    <s v="UPI"/>
    <x v="1127"/>
  </r>
  <r>
    <s v="ORD2130"/>
    <x v="578"/>
    <s v="Kenneth Huff"/>
    <x v="3"/>
    <x v="0"/>
    <s v="Newell 326"/>
    <x v="8"/>
    <n v="1662.16"/>
    <n v="5"/>
    <s v="UPI"/>
    <x v="1128"/>
  </r>
  <r>
    <s v="ORD2131"/>
    <x v="283"/>
    <s v="Kelly Miles"/>
    <x v="3"/>
    <x v="2"/>
    <s v="Memorex 4.7GB DVD-RAM, 3/Pack"/>
    <x v="2"/>
    <n v="142.9"/>
    <n v="5"/>
    <s v="Net Banking"/>
    <x v="1129"/>
  </r>
  <r>
    <s v="ORD2132"/>
    <x v="204"/>
    <s v="Jacob Obrien"/>
    <x v="3"/>
    <x v="0"/>
    <s v="Wausau Papers Astrobrights® Colored Envelopes"/>
    <x v="8"/>
    <n v="1467.16"/>
    <n v="5"/>
    <s v="UPI"/>
    <x v="1130"/>
  </r>
  <r>
    <s v="ORD2133"/>
    <x v="202"/>
    <s v="Timothy Clark"/>
    <x v="1"/>
    <x v="2"/>
    <s v="Accessory35"/>
    <x v="0"/>
    <n v="1559.12"/>
    <n v="10"/>
    <s v="Credit Card"/>
    <x v="1131"/>
  </r>
  <r>
    <s v="ORD2134"/>
    <x v="166"/>
    <s v="Steve Miller PhD"/>
    <x v="2"/>
    <x v="0"/>
    <s v="Xerox 1983"/>
    <x v="4"/>
    <n v="737.58"/>
    <n v="5"/>
    <s v="Credit Card"/>
    <x v="1132"/>
  </r>
  <r>
    <s v="ORD2135"/>
    <x v="300"/>
    <s v="Justin Hurley"/>
    <x v="1"/>
    <x v="2"/>
    <s v="Memorex 4.7GB DVD+RW, 3/Pack"/>
    <x v="4"/>
    <n v="1658.34"/>
    <n v="15"/>
    <s v="Credit Card"/>
    <x v="1133"/>
  </r>
  <r>
    <s v="ORD2136"/>
    <x v="194"/>
    <s v="Jacob Erickson"/>
    <x v="1"/>
    <x v="0"/>
    <s v="Lumber Crayons"/>
    <x v="6"/>
    <n v="1055.54"/>
    <n v="10"/>
    <s v="Credit Card"/>
    <x v="1134"/>
  </r>
  <r>
    <s v="ORD2137"/>
    <x v="312"/>
    <s v="Deborah Williams"/>
    <x v="1"/>
    <x v="2"/>
    <s v="Timeport L7089"/>
    <x v="3"/>
    <n v="953.42"/>
    <n v="20"/>
    <s v="Cash"/>
    <x v="1135"/>
  </r>
  <r>
    <s v="ORD2138"/>
    <x v="579"/>
    <s v="Eric Blackburn"/>
    <x v="0"/>
    <x v="1"/>
    <s v="Atlantic Metals Mobile 2-Shelf Bookcases, Custom Colors"/>
    <x v="4"/>
    <n v="138.54"/>
    <n v="0"/>
    <s v="Cash"/>
    <x v="1136"/>
  </r>
  <r>
    <s v="ORD2139"/>
    <x v="580"/>
    <s v="Anne Hardy"/>
    <x v="0"/>
    <x v="0"/>
    <s v="GBC DocuBind 200 Manual Binding Machine"/>
    <x v="5"/>
    <n v="615.55999999999995"/>
    <n v="5"/>
    <s v="Credit Card"/>
    <x v="1137"/>
  </r>
  <r>
    <s v="ORD2140"/>
    <x v="388"/>
    <s v="Chelsey Fox"/>
    <x v="2"/>
    <x v="1"/>
    <s v="Hon 4070 Series Pagoda™ Armless Upholstered Stacking Chairs"/>
    <x v="6"/>
    <n v="1865.47"/>
    <n v="20"/>
    <s v="Cash"/>
    <x v="1138"/>
  </r>
  <r>
    <s v="ORD2141"/>
    <x v="215"/>
    <s v="Mario White"/>
    <x v="2"/>
    <x v="2"/>
    <s v="Gyration Ultra Professional Cordless Optical Suite"/>
    <x v="4"/>
    <n v="814.06"/>
    <n v="15"/>
    <s v="Credit Card"/>
    <x v="1139"/>
  </r>
  <r>
    <s v="ORD2142"/>
    <x v="274"/>
    <s v="Jennifer Garcia"/>
    <x v="0"/>
    <x v="0"/>
    <s v="Iris® 3-Drawer Stacking Bin, Black"/>
    <x v="3"/>
    <n v="1116.07"/>
    <n v="0"/>
    <s v="Net Banking"/>
    <x v="1140"/>
  </r>
  <r>
    <s v="ORD2143"/>
    <x v="581"/>
    <s v="Heather Ellis"/>
    <x v="0"/>
    <x v="2"/>
    <s v="1726 Digital Answering Machine"/>
    <x v="7"/>
    <n v="1087.44"/>
    <n v="20"/>
    <s v="Cash"/>
    <x v="1141"/>
  </r>
  <r>
    <s v="ORD2144"/>
    <x v="582"/>
    <s v="Sonya Jackson"/>
    <x v="1"/>
    <x v="0"/>
    <s v="Storex DuraTech Recycled Plastic Frosted Binders"/>
    <x v="7"/>
    <n v="1201.3399999999999"/>
    <n v="0"/>
    <s v="Credit Card"/>
    <x v="1142"/>
  </r>
  <r>
    <s v="ORD2145"/>
    <x v="31"/>
    <s v="James Morgan"/>
    <x v="3"/>
    <x v="2"/>
    <s v="Targus USB Numeric Keypad"/>
    <x v="8"/>
    <n v="169.6"/>
    <n v="5"/>
    <s v="Credit Card"/>
    <x v="1143"/>
  </r>
  <r>
    <s v="ORD2146"/>
    <x v="154"/>
    <s v="Zachary Ramos"/>
    <x v="3"/>
    <x v="2"/>
    <s v="Accessory41"/>
    <x v="0"/>
    <n v="756.24"/>
    <n v="15"/>
    <s v="Net Banking"/>
    <x v="1144"/>
  </r>
  <r>
    <s v="ORD2147"/>
    <x v="583"/>
    <s v="Ethan Frey"/>
    <x v="3"/>
    <x v="2"/>
    <s v="Imation 5.2GB DVD-RAM"/>
    <x v="7"/>
    <n v="1460.1"/>
    <n v="0"/>
    <s v="Net Banking"/>
    <x v="1145"/>
  </r>
  <r>
    <s v="ORD2148"/>
    <x v="18"/>
    <s v="Jacob Duran"/>
    <x v="3"/>
    <x v="0"/>
    <s v="Avery 481"/>
    <x v="2"/>
    <n v="441.09"/>
    <n v="20"/>
    <s v="UPI"/>
    <x v="1146"/>
  </r>
  <r>
    <s v="ORD2149"/>
    <x v="584"/>
    <s v="Nicholas Franklin"/>
    <x v="3"/>
    <x v="2"/>
    <s v="i500plus"/>
    <x v="4"/>
    <n v="446.98"/>
    <n v="5"/>
    <s v="Credit Card"/>
    <x v="1147"/>
  </r>
  <r>
    <s v="ORD2150"/>
    <x v="420"/>
    <s v="Cindy Cannon"/>
    <x v="1"/>
    <x v="0"/>
    <s v="Speediset Carbonless Redi-Letter® 7&quot; x 8 1/2&quot;"/>
    <x v="2"/>
    <n v="69.680000000000007"/>
    <n v="5"/>
    <s v="UPI"/>
    <x v="1148"/>
  </r>
  <r>
    <s v="ORD2151"/>
    <x v="533"/>
    <s v="Dawn Nixon"/>
    <x v="2"/>
    <x v="1"/>
    <s v="Atlantic Metals Mobile 3-Shelf Bookcases, Custom Colors"/>
    <x v="3"/>
    <n v="903.09"/>
    <n v="20"/>
    <s v="Cash"/>
    <x v="1149"/>
  </r>
  <r>
    <s v="ORD2152"/>
    <x v="585"/>
    <s v="James Barber"/>
    <x v="0"/>
    <x v="1"/>
    <s v="Ultra Door Pull Handle"/>
    <x v="7"/>
    <n v="1771.33"/>
    <n v="20"/>
    <s v="Credit Card"/>
    <x v="1150"/>
  </r>
  <r>
    <s v="ORD2153"/>
    <x v="259"/>
    <s v="Ms. Kelly Holder"/>
    <x v="1"/>
    <x v="0"/>
    <s v="Xerox 1920"/>
    <x v="0"/>
    <n v="151.21"/>
    <n v="0"/>
    <s v="Credit Card"/>
    <x v="1151"/>
  </r>
  <r>
    <s v="ORD2154"/>
    <x v="423"/>
    <s v="Eric Walker"/>
    <x v="3"/>
    <x v="1"/>
    <s v="Hon 4070 Series Pagoda™ Armless Upholstered Stacking Chairs"/>
    <x v="3"/>
    <n v="422.68"/>
    <n v="10"/>
    <s v="Cash"/>
    <x v="1152"/>
  </r>
  <r>
    <s v="ORD2155"/>
    <x v="364"/>
    <s v="Alison Short"/>
    <x v="0"/>
    <x v="0"/>
    <s v="Binder Clips by OIC"/>
    <x v="5"/>
    <n v="654.66"/>
    <n v="5"/>
    <s v="Net Banking"/>
    <x v="1153"/>
  </r>
  <r>
    <s v="ORD2156"/>
    <x v="586"/>
    <s v="Desiree Spencer"/>
    <x v="1"/>
    <x v="0"/>
    <s v="Fellowes Superior 10 Outlet Split Surge Protector"/>
    <x v="5"/>
    <n v="1476.86"/>
    <n v="0"/>
    <s v="Credit Card"/>
    <x v="1154"/>
  </r>
  <r>
    <s v="ORD2157"/>
    <x v="393"/>
    <s v="Tammy Moore"/>
    <x v="3"/>
    <x v="2"/>
    <s v="Hewlett Packard LaserJet 3310 Copier"/>
    <x v="2"/>
    <n v="1299.24"/>
    <n v="20"/>
    <s v="Net Banking"/>
    <x v="1155"/>
  </r>
  <r>
    <s v="ORD2158"/>
    <x v="258"/>
    <s v="Henry Taylor"/>
    <x v="1"/>
    <x v="0"/>
    <s v="Unpadded Memo Slips"/>
    <x v="8"/>
    <n v="861.09"/>
    <n v="0"/>
    <s v="Credit Card"/>
    <x v="1156"/>
  </r>
  <r>
    <s v="ORD2159"/>
    <x v="164"/>
    <s v="Kevin Hall"/>
    <x v="0"/>
    <x v="1"/>
    <s v="Bretford CR8500 Series Meeting Room Furniture"/>
    <x v="6"/>
    <n v="1530.18"/>
    <n v="20"/>
    <s v="UPI"/>
    <x v="1157"/>
  </r>
  <r>
    <s v="ORD2160"/>
    <x v="325"/>
    <s v="Anna Ross"/>
    <x v="2"/>
    <x v="2"/>
    <s v="Gyration Ultra Professional Cordless Optical Suite"/>
    <x v="8"/>
    <n v="1238.78"/>
    <n v="15"/>
    <s v="Net Banking"/>
    <x v="1158"/>
  </r>
  <r>
    <s v="ORD2161"/>
    <x v="52"/>
    <s v="Morgan Cummings"/>
    <x v="3"/>
    <x v="1"/>
    <s v="Ultra Commercial Grade Dual Valve Door Closer"/>
    <x v="8"/>
    <n v="1797.28"/>
    <n v="20"/>
    <s v="UPI"/>
    <x v="1159"/>
  </r>
  <r>
    <s v="ORD2162"/>
    <x v="492"/>
    <s v="Carrie Petersen"/>
    <x v="0"/>
    <x v="0"/>
    <s v="Acco 6 Outlet Guardian Premium Surge Suppressor"/>
    <x v="0"/>
    <n v="1645.15"/>
    <n v="20"/>
    <s v="Credit Card"/>
    <x v="1160"/>
  </r>
  <r>
    <s v="ORD2163"/>
    <x v="587"/>
    <s v="Laura Velez"/>
    <x v="0"/>
    <x v="2"/>
    <s v="Okidata ML320 Series Turbo Dot Matrix Printers"/>
    <x v="7"/>
    <n v="542.99"/>
    <n v="20"/>
    <s v="UPI"/>
    <x v="1161"/>
  </r>
  <r>
    <s v="ORD2164"/>
    <x v="216"/>
    <s v="Elizabeth Cross"/>
    <x v="2"/>
    <x v="0"/>
    <s v="Xerox 1994"/>
    <x v="0"/>
    <n v="579.30999999999995"/>
    <n v="10"/>
    <s v="Credit Card"/>
    <x v="1162"/>
  </r>
  <r>
    <s v="ORD2165"/>
    <x v="247"/>
    <s v="Angela Brown"/>
    <x v="1"/>
    <x v="0"/>
    <s v="Xerox 1994"/>
    <x v="3"/>
    <n v="294.45"/>
    <n v="20"/>
    <s v="Credit Card"/>
    <x v="1163"/>
  </r>
  <r>
    <s v="ORD2166"/>
    <x v="529"/>
    <s v="Hannah Montoya"/>
    <x v="2"/>
    <x v="0"/>
    <s v="Sanford Liquid Accent Highlighters"/>
    <x v="5"/>
    <n v="707.08"/>
    <n v="5"/>
    <s v="UPI"/>
    <x v="1164"/>
  </r>
  <r>
    <s v="ORD2167"/>
    <x v="94"/>
    <s v="Sean Kane"/>
    <x v="2"/>
    <x v="0"/>
    <s v="*Staples* Packaging Labels"/>
    <x v="0"/>
    <n v="1999.11"/>
    <n v="5"/>
    <s v="Credit Card"/>
    <x v="1165"/>
  </r>
  <r>
    <s v="ORD2168"/>
    <x v="84"/>
    <s v="Matthew Guzman"/>
    <x v="1"/>
    <x v="1"/>
    <s v="Hon GuestStacker Chair"/>
    <x v="3"/>
    <n v="841.21"/>
    <n v="0"/>
    <s v="Cash"/>
    <x v="1166"/>
  </r>
  <r>
    <s v="ORD2169"/>
    <x v="588"/>
    <s v="Richard Reyes"/>
    <x v="1"/>
    <x v="0"/>
    <s v="Tennsco Lockers, Gray"/>
    <x v="0"/>
    <n v="479.95"/>
    <n v="10"/>
    <s v="Credit Card"/>
    <x v="1167"/>
  </r>
  <r>
    <s v="ORD2170"/>
    <x v="199"/>
    <s v="Andrew Fernandez"/>
    <x v="1"/>
    <x v="1"/>
    <s v="Bevis Steel Folding Chairs"/>
    <x v="8"/>
    <n v="1536.84"/>
    <n v="0"/>
    <s v="Credit Card"/>
    <x v="1168"/>
  </r>
  <r>
    <s v="ORD2171"/>
    <x v="163"/>
    <s v="Jonathan Walker"/>
    <x v="0"/>
    <x v="1"/>
    <s v="Hon Pagoda™ Stacking Chairs"/>
    <x v="4"/>
    <n v="1107.82"/>
    <n v="5"/>
    <s v="Cash"/>
    <x v="1169"/>
  </r>
  <r>
    <s v="ORD2172"/>
    <x v="520"/>
    <s v="Nicholas Long"/>
    <x v="0"/>
    <x v="2"/>
    <s v="StarTAC 6500"/>
    <x v="2"/>
    <n v="341.72"/>
    <n v="5"/>
    <s v="Net Banking"/>
    <x v="1170"/>
  </r>
  <r>
    <s v="ORD2173"/>
    <x v="233"/>
    <s v="Kurt Wagner"/>
    <x v="3"/>
    <x v="2"/>
    <s v="Lexmark Z25 Color Inkjet Printer"/>
    <x v="6"/>
    <n v="792.34"/>
    <n v="15"/>
    <s v="Cash"/>
    <x v="1171"/>
  </r>
  <r>
    <s v="ORD2174"/>
    <x v="174"/>
    <s v="Dylan Foster"/>
    <x v="3"/>
    <x v="2"/>
    <s v="Verbatim DVD-RAM, 9.4GB, Rewritable, Type 1, DS, DataLife Plus"/>
    <x v="0"/>
    <n v="858.22"/>
    <n v="20"/>
    <s v="Cash"/>
    <x v="1172"/>
  </r>
  <r>
    <s v="ORD2175"/>
    <x v="73"/>
    <s v="Bradley Duncan"/>
    <x v="2"/>
    <x v="1"/>
    <s v="Bevis 36 x 72 Conference Tables"/>
    <x v="6"/>
    <n v="1519.97"/>
    <n v="5"/>
    <s v="Cash"/>
    <x v="1173"/>
  </r>
  <r>
    <s v="ORD2176"/>
    <x v="116"/>
    <s v="James Miller"/>
    <x v="2"/>
    <x v="0"/>
    <s v="Xerox 1974"/>
    <x v="1"/>
    <n v="90.31"/>
    <n v="0"/>
    <s v="Cash"/>
    <x v="1174"/>
  </r>
  <r>
    <s v="ORD2177"/>
    <x v="589"/>
    <s v="Patricia Anderson"/>
    <x v="3"/>
    <x v="1"/>
    <s v="Bush Mission Pointe Library"/>
    <x v="0"/>
    <n v="574.59"/>
    <n v="0"/>
    <s v="Net Banking"/>
    <x v="1175"/>
  </r>
  <r>
    <s v="ORD2178"/>
    <x v="506"/>
    <s v="Justin Freeman"/>
    <x v="2"/>
    <x v="2"/>
    <s v="Fellowes Internet Keyboard, Platinum"/>
    <x v="4"/>
    <n v="1059.31"/>
    <n v="20"/>
    <s v="Credit Card"/>
    <x v="1176"/>
  </r>
  <r>
    <s v="ORD2179"/>
    <x v="59"/>
    <s v="Christina Gilbert"/>
    <x v="1"/>
    <x v="2"/>
    <s v="SouthWestern Bell FA970 Digital Answering Machine with Time/Day Stamp"/>
    <x v="6"/>
    <n v="574.25"/>
    <n v="20"/>
    <s v="UPI"/>
    <x v="1177"/>
  </r>
  <r>
    <s v="ORD2180"/>
    <x v="187"/>
    <s v="Danielle Jones"/>
    <x v="0"/>
    <x v="0"/>
    <s v="Adams Phone Message Book, Professional, 400 Message Capacity, 5 3/6” x 11”"/>
    <x v="0"/>
    <n v="1275.45"/>
    <n v="15"/>
    <s v="Net Banking"/>
    <x v="1178"/>
  </r>
  <r>
    <s v="ORD2181"/>
    <x v="388"/>
    <s v="Erica Glass"/>
    <x v="3"/>
    <x v="2"/>
    <s v="Epson DFX-8500 Dot Matrix Printer"/>
    <x v="7"/>
    <n v="989.64"/>
    <n v="10"/>
    <s v="Net Banking"/>
    <x v="1179"/>
  </r>
  <r>
    <s v="ORD2182"/>
    <x v="590"/>
    <s v="Michael Henderson"/>
    <x v="0"/>
    <x v="0"/>
    <s v="Wilson Jones Custom Binder Spines &amp; Labels"/>
    <x v="2"/>
    <n v="755.33"/>
    <n v="0"/>
    <s v="Credit Card"/>
    <x v="1180"/>
  </r>
  <r>
    <s v="ORD2183"/>
    <x v="283"/>
    <s v="Frank Wheeler"/>
    <x v="3"/>
    <x v="2"/>
    <s v="Sharp 1540cs Digital Laser Copier"/>
    <x v="4"/>
    <n v="1900.96"/>
    <n v="20"/>
    <s v="Cash"/>
    <x v="1181"/>
  </r>
  <r>
    <s v="ORD2184"/>
    <x v="591"/>
    <s v="Eric Huerta"/>
    <x v="0"/>
    <x v="0"/>
    <s v="Boston 16801 Nautilus™ Battery Pencil Sharpener"/>
    <x v="6"/>
    <n v="1282.71"/>
    <n v="0"/>
    <s v="Cash"/>
    <x v="1182"/>
  </r>
  <r>
    <s v="ORD2185"/>
    <x v="592"/>
    <s v="Wanda Ramos"/>
    <x v="3"/>
    <x v="0"/>
    <s v="Multi-Use Personal File Cart and Caster Set, Three Stacking Bins"/>
    <x v="4"/>
    <n v="303.39"/>
    <n v="20"/>
    <s v="Net Banking"/>
    <x v="1183"/>
  </r>
  <r>
    <s v="ORD2186"/>
    <x v="513"/>
    <s v="Andrew Meyers"/>
    <x v="0"/>
    <x v="0"/>
    <s v="Advantus Rolling Storage Box"/>
    <x v="3"/>
    <n v="1142.18"/>
    <n v="5"/>
    <s v="UPI"/>
    <x v="1184"/>
  </r>
  <r>
    <s v="ORD2187"/>
    <x v="380"/>
    <s v="James Todd"/>
    <x v="1"/>
    <x v="1"/>
    <s v="Career Cubicle Clock, 8 1/4&quot;, Black"/>
    <x v="2"/>
    <n v="1572.43"/>
    <n v="0"/>
    <s v="Cash"/>
    <x v="1185"/>
  </r>
  <r>
    <s v="ORD2188"/>
    <x v="534"/>
    <s v="Ashley Brown"/>
    <x v="3"/>
    <x v="0"/>
    <s v="Tennsco Commercial Shelving"/>
    <x v="0"/>
    <n v="1431.55"/>
    <n v="5"/>
    <s v="Net Banking"/>
    <x v="1186"/>
  </r>
  <r>
    <s v="ORD2189"/>
    <x v="32"/>
    <s v="Tammy Melton"/>
    <x v="3"/>
    <x v="1"/>
    <s v="Hon Deluxe Fabric Upholstered Stacking Chairs, Rounded Back"/>
    <x v="0"/>
    <n v="385.57"/>
    <n v="0"/>
    <s v="UPI"/>
    <x v="1187"/>
  </r>
  <r>
    <s v="ORD2190"/>
    <x v="209"/>
    <s v="Alexis Benson"/>
    <x v="3"/>
    <x v="0"/>
    <s v="Binder Posts"/>
    <x v="0"/>
    <n v="1946.22"/>
    <n v="10"/>
    <s v="UPI"/>
    <x v="1188"/>
  </r>
  <r>
    <s v="ORD2191"/>
    <x v="593"/>
    <s v="Jerry Johnson"/>
    <x v="1"/>
    <x v="1"/>
    <s v="Eldon Cleatmat® Chair Mats for Medium Pile Carpets"/>
    <x v="2"/>
    <n v="925.19"/>
    <n v="15"/>
    <s v="UPI"/>
    <x v="1189"/>
  </r>
  <r>
    <s v="ORD2192"/>
    <x v="156"/>
    <s v="Joshua Harris"/>
    <x v="0"/>
    <x v="2"/>
    <s v="Okidata ML390 Turbo Dot Matrix Printers"/>
    <x v="7"/>
    <n v="360.1"/>
    <n v="5"/>
    <s v="UPI"/>
    <x v="1190"/>
  </r>
  <r>
    <s v="ORD2193"/>
    <x v="594"/>
    <s v="Deanna Webb"/>
    <x v="3"/>
    <x v="1"/>
    <s v="Advantus Employee of the Month Certificate Frame, 11 x 13-1/2"/>
    <x v="1"/>
    <n v="401.38"/>
    <n v="20"/>
    <s v="Net Banking"/>
    <x v="1191"/>
  </r>
  <r>
    <s v="ORD2194"/>
    <x v="83"/>
    <s v="Brenda Hale"/>
    <x v="0"/>
    <x v="2"/>
    <s v="Panasonic KX-P3200 Dot Matrix Printer"/>
    <x v="5"/>
    <n v="241.56"/>
    <n v="10"/>
    <s v="Net Banking"/>
    <x v="1192"/>
  </r>
  <r>
    <s v="ORD2195"/>
    <x v="525"/>
    <s v="Kevin Alvarado"/>
    <x v="1"/>
    <x v="1"/>
    <s v="Hon 94000 Series Round Tables"/>
    <x v="8"/>
    <n v="1616.86"/>
    <n v="0"/>
    <s v="UPI"/>
    <x v="1193"/>
  </r>
  <r>
    <s v="ORD2196"/>
    <x v="428"/>
    <s v="Christopher Campbell"/>
    <x v="2"/>
    <x v="0"/>
    <s v="Xerox 1979"/>
    <x v="6"/>
    <n v="287.95999999999998"/>
    <n v="5"/>
    <s v="Cash"/>
    <x v="1194"/>
  </r>
  <r>
    <s v="ORD2197"/>
    <x v="315"/>
    <s v="Lisa Brown"/>
    <x v="3"/>
    <x v="1"/>
    <s v="Hon Non-Folding Utility Tables"/>
    <x v="7"/>
    <n v="293.99"/>
    <n v="0"/>
    <s v="Cash"/>
    <x v="1195"/>
  </r>
  <r>
    <s v="ORD2198"/>
    <x v="426"/>
    <s v="Alejandra Price"/>
    <x v="1"/>
    <x v="2"/>
    <s v="Accessory36"/>
    <x v="6"/>
    <n v="1708.42"/>
    <n v="0"/>
    <s v="Net Banking"/>
    <x v="1196"/>
  </r>
  <r>
    <s v="ORD2199"/>
    <x v="71"/>
    <s v="Samuel Keller"/>
    <x v="0"/>
    <x v="0"/>
    <s v="Acco PRESSTEX® Data Binder with Storage Hooks, Dark Blue, 9 1/2&quot; X 11&quot;"/>
    <x v="0"/>
    <n v="721.98"/>
    <n v="0"/>
    <s v="UPI"/>
    <x v="1197"/>
  </r>
  <r>
    <s v="ORD2200"/>
    <x v="410"/>
    <s v="Alicia Dillon"/>
    <x v="3"/>
    <x v="0"/>
    <s v="Newell 337"/>
    <x v="4"/>
    <n v="110.17"/>
    <n v="15"/>
    <s v="UPI"/>
    <x v="1198"/>
  </r>
  <r>
    <s v="ORD2201"/>
    <x v="357"/>
    <s v="Crystal James"/>
    <x v="0"/>
    <x v="0"/>
    <s v="Newell 339"/>
    <x v="6"/>
    <n v="151.19999999999999"/>
    <n v="15"/>
    <s v="Net Banking"/>
    <x v="1199"/>
  </r>
  <r>
    <s v="ORD2202"/>
    <x v="595"/>
    <s v="Ariana Stewart"/>
    <x v="2"/>
    <x v="0"/>
    <s v="Newell 343"/>
    <x v="0"/>
    <n v="327.23"/>
    <n v="20"/>
    <s v="Net Banking"/>
    <x v="1200"/>
  </r>
  <r>
    <s v="ORD2203"/>
    <x v="241"/>
    <s v="Kim Lopez"/>
    <x v="3"/>
    <x v="0"/>
    <s v="Binder Clips by OIC"/>
    <x v="6"/>
    <n v="466.12"/>
    <n v="5"/>
    <s v="Net Banking"/>
    <x v="1201"/>
  </r>
  <r>
    <s v="ORD2204"/>
    <x v="101"/>
    <s v="Judith House"/>
    <x v="3"/>
    <x v="0"/>
    <s v="Brown Kraft Recycled Envelopes"/>
    <x v="4"/>
    <n v="1347.04"/>
    <n v="10"/>
    <s v="Credit Card"/>
    <x v="1202"/>
  </r>
  <r>
    <s v="ORD2205"/>
    <x v="396"/>
    <s v="David Moreno"/>
    <x v="0"/>
    <x v="0"/>
    <s v="Brown Kraft Recycled Envelopes"/>
    <x v="0"/>
    <n v="356.79"/>
    <n v="10"/>
    <s v="Credit Card"/>
    <x v="1203"/>
  </r>
  <r>
    <s v="ORD2206"/>
    <x v="4"/>
    <s v="James Moore"/>
    <x v="3"/>
    <x v="0"/>
    <s v="Stanley Bostitch Contemporary Electric Pencil Sharpeners"/>
    <x v="1"/>
    <n v="281.81"/>
    <n v="10"/>
    <s v="UPI"/>
    <x v="1204"/>
  </r>
  <r>
    <s v="ORD2207"/>
    <x v="76"/>
    <s v="Harold Garrett"/>
    <x v="1"/>
    <x v="2"/>
    <s v="282"/>
    <x v="7"/>
    <n v="1541.2"/>
    <n v="0"/>
    <s v="Credit Card"/>
    <x v="1205"/>
  </r>
  <r>
    <s v="ORD2208"/>
    <x v="271"/>
    <s v="William Mason"/>
    <x v="1"/>
    <x v="0"/>
    <s v="Stanley Bostitch Contemporary Electric Pencil Sharpeners"/>
    <x v="3"/>
    <n v="1358.56"/>
    <n v="15"/>
    <s v="Cash"/>
    <x v="1206"/>
  </r>
  <r>
    <s v="ORD2209"/>
    <x v="164"/>
    <s v="Lori Johns"/>
    <x v="2"/>
    <x v="2"/>
    <s v="282"/>
    <x v="8"/>
    <n v="898.88"/>
    <n v="5"/>
    <s v="UPI"/>
    <x v="1207"/>
  </r>
  <r>
    <s v="ORD2210"/>
    <x v="596"/>
    <s v="Robin Johnson"/>
    <x v="1"/>
    <x v="2"/>
    <s v="Belkin MediaBoard 104- Keyboard"/>
    <x v="2"/>
    <n v="1121.1500000000001"/>
    <n v="0"/>
    <s v="Credit Card"/>
    <x v="1208"/>
  </r>
  <r>
    <s v="ORD2211"/>
    <x v="309"/>
    <s v="Diana Hernandez"/>
    <x v="2"/>
    <x v="2"/>
    <s v="Motorola SB4200 Cable Modem"/>
    <x v="8"/>
    <n v="658.37"/>
    <n v="15"/>
    <s v="UPI"/>
    <x v="1209"/>
  </r>
  <r>
    <s v="ORD2212"/>
    <x v="396"/>
    <s v="Mary Miller"/>
    <x v="0"/>
    <x v="0"/>
    <s v="Fellowes Strictly Business® Drawer File, Letter/Legal Size"/>
    <x v="8"/>
    <n v="990.88"/>
    <n v="15"/>
    <s v="Cash"/>
    <x v="1210"/>
  </r>
  <r>
    <s v="ORD2213"/>
    <x v="511"/>
    <s v="Tyler Salazar"/>
    <x v="0"/>
    <x v="2"/>
    <s v="Gyration Ultra Cordless Optical Suite"/>
    <x v="0"/>
    <n v="1038.01"/>
    <n v="5"/>
    <s v="Cash"/>
    <x v="1211"/>
  </r>
  <r>
    <s v="ORD2214"/>
    <x v="597"/>
    <s v="Crystal Allen"/>
    <x v="2"/>
    <x v="1"/>
    <s v="Electrix 20W Halogen Replacement Bulb for Zoom-In Desk Lamp"/>
    <x v="1"/>
    <n v="805.11"/>
    <n v="5"/>
    <s v="UPI"/>
    <x v="1212"/>
  </r>
  <r>
    <s v="ORD2215"/>
    <x v="543"/>
    <s v="Wesley Browning"/>
    <x v="1"/>
    <x v="0"/>
    <s v="Boston 1799 Powerhouse™ Electric Pencil Sharpener"/>
    <x v="3"/>
    <n v="1817.82"/>
    <n v="5"/>
    <s v="Credit Card"/>
    <x v="1213"/>
  </r>
  <r>
    <s v="ORD2216"/>
    <x v="582"/>
    <s v="Joshua Clark"/>
    <x v="1"/>
    <x v="0"/>
    <s v="Tennsco Lockers, Gray"/>
    <x v="7"/>
    <n v="81.319999999999993"/>
    <n v="0"/>
    <s v="UPI"/>
    <x v="1214"/>
  </r>
  <r>
    <s v="ORD2217"/>
    <x v="9"/>
    <s v="Joshua Mcbride"/>
    <x v="2"/>
    <x v="1"/>
    <s v="Tensor Computer Mounted Lamp"/>
    <x v="7"/>
    <n v="1575.23"/>
    <n v="20"/>
    <s v="Cash"/>
    <x v="1215"/>
  </r>
  <r>
    <s v="ORD2218"/>
    <x v="219"/>
    <s v="Ellen Thornton"/>
    <x v="2"/>
    <x v="1"/>
    <s v="Office Star - Mid Back Dual function Ergonomic High Back Chair with 2-Way Adjustable Arms"/>
    <x v="4"/>
    <n v="292.55"/>
    <n v="5"/>
    <s v="Credit Card"/>
    <x v="1216"/>
  </r>
  <r>
    <s v="ORD2219"/>
    <x v="561"/>
    <s v="Brandy Forbes"/>
    <x v="0"/>
    <x v="0"/>
    <s v="Avery 51"/>
    <x v="2"/>
    <n v="1605.22"/>
    <n v="20"/>
    <s v="Credit Card"/>
    <x v="1217"/>
  </r>
  <r>
    <s v="ORD2220"/>
    <x v="598"/>
    <s v="Brianna Fitzpatrick"/>
    <x v="2"/>
    <x v="0"/>
    <s v="Rediform S.O.S. Phone Message Books"/>
    <x v="6"/>
    <n v="1251.03"/>
    <n v="0"/>
    <s v="Net Banking"/>
    <x v="1218"/>
  </r>
  <r>
    <s v="ORD2221"/>
    <x v="475"/>
    <s v="Emily Grant"/>
    <x v="1"/>
    <x v="2"/>
    <s v="Panasonic KX-P1150 Dot Matrix Printer"/>
    <x v="1"/>
    <n v="1694.39"/>
    <n v="20"/>
    <s v="UPI"/>
    <x v="1219"/>
  </r>
  <r>
    <s v="ORD2222"/>
    <x v="599"/>
    <s v="Bailey Stewart"/>
    <x v="2"/>
    <x v="2"/>
    <s v="Okidata ML320 Series Turbo Dot Matrix Printers"/>
    <x v="6"/>
    <n v="240.15"/>
    <n v="10"/>
    <s v="Cash"/>
    <x v="1220"/>
  </r>
  <r>
    <s v="ORD2223"/>
    <x v="600"/>
    <s v="Monica Cannon"/>
    <x v="2"/>
    <x v="1"/>
    <s v="Metal Folding Chairs, Beige, 4/Carton"/>
    <x v="3"/>
    <n v="1140.01"/>
    <n v="20"/>
    <s v="Cash"/>
    <x v="1221"/>
  </r>
  <r>
    <s v="ORD2224"/>
    <x v="601"/>
    <s v="Jennifer Jenkins"/>
    <x v="2"/>
    <x v="1"/>
    <s v="Hon 94000 Series Round Tables"/>
    <x v="8"/>
    <n v="1027.1199999999999"/>
    <n v="5"/>
    <s v="UPI"/>
    <x v="1222"/>
  </r>
  <r>
    <s v="ORD2225"/>
    <x v="42"/>
    <s v="Timothy Shannon"/>
    <x v="0"/>
    <x v="2"/>
    <s v="Memorex 4.7GB DVD+RW, 3/Pack"/>
    <x v="7"/>
    <n v="1427.08"/>
    <n v="0"/>
    <s v="UPI"/>
    <x v="1223"/>
  </r>
  <r>
    <s v="ORD2226"/>
    <x v="590"/>
    <s v="Denise Maxwell"/>
    <x v="2"/>
    <x v="2"/>
    <s v="3285"/>
    <x v="3"/>
    <n v="1091.8699999999999"/>
    <n v="5"/>
    <s v="Cash"/>
    <x v="1224"/>
  </r>
  <r>
    <s v="ORD2227"/>
    <x v="290"/>
    <s v="Cody Farmer"/>
    <x v="3"/>
    <x v="0"/>
    <s v="Adams Phone Message Book, Professional, 400 Message Capacity, 5 3/6” x 11”"/>
    <x v="8"/>
    <n v="1104.43"/>
    <n v="10"/>
    <s v="Cash"/>
    <x v="1225"/>
  </r>
  <r>
    <s v="ORD2228"/>
    <x v="602"/>
    <s v="Debra Bradley"/>
    <x v="3"/>
    <x v="0"/>
    <s v="Safco Industrial Wire Shelving"/>
    <x v="7"/>
    <n v="887.71"/>
    <n v="5"/>
    <s v="UPI"/>
    <x v="1226"/>
  </r>
  <r>
    <s v="ORD2229"/>
    <x v="447"/>
    <s v="David Mcdaniel"/>
    <x v="3"/>
    <x v="2"/>
    <s v="Canon PC-428 Personal Copier"/>
    <x v="8"/>
    <n v="652.23"/>
    <n v="5"/>
    <s v="UPI"/>
    <x v="1227"/>
  </r>
  <r>
    <s v="ORD2230"/>
    <x v="70"/>
    <s v="Michael Woods"/>
    <x v="1"/>
    <x v="0"/>
    <s v="Newell 337"/>
    <x v="2"/>
    <n v="990.42"/>
    <n v="5"/>
    <s v="Credit Card"/>
    <x v="1228"/>
  </r>
  <r>
    <s v="ORD2231"/>
    <x v="600"/>
    <s v="Lisa Joseph"/>
    <x v="1"/>
    <x v="2"/>
    <s v="Hayes Optima 56K V.90 Internal Voice Modem"/>
    <x v="1"/>
    <n v="281.06"/>
    <n v="15"/>
    <s v="Net Banking"/>
    <x v="1229"/>
  </r>
  <r>
    <s v="ORD2232"/>
    <x v="167"/>
    <s v="Samuel Henry"/>
    <x v="2"/>
    <x v="0"/>
    <s v="Xerox 23"/>
    <x v="3"/>
    <n v="1924.95"/>
    <n v="10"/>
    <s v="Cash"/>
    <x v="1230"/>
  </r>
  <r>
    <s v="ORD2233"/>
    <x v="115"/>
    <s v="Corey Johnson"/>
    <x v="3"/>
    <x v="1"/>
    <s v="Coloredge Poster Frame"/>
    <x v="3"/>
    <n v="1443.1"/>
    <n v="5"/>
    <s v="Credit Card"/>
    <x v="1231"/>
  </r>
  <r>
    <s v="ORD2234"/>
    <x v="603"/>
    <s v="Alexis Nelson"/>
    <x v="0"/>
    <x v="1"/>
    <s v="Office Star Flex Back Scooter Chair with Aluminum Finish Frame"/>
    <x v="5"/>
    <n v="1907.31"/>
    <n v="5"/>
    <s v="UPI"/>
    <x v="1232"/>
  </r>
  <r>
    <s v="ORD2235"/>
    <x v="117"/>
    <s v="Patrick Mcneil"/>
    <x v="3"/>
    <x v="0"/>
    <s v="Fellowes Personal Hanging Folder Files, Navy"/>
    <x v="0"/>
    <n v="492.12"/>
    <n v="5"/>
    <s v="Net Banking"/>
    <x v="1233"/>
  </r>
  <r>
    <s v="ORD2236"/>
    <x v="582"/>
    <s v="Andrea Ho"/>
    <x v="3"/>
    <x v="1"/>
    <s v="Eldon® Wave Desk Accessories"/>
    <x v="2"/>
    <n v="1764.71"/>
    <n v="0"/>
    <s v="Cash"/>
    <x v="1234"/>
  </r>
  <r>
    <s v="ORD2237"/>
    <x v="604"/>
    <s v="Dr. Katherine Nguyen"/>
    <x v="1"/>
    <x v="0"/>
    <s v="Avery 48"/>
    <x v="2"/>
    <n v="1627.14"/>
    <n v="15"/>
    <s v="Net Banking"/>
    <x v="1235"/>
  </r>
  <r>
    <s v="ORD2238"/>
    <x v="72"/>
    <s v="David Sullivan"/>
    <x v="1"/>
    <x v="0"/>
    <s v="Xerox 1917"/>
    <x v="6"/>
    <n v="1370.45"/>
    <n v="0"/>
    <s v="Credit Card"/>
    <x v="1236"/>
  </r>
  <r>
    <s v="ORD2239"/>
    <x v="67"/>
    <s v="Nicolas James"/>
    <x v="0"/>
    <x v="0"/>
    <s v="Xerox 1983"/>
    <x v="8"/>
    <n v="1268.81"/>
    <n v="15"/>
    <s v="UPI"/>
    <x v="1237"/>
  </r>
  <r>
    <s v="ORD2240"/>
    <x v="375"/>
    <s v="Logan Newton"/>
    <x v="1"/>
    <x v="0"/>
    <s v="Tripp Lite Isotel 6 Outlet Surge Protector with Fax/Modem Protection"/>
    <x v="0"/>
    <n v="667.27"/>
    <n v="5"/>
    <s v="Credit Card"/>
    <x v="1238"/>
  </r>
  <r>
    <s v="ORD2241"/>
    <x v="605"/>
    <s v="Kelly Liu"/>
    <x v="0"/>
    <x v="1"/>
    <s v="Novimex Turbo Task Chair"/>
    <x v="1"/>
    <n v="1642"/>
    <n v="10"/>
    <s v="Net Banking"/>
    <x v="1239"/>
  </r>
  <r>
    <s v="ORD2242"/>
    <x v="519"/>
    <s v="Kelly Hayes"/>
    <x v="1"/>
    <x v="0"/>
    <s v="HP Office Paper (20Lb. and 87 Bright)"/>
    <x v="1"/>
    <n v="1027.96"/>
    <n v="20"/>
    <s v="Credit Card"/>
    <x v="1240"/>
  </r>
  <r>
    <s v="ORD2243"/>
    <x v="390"/>
    <s v="Amanda Forbes"/>
    <x v="3"/>
    <x v="0"/>
    <s v="#10- 4 1/8&quot; x 9 1/2&quot; Security-Tint Envelopes"/>
    <x v="2"/>
    <n v="188.24"/>
    <n v="20"/>
    <s v="Credit Card"/>
    <x v="1241"/>
  </r>
  <r>
    <s v="ORD2244"/>
    <x v="606"/>
    <s v="Jennifer Moss"/>
    <x v="3"/>
    <x v="2"/>
    <s v="Hewlett-Packard Deskjet 1220Cse Color Inkjet Printer"/>
    <x v="1"/>
    <n v="660.08"/>
    <n v="5"/>
    <s v="UPI"/>
    <x v="1242"/>
  </r>
  <r>
    <s v="ORD2245"/>
    <x v="350"/>
    <s v="Kelli Mccoy"/>
    <x v="0"/>
    <x v="0"/>
    <s v="Avery White Multi-Purpose Labels"/>
    <x v="5"/>
    <n v="1873.83"/>
    <n v="0"/>
    <s v="UPI"/>
    <x v="1243"/>
  </r>
  <r>
    <s v="ORD2246"/>
    <x v="607"/>
    <s v="Eddie Sanders"/>
    <x v="0"/>
    <x v="2"/>
    <s v="Accessory15"/>
    <x v="3"/>
    <n v="1708.83"/>
    <n v="10"/>
    <s v="Net Banking"/>
    <x v="1244"/>
  </r>
  <r>
    <s v="ORD2247"/>
    <x v="204"/>
    <s v="Ronald Murray"/>
    <x v="1"/>
    <x v="0"/>
    <s v="Avery White Multi-Purpose Labels"/>
    <x v="4"/>
    <n v="1964.72"/>
    <n v="15"/>
    <s v="Net Banking"/>
    <x v="1245"/>
  </r>
  <r>
    <s v="ORD2248"/>
    <x v="234"/>
    <s v="Louis Brown"/>
    <x v="1"/>
    <x v="2"/>
    <s v="Epson C82 Color Inkjet Printer"/>
    <x v="6"/>
    <n v="1274.5899999999999"/>
    <n v="5"/>
    <s v="Credit Card"/>
    <x v="1246"/>
  </r>
  <r>
    <s v="ORD2249"/>
    <x v="589"/>
    <s v="Brenda Gallegos"/>
    <x v="0"/>
    <x v="0"/>
    <s v="Kensington 7 Outlet MasterPiece Power Center with Fax/Phone Line Protection"/>
    <x v="8"/>
    <n v="532.64"/>
    <n v="10"/>
    <s v="Cash"/>
    <x v="1247"/>
  </r>
  <r>
    <s v="ORD2250"/>
    <x v="608"/>
    <s v="Nathan Wilson"/>
    <x v="0"/>
    <x v="0"/>
    <s v="Acco Four Pocket Poly Ring Binder with Label Holder, Smoke, 1&quot;"/>
    <x v="8"/>
    <n v="367.49"/>
    <n v="10"/>
    <s v="Credit Card"/>
    <x v="1248"/>
  </r>
  <r>
    <s v="ORD2251"/>
    <x v="46"/>
    <s v="Teresa Horton"/>
    <x v="3"/>
    <x v="0"/>
    <s v="Xerox 213"/>
    <x v="7"/>
    <n v="414.48"/>
    <n v="15"/>
    <s v="Net Banking"/>
    <x v="1249"/>
  </r>
  <r>
    <s v="ORD2252"/>
    <x v="609"/>
    <s v="Jason Hayes"/>
    <x v="3"/>
    <x v="0"/>
    <s v="Holmes Replacement Filter for HEPA Air Cleaner, Medium Room"/>
    <x v="4"/>
    <n v="88.6"/>
    <n v="10"/>
    <s v="Credit Card"/>
    <x v="1250"/>
  </r>
  <r>
    <s v="ORD2253"/>
    <x v="441"/>
    <s v="Kevin Marquez"/>
    <x v="0"/>
    <x v="0"/>
    <s v="#10 White Business Envelopes,4 1/8 x 9 1/2"/>
    <x v="2"/>
    <n v="811.83"/>
    <n v="0"/>
    <s v="UPI"/>
    <x v="1251"/>
  </r>
  <r>
    <s v="ORD2254"/>
    <x v="156"/>
    <s v="Jesse Wright"/>
    <x v="3"/>
    <x v="1"/>
    <s v="Bevis Round Bullnose 29&quot; High Table Top"/>
    <x v="5"/>
    <n v="423.28"/>
    <n v="0"/>
    <s v="Credit Card"/>
    <x v="1252"/>
  </r>
  <r>
    <s v="ORD2255"/>
    <x v="610"/>
    <s v="Susan Hogan"/>
    <x v="2"/>
    <x v="0"/>
    <s v="Kensington 6 Outlet Guardian Standard Surge Protector"/>
    <x v="3"/>
    <n v="852.73"/>
    <n v="0"/>
    <s v="UPI"/>
    <x v="1253"/>
  </r>
  <r>
    <s v="ORD2256"/>
    <x v="68"/>
    <s v="Becky Wilson"/>
    <x v="1"/>
    <x v="0"/>
    <s v="Super Bands, 12/Pack"/>
    <x v="3"/>
    <n v="1873.24"/>
    <n v="10"/>
    <s v="Cash"/>
    <x v="1254"/>
  </r>
  <r>
    <s v="ORD2257"/>
    <x v="611"/>
    <s v="Jack Mills"/>
    <x v="3"/>
    <x v="2"/>
    <s v="V70"/>
    <x v="5"/>
    <n v="889.55"/>
    <n v="0"/>
    <s v="UPI"/>
    <x v="1255"/>
  </r>
  <r>
    <s v="ORD2258"/>
    <x v="113"/>
    <s v="Richard Hunt"/>
    <x v="2"/>
    <x v="0"/>
    <s v="Acme Galleria® Hot Forged Steel Scissors with Colored Handles"/>
    <x v="0"/>
    <n v="1762.07"/>
    <n v="15"/>
    <s v="Cash"/>
    <x v="1256"/>
  </r>
  <r>
    <s v="ORD2259"/>
    <x v="567"/>
    <s v="Jamie James"/>
    <x v="0"/>
    <x v="0"/>
    <s v="Belkin 325VA UPS Surge Protector, 6'"/>
    <x v="7"/>
    <n v="1230.73"/>
    <n v="10"/>
    <s v="Cash"/>
    <x v="1257"/>
  </r>
  <r>
    <s v="ORD2260"/>
    <x v="48"/>
    <s v="Susan Cunningham"/>
    <x v="3"/>
    <x v="2"/>
    <s v="Accessory36"/>
    <x v="8"/>
    <n v="531.91"/>
    <n v="20"/>
    <s v="Credit Card"/>
    <x v="1258"/>
  </r>
  <r>
    <s v="ORD2261"/>
    <x v="508"/>
    <s v="Brittany Melton"/>
    <x v="0"/>
    <x v="1"/>
    <s v="Westinghouse Floor Lamp with Metal Mesh Shade, Black"/>
    <x v="4"/>
    <n v="743.92"/>
    <n v="10"/>
    <s v="Net Banking"/>
    <x v="1259"/>
  </r>
  <r>
    <s v="ORD2262"/>
    <x v="377"/>
    <s v="Michael Barnes"/>
    <x v="1"/>
    <x v="2"/>
    <s v="T28 WORLD"/>
    <x v="1"/>
    <n v="213.64"/>
    <n v="15"/>
    <s v="Net Banking"/>
    <x v="1260"/>
  </r>
  <r>
    <s v="ORD2263"/>
    <x v="386"/>
    <s v="Randy Griffin"/>
    <x v="0"/>
    <x v="0"/>
    <s v="Ampad #10 Peel &amp; Seel® Holiday Envelopes"/>
    <x v="7"/>
    <n v="700.25"/>
    <n v="20"/>
    <s v="Credit Card"/>
    <x v="1261"/>
  </r>
  <r>
    <s v="ORD2264"/>
    <x v="315"/>
    <s v="Autumn Anderson"/>
    <x v="2"/>
    <x v="2"/>
    <s v="V70"/>
    <x v="4"/>
    <n v="1371.2"/>
    <n v="10"/>
    <s v="Cash"/>
    <x v="1262"/>
  </r>
  <r>
    <s v="ORD2265"/>
    <x v="150"/>
    <s v="Marcus King"/>
    <x v="0"/>
    <x v="0"/>
    <s v="Xerox 1903"/>
    <x v="6"/>
    <n v="190.62"/>
    <n v="0"/>
    <s v="Net Banking"/>
    <x v="1263"/>
  </r>
  <r>
    <s v="ORD2266"/>
    <x v="32"/>
    <s v="Scott Stephens"/>
    <x v="2"/>
    <x v="0"/>
    <s v="Harmony HEPA Quiet Air Purifiers"/>
    <x v="6"/>
    <n v="450.53"/>
    <n v="5"/>
    <s v="UPI"/>
    <x v="1264"/>
  </r>
  <r>
    <s v="ORD2267"/>
    <x v="395"/>
    <s v="Stephen Young"/>
    <x v="3"/>
    <x v="0"/>
    <s v="Portfile® Personal File Boxes"/>
    <x v="7"/>
    <n v="793.81"/>
    <n v="5"/>
    <s v="Net Banking"/>
    <x v="1265"/>
  </r>
  <r>
    <s v="ORD2268"/>
    <x v="423"/>
    <s v="Karen Ortiz"/>
    <x v="3"/>
    <x v="0"/>
    <s v="Avery 493"/>
    <x v="2"/>
    <n v="1965"/>
    <n v="0"/>
    <s v="Cash"/>
    <x v="1266"/>
  </r>
  <r>
    <s v="ORD2269"/>
    <x v="612"/>
    <s v="Kyle Sanchez"/>
    <x v="2"/>
    <x v="0"/>
    <s v="Array® Parchment Paper, Assorted Colors"/>
    <x v="4"/>
    <n v="1580.48"/>
    <n v="5"/>
    <s v="Cash"/>
    <x v="1267"/>
  </r>
  <r>
    <s v="ORD2270"/>
    <x v="349"/>
    <s v="Lisa Grant"/>
    <x v="1"/>
    <x v="0"/>
    <s v="HP Office Paper (20Lb. and 87 Bright)"/>
    <x v="4"/>
    <n v="1480.3"/>
    <n v="5"/>
    <s v="UPI"/>
    <x v="1268"/>
  </r>
  <r>
    <s v="ORD2271"/>
    <x v="613"/>
    <s v="Amber Hernandez"/>
    <x v="1"/>
    <x v="0"/>
    <s v="Computer Printout Paper with Letter-Trim Perforations"/>
    <x v="5"/>
    <n v="276.57"/>
    <n v="0"/>
    <s v="Credit Card"/>
    <x v="1269"/>
  </r>
  <r>
    <s v="ORD2272"/>
    <x v="99"/>
    <s v="Amanda Nash"/>
    <x v="1"/>
    <x v="0"/>
    <s v="Xerox 1933"/>
    <x v="2"/>
    <n v="1572.94"/>
    <n v="0"/>
    <s v="Net Banking"/>
    <x v="1270"/>
  </r>
  <r>
    <s v="ORD2273"/>
    <x v="614"/>
    <s v="Sara Evans"/>
    <x v="3"/>
    <x v="0"/>
    <s v="Hunt Boston® Vacuum Mount KS Pencil Sharpener"/>
    <x v="8"/>
    <n v="1581.27"/>
    <n v="10"/>
    <s v="Credit Card"/>
    <x v="1271"/>
  </r>
  <r>
    <s v="ORD2274"/>
    <x v="351"/>
    <s v="Amber Butler"/>
    <x v="3"/>
    <x v="0"/>
    <s v="Desktop 3-Pocket Hot File®"/>
    <x v="8"/>
    <n v="1222.1500000000001"/>
    <n v="10"/>
    <s v="Net Banking"/>
    <x v="1272"/>
  </r>
  <r>
    <s v="ORD2275"/>
    <x v="187"/>
    <s v="Michael Carr"/>
    <x v="1"/>
    <x v="1"/>
    <s v="Master Giant Foot® Doorstop, Safety Yellow"/>
    <x v="1"/>
    <n v="1981.21"/>
    <n v="0"/>
    <s v="UPI"/>
    <x v="1273"/>
  </r>
  <r>
    <s v="ORD2276"/>
    <x v="615"/>
    <s v="Linda Cobb"/>
    <x v="0"/>
    <x v="0"/>
    <s v="Belkin F9M820V08 8 Outlet Surge"/>
    <x v="3"/>
    <n v="684.25"/>
    <n v="15"/>
    <s v="Credit Card"/>
    <x v="1274"/>
  </r>
  <r>
    <s v="ORD2277"/>
    <x v="183"/>
    <s v="Jesse Riley"/>
    <x v="1"/>
    <x v="0"/>
    <s v="Holmes HEPA Air Purifier"/>
    <x v="6"/>
    <n v="1885.48"/>
    <n v="5"/>
    <s v="Net Banking"/>
    <x v="1275"/>
  </r>
  <r>
    <s v="ORD2278"/>
    <x v="119"/>
    <s v="Anna Evans"/>
    <x v="0"/>
    <x v="2"/>
    <s v="Logitech Cordless Navigator Duo"/>
    <x v="8"/>
    <n v="1833.73"/>
    <n v="10"/>
    <s v="Net Banking"/>
    <x v="1276"/>
  </r>
  <r>
    <s v="ORD2279"/>
    <x v="54"/>
    <s v="James Jones"/>
    <x v="1"/>
    <x v="1"/>
    <s v="Global Enterprise Series Seating High-Back Swivel/Tilt Chairs"/>
    <x v="2"/>
    <n v="72.39"/>
    <n v="5"/>
    <s v="Cash"/>
    <x v="1277"/>
  </r>
  <r>
    <s v="ORD2280"/>
    <x v="214"/>
    <s v="Joshua Carter"/>
    <x v="0"/>
    <x v="0"/>
    <s v="Round Specialty Laser Printer Labels"/>
    <x v="4"/>
    <n v="927.73"/>
    <n v="20"/>
    <s v="Cash"/>
    <x v="1278"/>
  </r>
  <r>
    <s v="ORD2281"/>
    <x v="337"/>
    <s v="Michael Hill"/>
    <x v="3"/>
    <x v="1"/>
    <s v="Bevis Round Conference Table Top &amp; Single Column Base"/>
    <x v="8"/>
    <n v="1955.35"/>
    <n v="0"/>
    <s v="Net Banking"/>
    <x v="1279"/>
  </r>
  <r>
    <s v="ORD2282"/>
    <x v="616"/>
    <s v="Kelly Dominguez"/>
    <x v="1"/>
    <x v="1"/>
    <s v="Global Enterprise Series Seating High-Back Swivel/Tilt Chairs"/>
    <x v="4"/>
    <n v="251.09"/>
    <n v="15"/>
    <s v="Cash"/>
    <x v="1280"/>
  </r>
  <r>
    <s v="ORD2283"/>
    <x v="580"/>
    <s v="Ashley Blair"/>
    <x v="1"/>
    <x v="1"/>
    <s v="Bevis Round Conference Table Top &amp; Single Column Base"/>
    <x v="8"/>
    <n v="1118.18"/>
    <n v="20"/>
    <s v="Net Banking"/>
    <x v="1281"/>
  </r>
  <r>
    <s v="ORD2284"/>
    <x v="464"/>
    <s v="Victoria Webb"/>
    <x v="2"/>
    <x v="0"/>
    <s v="Tyvek® Side-Opening Peel &amp; Seel® Expanding Envelopes"/>
    <x v="6"/>
    <n v="1958.97"/>
    <n v="20"/>
    <s v="Net Banking"/>
    <x v="1282"/>
  </r>
  <r>
    <s v="ORD2285"/>
    <x v="64"/>
    <s v="Taylor Andersen"/>
    <x v="1"/>
    <x v="1"/>
    <s v="DAX Two-Tone Rosewood/Black Document Frame, Desktop, 5 x 7"/>
    <x v="8"/>
    <n v="1133.22"/>
    <n v="20"/>
    <s v="Cash"/>
    <x v="1283"/>
  </r>
  <r>
    <s v="ORD2286"/>
    <x v="288"/>
    <s v="Lee Stewart"/>
    <x v="0"/>
    <x v="0"/>
    <s v="Fellowes Staxonsteel® Drawer Files"/>
    <x v="2"/>
    <n v="420.14"/>
    <n v="0"/>
    <s v="Cash"/>
    <x v="1284"/>
  </r>
  <r>
    <s v="ORD2287"/>
    <x v="616"/>
    <s v="Whitney Gomez"/>
    <x v="2"/>
    <x v="0"/>
    <s v="Holmes Replacement Filter for HEPA Air Cleaner, Very Large Room, HEPA Filter"/>
    <x v="8"/>
    <n v="1185.26"/>
    <n v="10"/>
    <s v="Cash"/>
    <x v="1285"/>
  </r>
  <r>
    <s v="ORD2288"/>
    <x v="173"/>
    <s v="Justin Stone"/>
    <x v="1"/>
    <x v="0"/>
    <s v="Boston 1730 StandUp Electric Pencil Sharpener"/>
    <x v="3"/>
    <n v="448.66"/>
    <n v="0"/>
    <s v="Credit Card"/>
    <x v="1286"/>
  </r>
  <r>
    <s v="ORD2289"/>
    <x v="456"/>
    <s v="Katherine White"/>
    <x v="1"/>
    <x v="2"/>
    <s v="Imation 3.5&quot;, DISKETTE 44766 HGHLD3.52HD/FM, 10/Pack"/>
    <x v="6"/>
    <n v="1063.42"/>
    <n v="10"/>
    <s v="UPI"/>
    <x v="1287"/>
  </r>
  <r>
    <s v="ORD2290"/>
    <x v="508"/>
    <s v="Michelle Krause"/>
    <x v="3"/>
    <x v="0"/>
    <s v="Lock-Up Easel 'Spel-Binder'"/>
    <x v="2"/>
    <n v="194.38"/>
    <n v="20"/>
    <s v="Net Banking"/>
    <x v="1288"/>
  </r>
  <r>
    <s v="ORD2291"/>
    <x v="223"/>
    <s v="Alexander Garrett"/>
    <x v="2"/>
    <x v="1"/>
    <s v="Global Ergonomic Managers Chair"/>
    <x v="5"/>
    <n v="1230.69"/>
    <n v="20"/>
    <s v="UPI"/>
    <x v="1289"/>
  </r>
  <r>
    <s v="ORD2292"/>
    <x v="334"/>
    <s v="Ryan Marsh"/>
    <x v="0"/>
    <x v="1"/>
    <s v="Tenex Traditional Chairmats for Medium Pile Carpet, Standard Lip, 36&quot; x 48&quot;"/>
    <x v="2"/>
    <n v="1057.74"/>
    <n v="15"/>
    <s v="Credit Card"/>
    <x v="1290"/>
  </r>
  <r>
    <s v="ORD2293"/>
    <x v="599"/>
    <s v="Mrs. Felicia Castro DDS"/>
    <x v="1"/>
    <x v="0"/>
    <s v="Holmes Replacement Filter for HEPA Air Cleaner, Large Room"/>
    <x v="3"/>
    <n v="1493.31"/>
    <n v="10"/>
    <s v="Credit Card"/>
    <x v="1291"/>
  </r>
  <r>
    <s v="ORD2294"/>
    <x v="596"/>
    <s v="Curtis Campbell"/>
    <x v="3"/>
    <x v="0"/>
    <s v="Newell 318"/>
    <x v="6"/>
    <n v="1279.8699999999999"/>
    <n v="20"/>
    <s v="Net Banking"/>
    <x v="1292"/>
  </r>
  <r>
    <s v="ORD2295"/>
    <x v="617"/>
    <s v="Elizabeth Hunter"/>
    <x v="1"/>
    <x v="0"/>
    <s v="Rubber Band Ball"/>
    <x v="5"/>
    <n v="1121.73"/>
    <n v="5"/>
    <s v="Net Banking"/>
    <x v="1293"/>
  </r>
  <r>
    <s v="ORD2296"/>
    <x v="520"/>
    <s v="Aaron Jennings"/>
    <x v="2"/>
    <x v="1"/>
    <s v="Eldon® Wave Desk Accessories"/>
    <x v="3"/>
    <n v="1395.07"/>
    <n v="15"/>
    <s v="UPI"/>
    <x v="1294"/>
  </r>
  <r>
    <s v="ORD2297"/>
    <x v="618"/>
    <s v="Nathaniel Gilbert"/>
    <x v="0"/>
    <x v="0"/>
    <s v="Wilson Jones DublLock® D-Ring Binders"/>
    <x v="3"/>
    <n v="330.69"/>
    <n v="0"/>
    <s v="UPI"/>
    <x v="1295"/>
  </r>
  <r>
    <s v="ORD2298"/>
    <x v="241"/>
    <s v="Christopher Rivera"/>
    <x v="3"/>
    <x v="0"/>
    <s v="Peel &amp; Seel® Recycled Catalog Envelopes, Brown"/>
    <x v="7"/>
    <n v="1210.95"/>
    <n v="15"/>
    <s v="Cash"/>
    <x v="1296"/>
  </r>
  <r>
    <s v="ORD2299"/>
    <x v="594"/>
    <s v="Michael Hendricks"/>
    <x v="1"/>
    <x v="1"/>
    <s v="Global Leather Highback Executive Chair with Pneumatic Height Adjustment, Black"/>
    <x v="6"/>
    <n v="385.62"/>
    <n v="5"/>
    <s v="UPI"/>
    <x v="1297"/>
  </r>
  <r>
    <s v="ORD2300"/>
    <x v="356"/>
    <s v="Maria Olson"/>
    <x v="0"/>
    <x v="1"/>
    <s v="Bevis Round Conference Table Top, X-Base"/>
    <x v="2"/>
    <n v="1854.77"/>
    <n v="10"/>
    <s v="UPI"/>
    <x v="1298"/>
  </r>
  <r>
    <s v="ORD2301"/>
    <x v="246"/>
    <s v="Stephanie Herrera"/>
    <x v="1"/>
    <x v="2"/>
    <s v="Panasonic KX-P3200 Dot Matrix Printer"/>
    <x v="4"/>
    <n v="183.25"/>
    <n v="0"/>
    <s v="Credit Card"/>
    <x v="1299"/>
  </r>
  <r>
    <s v="ORD2302"/>
    <x v="84"/>
    <s v="Richard Gutierrez"/>
    <x v="1"/>
    <x v="1"/>
    <s v="BoxOffice By Design Rectangular and Half-Moon Meeting Room Tables"/>
    <x v="4"/>
    <n v="889.23"/>
    <n v="0"/>
    <s v="UPI"/>
    <x v="1300"/>
  </r>
  <r>
    <s v="ORD2303"/>
    <x v="98"/>
    <s v="Sandy Evans"/>
    <x v="2"/>
    <x v="0"/>
    <s v="Xerox 220"/>
    <x v="2"/>
    <n v="1406.81"/>
    <n v="10"/>
    <s v="Cash"/>
    <x v="1301"/>
  </r>
  <r>
    <s v="ORD2304"/>
    <x v="375"/>
    <s v="Emily Herrera"/>
    <x v="2"/>
    <x v="0"/>
    <s v="Advantus 10-Drawer Portable Organizer, Chrome Metal Frame, Smoke Drawers"/>
    <x v="2"/>
    <n v="943.14"/>
    <n v="15"/>
    <s v="UPI"/>
    <x v="1302"/>
  </r>
  <r>
    <s v="ORD2305"/>
    <x v="619"/>
    <s v="Michael Marsh"/>
    <x v="1"/>
    <x v="2"/>
    <s v="T65"/>
    <x v="6"/>
    <n v="229.59"/>
    <n v="20"/>
    <s v="Net Banking"/>
    <x v="1303"/>
  </r>
  <r>
    <s v="ORD2306"/>
    <x v="287"/>
    <s v="Heather Montes"/>
    <x v="3"/>
    <x v="1"/>
    <s v="Lesro Sheffield Collection Coffee Table, End Table, Center Table, Corner Table"/>
    <x v="2"/>
    <n v="1129.0899999999999"/>
    <n v="15"/>
    <s v="Cash"/>
    <x v="1304"/>
  </r>
  <r>
    <s v="ORD2307"/>
    <x v="54"/>
    <s v="Andre Terrell"/>
    <x v="2"/>
    <x v="0"/>
    <s v="Newell 315"/>
    <x v="7"/>
    <n v="1301.18"/>
    <n v="5"/>
    <s v="Net Banking"/>
    <x v="1305"/>
  </r>
  <r>
    <s v="ORD2308"/>
    <x v="416"/>
    <s v="Sarah Duncan"/>
    <x v="2"/>
    <x v="2"/>
    <s v="Accessory25"/>
    <x v="5"/>
    <n v="1422.4"/>
    <n v="20"/>
    <s v="Credit Card"/>
    <x v="1306"/>
  </r>
  <r>
    <s v="ORD2309"/>
    <x v="610"/>
    <s v="Kurt Hancock"/>
    <x v="2"/>
    <x v="1"/>
    <s v="Howard Miller 12-3/4 Diameter Accuwave DS ™ Wall Clock"/>
    <x v="2"/>
    <n v="777.86"/>
    <n v="15"/>
    <s v="Cash"/>
    <x v="1307"/>
  </r>
  <r>
    <s v="ORD2310"/>
    <x v="183"/>
    <s v="Michele Edwards"/>
    <x v="2"/>
    <x v="1"/>
    <s v="Bevis Round Conference Table Top &amp; Single Column Base"/>
    <x v="4"/>
    <n v="1149.1400000000001"/>
    <n v="10"/>
    <s v="Cash"/>
    <x v="1308"/>
  </r>
  <r>
    <s v="ORD2311"/>
    <x v="14"/>
    <s v="Jason Crawford"/>
    <x v="0"/>
    <x v="1"/>
    <s v="Seth Thomas 14&quot; Putty-Colored Wall Clock"/>
    <x v="2"/>
    <n v="928.84"/>
    <n v="5"/>
    <s v="UPI"/>
    <x v="1309"/>
  </r>
  <r>
    <s v="ORD2312"/>
    <x v="77"/>
    <s v="Jesse Sampson"/>
    <x v="1"/>
    <x v="2"/>
    <s v="TimeportP7382"/>
    <x v="7"/>
    <n v="1360.51"/>
    <n v="5"/>
    <s v="Cash"/>
    <x v="1310"/>
  </r>
  <r>
    <s v="ORD2313"/>
    <x v="494"/>
    <s v="Eric Rodriguez"/>
    <x v="0"/>
    <x v="0"/>
    <s v="Kleencut® Forged Office Shears by Acme United Corporation"/>
    <x v="8"/>
    <n v="1187.94"/>
    <n v="5"/>
    <s v="Credit Card"/>
    <x v="1311"/>
  </r>
  <r>
    <s v="ORD2314"/>
    <x v="574"/>
    <s v="Paula Gentry"/>
    <x v="0"/>
    <x v="0"/>
    <s v="Post-it® “Important Message” Note Pad, Neon Colors, 50 Sheets/Pad"/>
    <x v="8"/>
    <n v="1075.22"/>
    <n v="20"/>
    <s v="Credit Card"/>
    <x v="1312"/>
  </r>
  <r>
    <s v="ORD2315"/>
    <x v="448"/>
    <s v="Alexander Webb"/>
    <x v="1"/>
    <x v="2"/>
    <s v="80 Minute Slim Jewel Case CD-R , 10/Pack - Staples"/>
    <x v="3"/>
    <n v="536.57000000000005"/>
    <n v="0"/>
    <s v="Credit Card"/>
    <x v="1313"/>
  </r>
  <r>
    <s v="ORD2316"/>
    <x v="492"/>
    <s v="Cheryl Mclean"/>
    <x v="2"/>
    <x v="1"/>
    <s v="DAX Cubicle Frames - 8x10"/>
    <x v="1"/>
    <n v="53.94"/>
    <n v="20"/>
    <s v="Cash"/>
    <x v="1314"/>
  </r>
  <r>
    <s v="ORD2317"/>
    <x v="368"/>
    <s v="Kelly Rowe"/>
    <x v="3"/>
    <x v="0"/>
    <s v="Xerox 1903"/>
    <x v="5"/>
    <n v="389.46"/>
    <n v="15"/>
    <s v="Cash"/>
    <x v="1315"/>
  </r>
  <r>
    <s v="ORD2318"/>
    <x v="620"/>
    <s v="Shane Short"/>
    <x v="2"/>
    <x v="0"/>
    <s v="Newell 310"/>
    <x v="0"/>
    <n v="278.27999999999997"/>
    <n v="0"/>
    <s v="UPI"/>
    <x v="1316"/>
  </r>
  <r>
    <s v="ORD2319"/>
    <x v="235"/>
    <s v="Megan Anderson"/>
    <x v="2"/>
    <x v="0"/>
    <s v="Newell 342"/>
    <x v="3"/>
    <n v="925.72"/>
    <n v="15"/>
    <s v="Credit Card"/>
    <x v="1317"/>
  </r>
  <r>
    <s v="ORD2320"/>
    <x v="97"/>
    <s v="Julia Reeves"/>
    <x v="2"/>
    <x v="0"/>
    <s v="Eldon Shelf Savers™ Cubes and Bins"/>
    <x v="8"/>
    <n v="1243.9000000000001"/>
    <n v="0"/>
    <s v="UPI"/>
    <x v="1318"/>
  </r>
  <r>
    <s v="ORD2321"/>
    <x v="390"/>
    <s v="April Randolph"/>
    <x v="2"/>
    <x v="0"/>
    <s v="GBC Therma-A-Bind 250T Electric Binding System"/>
    <x v="4"/>
    <n v="465.52"/>
    <n v="20"/>
    <s v="Credit Card"/>
    <x v="1319"/>
  </r>
  <r>
    <s v="ORD2322"/>
    <x v="377"/>
    <s v="Linda Miller"/>
    <x v="3"/>
    <x v="0"/>
    <s v="Avery Hi-Liter® Fluorescent Desk Style Markers"/>
    <x v="0"/>
    <n v="1881.16"/>
    <n v="5"/>
    <s v="UPI"/>
    <x v="1320"/>
  </r>
  <r>
    <s v="ORD2323"/>
    <x v="343"/>
    <s v="Angel Meyer"/>
    <x v="0"/>
    <x v="0"/>
    <s v="Holmes Replacement Filter for HEPA Air Cleaner, Very Large Room, HEPA Filter"/>
    <x v="3"/>
    <n v="63.03"/>
    <n v="10"/>
    <s v="Net Banking"/>
    <x v="1321"/>
  </r>
  <r>
    <s v="ORD2324"/>
    <x v="621"/>
    <s v="Emily Lane"/>
    <x v="3"/>
    <x v="0"/>
    <s v="Avery Hi-Liter® Fluorescent Desk Style Markers"/>
    <x v="0"/>
    <n v="1555.99"/>
    <n v="5"/>
    <s v="Net Banking"/>
    <x v="1322"/>
  </r>
  <r>
    <s v="ORD2325"/>
    <x v="131"/>
    <s v="Steven Flores"/>
    <x v="1"/>
    <x v="0"/>
    <s v="GBC Therma-A-Bind 250T Electric Binding System"/>
    <x v="6"/>
    <n v="1269.1500000000001"/>
    <n v="20"/>
    <s v="Credit Card"/>
    <x v="1323"/>
  </r>
  <r>
    <s v="ORD2326"/>
    <x v="98"/>
    <s v="Donald Flores"/>
    <x v="2"/>
    <x v="0"/>
    <s v="Holmes Replacement Filter for HEPA Air Cleaner, Very Large Room, HEPA Filter"/>
    <x v="1"/>
    <n v="778.43"/>
    <n v="0"/>
    <s v="UPI"/>
    <x v="1324"/>
  </r>
  <r>
    <s v="ORD2327"/>
    <x v="613"/>
    <s v="Bruce Hernandez"/>
    <x v="3"/>
    <x v="1"/>
    <s v="Office Star - Contemporary Task Swivel chair with 2-way adjustable arms, Plum"/>
    <x v="6"/>
    <n v="148.44999999999999"/>
    <n v="5"/>
    <s v="Cash"/>
    <x v="1325"/>
  </r>
  <r>
    <s v="ORD2328"/>
    <x v="217"/>
    <s v="Adrian Dean"/>
    <x v="1"/>
    <x v="2"/>
    <s v="Imation Primaris 3.5&quot; 2HD Unformatted Diskettes, 10/Pack"/>
    <x v="0"/>
    <n v="1273.5999999999999"/>
    <n v="20"/>
    <s v="Cash"/>
    <x v="1326"/>
  </r>
  <r>
    <s v="ORD2329"/>
    <x v="154"/>
    <s v="Christine Bell"/>
    <x v="3"/>
    <x v="0"/>
    <s v="Tyvek ® Top-Opening Peel &amp; Seel Envelopes, Plain White"/>
    <x v="6"/>
    <n v="801.95"/>
    <n v="15"/>
    <s v="Cash"/>
    <x v="1327"/>
  </r>
  <r>
    <s v="ORD2330"/>
    <x v="199"/>
    <s v="Charles Bush"/>
    <x v="2"/>
    <x v="2"/>
    <s v="Polycom Soundstation EX Audio-Conferencing Telephone, Black"/>
    <x v="7"/>
    <n v="1875.72"/>
    <n v="10"/>
    <s v="UPI"/>
    <x v="1328"/>
  </r>
  <r>
    <s v="ORD2331"/>
    <x v="160"/>
    <s v="David Jones"/>
    <x v="2"/>
    <x v="0"/>
    <s v="Xerox 23"/>
    <x v="8"/>
    <n v="1106.8800000000001"/>
    <n v="5"/>
    <s v="Net Banking"/>
    <x v="1329"/>
  </r>
  <r>
    <s v="ORD2332"/>
    <x v="462"/>
    <s v="Gina Wallace"/>
    <x v="1"/>
    <x v="0"/>
    <s v="Xerox 216"/>
    <x v="7"/>
    <n v="1882.32"/>
    <n v="0"/>
    <s v="Cash"/>
    <x v="1330"/>
  </r>
  <r>
    <s v="ORD2333"/>
    <x v="622"/>
    <s v="John Lowe"/>
    <x v="3"/>
    <x v="1"/>
    <s v="Eldon Antistatic Chair Mats for Low to Medium Pile Carpets"/>
    <x v="2"/>
    <n v="479.94"/>
    <n v="15"/>
    <s v="Credit Card"/>
    <x v="1331"/>
  </r>
  <r>
    <s v="ORD2334"/>
    <x v="333"/>
    <s v="Anthony Simmons"/>
    <x v="2"/>
    <x v="0"/>
    <s v="Fellowes Binding Cases"/>
    <x v="6"/>
    <n v="1465.17"/>
    <n v="20"/>
    <s v="Net Banking"/>
    <x v="1332"/>
  </r>
  <r>
    <s v="ORD2335"/>
    <x v="450"/>
    <s v="Kyle Watkins"/>
    <x v="1"/>
    <x v="0"/>
    <s v="Presstex Flexible Ring Binders"/>
    <x v="2"/>
    <n v="1253.6400000000001"/>
    <n v="10"/>
    <s v="Credit Card"/>
    <x v="1333"/>
  </r>
  <r>
    <s v="ORD2336"/>
    <x v="80"/>
    <s v="Melissa Jensen"/>
    <x v="3"/>
    <x v="0"/>
    <s v="Tripp Lite Isotel 6 Outlet Surge Protector with Fax/Modem Protection"/>
    <x v="4"/>
    <n v="1491.85"/>
    <n v="0"/>
    <s v="UPI"/>
    <x v="1334"/>
  </r>
  <r>
    <s v="ORD2337"/>
    <x v="515"/>
    <s v="Robert Marquez"/>
    <x v="3"/>
    <x v="0"/>
    <s v="Rediform Wirebound &quot;Phone Memo&quot; Message Book, 11 x 5-3/4"/>
    <x v="5"/>
    <n v="468.6"/>
    <n v="20"/>
    <s v="Cash"/>
    <x v="1335"/>
  </r>
  <r>
    <s v="ORD2338"/>
    <x v="60"/>
    <s v="Kim Beltran"/>
    <x v="1"/>
    <x v="2"/>
    <s v="StarTAC 7760"/>
    <x v="4"/>
    <n v="1346.74"/>
    <n v="20"/>
    <s v="Credit Card"/>
    <x v="1336"/>
  </r>
  <r>
    <s v="ORD2339"/>
    <x v="599"/>
    <s v="Julie Anderson"/>
    <x v="3"/>
    <x v="0"/>
    <s v="Sanford EarthWrite® Recycled Pencils, Medium Soft, #2"/>
    <x v="0"/>
    <n v="1021.18"/>
    <n v="5"/>
    <s v="UPI"/>
    <x v="1337"/>
  </r>
  <r>
    <s v="ORD2340"/>
    <x v="106"/>
    <s v="Tamara Mcdonald"/>
    <x v="3"/>
    <x v="2"/>
    <s v="Canon PC1080F Personal Copier"/>
    <x v="8"/>
    <n v="1498.51"/>
    <n v="5"/>
    <s v="Cash"/>
    <x v="1338"/>
  </r>
  <r>
    <s v="ORD2341"/>
    <x v="467"/>
    <s v="Michael Mckinney"/>
    <x v="2"/>
    <x v="0"/>
    <s v="Newell 318"/>
    <x v="6"/>
    <n v="687.74"/>
    <n v="0"/>
    <s v="UPI"/>
    <x v="1339"/>
  </r>
  <r>
    <s v="ORD2342"/>
    <x v="548"/>
    <s v="David Walker"/>
    <x v="2"/>
    <x v="0"/>
    <s v="Holmes Harmony HEPA Air Purifier for 17 x 20 Room"/>
    <x v="3"/>
    <n v="1785.61"/>
    <n v="20"/>
    <s v="Credit Card"/>
    <x v="1340"/>
  </r>
  <r>
    <s v="ORD2343"/>
    <x v="277"/>
    <s v="Lisa Durham"/>
    <x v="2"/>
    <x v="0"/>
    <s v="XtraLife® ClearVue™ Slant-D® Ring Binders by Cardinal"/>
    <x v="5"/>
    <n v="214.39"/>
    <n v="5"/>
    <s v="Net Banking"/>
    <x v="1341"/>
  </r>
  <r>
    <s v="ORD2344"/>
    <x v="371"/>
    <s v="Michael Ortega"/>
    <x v="1"/>
    <x v="0"/>
    <s v="Black Print Carbonless Snap-Off® Rapid Letter, 8 1/2&quot; x 7&quot;"/>
    <x v="1"/>
    <n v="1624.02"/>
    <n v="10"/>
    <s v="Credit Card"/>
    <x v="1342"/>
  </r>
  <r>
    <s v="ORD2345"/>
    <x v="176"/>
    <s v="Sonya Chavez"/>
    <x v="0"/>
    <x v="1"/>
    <s v="Global Airflow Leather Mesh Back Chair, Black"/>
    <x v="1"/>
    <n v="1729.57"/>
    <n v="10"/>
    <s v="Credit Card"/>
    <x v="1343"/>
  </r>
  <r>
    <s v="ORD2346"/>
    <x v="292"/>
    <s v="John Bell"/>
    <x v="3"/>
    <x v="0"/>
    <s v="Avery Binder Labels"/>
    <x v="1"/>
    <n v="1643.64"/>
    <n v="20"/>
    <s v="Net Banking"/>
    <x v="1344"/>
  </r>
  <r>
    <s v="ORD2347"/>
    <x v="146"/>
    <s v="Christopher Tate"/>
    <x v="1"/>
    <x v="2"/>
    <s v="Logitech Cordless Elite Duo"/>
    <x v="6"/>
    <n v="1049.82"/>
    <n v="5"/>
    <s v="UPI"/>
    <x v="1345"/>
  </r>
  <r>
    <s v="ORD2348"/>
    <x v="229"/>
    <s v="Bethany Garcia"/>
    <x v="0"/>
    <x v="1"/>
    <s v="Advantus Employee of the Month Certificate Frame, 11 x 13-1/2"/>
    <x v="1"/>
    <n v="904.85"/>
    <n v="0"/>
    <s v="UPI"/>
    <x v="1346"/>
  </r>
  <r>
    <s v="ORD2349"/>
    <x v="326"/>
    <s v="Rebecca Nguyen"/>
    <x v="0"/>
    <x v="0"/>
    <s v="Hoover Portapower™ Portable Vacuum"/>
    <x v="7"/>
    <n v="1992.71"/>
    <n v="0"/>
    <s v="Credit Card"/>
    <x v="1347"/>
  </r>
  <r>
    <s v="ORD2350"/>
    <x v="623"/>
    <s v="Rebecca Patel"/>
    <x v="1"/>
    <x v="1"/>
    <s v="Executive Impressions 12&quot; Wall Clock"/>
    <x v="5"/>
    <n v="496.89"/>
    <n v="0"/>
    <s v="Credit Card"/>
    <x v="1348"/>
  </r>
  <r>
    <s v="ORD2351"/>
    <x v="335"/>
    <s v="Jason Oliver"/>
    <x v="0"/>
    <x v="0"/>
    <s v="White Dual Perf Computer Printout Paper, 2700 Sheets, 1 Part, Heavyweight, 20 lbs., 14 7/8 x 11"/>
    <x v="7"/>
    <n v="1116.4100000000001"/>
    <n v="10"/>
    <s v="UPI"/>
    <x v="1349"/>
  </r>
  <r>
    <s v="ORD2352"/>
    <x v="624"/>
    <s v="Valerie Reyes"/>
    <x v="2"/>
    <x v="0"/>
    <s v="Avery Premier Heavy-Duty Binder with Round Locking Rings"/>
    <x v="5"/>
    <n v="1357.82"/>
    <n v="5"/>
    <s v="Net Banking"/>
    <x v="1350"/>
  </r>
  <r>
    <s v="ORD2353"/>
    <x v="625"/>
    <s v="Robert Garza"/>
    <x v="1"/>
    <x v="0"/>
    <s v="SANFORD Major Accent™ Highlighters"/>
    <x v="7"/>
    <n v="1416.69"/>
    <n v="5"/>
    <s v="Cash"/>
    <x v="1351"/>
  </r>
  <r>
    <s v="ORD2354"/>
    <x v="414"/>
    <s v="Jessica Cobb"/>
    <x v="3"/>
    <x v="2"/>
    <s v="7160"/>
    <x v="5"/>
    <n v="447.85"/>
    <n v="10"/>
    <s v="Net Banking"/>
    <x v="1352"/>
  </r>
  <r>
    <s v="ORD2355"/>
    <x v="470"/>
    <s v="Cynthia Bates"/>
    <x v="2"/>
    <x v="0"/>
    <s v="GBC Standard Plastic Binding Systems Combs"/>
    <x v="2"/>
    <n v="1325.29"/>
    <n v="0"/>
    <s v="Credit Card"/>
    <x v="1353"/>
  </r>
  <r>
    <s v="ORD2356"/>
    <x v="53"/>
    <s v="Timothy Andrews"/>
    <x v="3"/>
    <x v="0"/>
    <s v="Dual Level, Single-Width Filing Carts"/>
    <x v="6"/>
    <n v="1645.82"/>
    <n v="0"/>
    <s v="UPI"/>
    <x v="1354"/>
  </r>
  <r>
    <s v="ORD2357"/>
    <x v="285"/>
    <s v="Mr. Joel Peters"/>
    <x v="0"/>
    <x v="0"/>
    <s v="Dual Level, Single-Width Filing Carts"/>
    <x v="6"/>
    <n v="147.54"/>
    <n v="20"/>
    <s v="Net Banking"/>
    <x v="1355"/>
  </r>
  <r>
    <s v="ORD2358"/>
    <x v="23"/>
    <s v="Casey Blanchard"/>
    <x v="2"/>
    <x v="0"/>
    <s v="3M Organizer Strips"/>
    <x v="1"/>
    <n v="1827.47"/>
    <n v="15"/>
    <s v="Credit Card"/>
    <x v="1356"/>
  </r>
  <r>
    <s v="ORD2359"/>
    <x v="147"/>
    <s v="Brian Cervantes"/>
    <x v="3"/>
    <x v="0"/>
    <s v="GBC Standard Plastic Binding Systems Combs"/>
    <x v="4"/>
    <n v="107.53"/>
    <n v="5"/>
    <s v="Cash"/>
    <x v="1357"/>
  </r>
  <r>
    <s v="ORD2360"/>
    <x v="78"/>
    <s v="Jamie Snyder"/>
    <x v="1"/>
    <x v="2"/>
    <s v="Lexmark Z54se Color Inkjet Printer"/>
    <x v="1"/>
    <n v="744.14"/>
    <n v="5"/>
    <s v="Cash"/>
    <x v="1358"/>
  </r>
  <r>
    <s v="ORD2361"/>
    <x v="272"/>
    <s v="Ann Montoya"/>
    <x v="0"/>
    <x v="1"/>
    <s v="Howard Miller 16&quot; Diameter Gallery Wall Clock"/>
    <x v="0"/>
    <n v="80.84"/>
    <n v="5"/>
    <s v="Net Banking"/>
    <x v="1359"/>
  </r>
  <r>
    <s v="ORD2362"/>
    <x v="293"/>
    <s v="Stephanie Fields"/>
    <x v="3"/>
    <x v="2"/>
    <s v="Imation 3.5, DISKETTE 44766 HGHLD3.52HD/FM, 10/Pack"/>
    <x v="7"/>
    <n v="200.43"/>
    <n v="15"/>
    <s v="Credit Card"/>
    <x v="1360"/>
  </r>
  <r>
    <s v="ORD2363"/>
    <x v="150"/>
    <s v="Charles Hernandez"/>
    <x v="0"/>
    <x v="0"/>
    <s v="Avery Arch Ring Binders"/>
    <x v="5"/>
    <n v="1826.78"/>
    <n v="20"/>
    <s v="Credit Card"/>
    <x v="1361"/>
  </r>
  <r>
    <s v="ORD2364"/>
    <x v="626"/>
    <s v="Jean Lane"/>
    <x v="3"/>
    <x v="0"/>
    <s v="Binney &amp; Smith inkTank™ Erasable Pocket Highlighter, Chisel Tip, Yellow"/>
    <x v="4"/>
    <n v="741.98"/>
    <n v="15"/>
    <s v="Cash"/>
    <x v="1362"/>
  </r>
  <r>
    <s v="ORD2365"/>
    <x v="238"/>
    <s v="Michael Stewart"/>
    <x v="1"/>
    <x v="0"/>
    <s v="Xerox 214"/>
    <x v="0"/>
    <n v="878.3"/>
    <n v="0"/>
    <s v="UPI"/>
    <x v="1363"/>
  </r>
  <r>
    <s v="ORD2366"/>
    <x v="237"/>
    <s v="Susan Torres"/>
    <x v="2"/>
    <x v="0"/>
    <s v="Newell 31"/>
    <x v="6"/>
    <n v="469.92"/>
    <n v="0"/>
    <s v="UPI"/>
    <x v="1364"/>
  </r>
  <r>
    <s v="ORD2367"/>
    <x v="211"/>
    <s v="Jessica Haas"/>
    <x v="3"/>
    <x v="2"/>
    <s v="Canon imageCLASS 2200 Advanced Copier"/>
    <x v="6"/>
    <n v="1214.3399999999999"/>
    <n v="5"/>
    <s v="Net Banking"/>
    <x v="1365"/>
  </r>
  <r>
    <s v="ORD2368"/>
    <x v="480"/>
    <s v="Brandon Smith"/>
    <x v="0"/>
    <x v="2"/>
    <s v="Motorola SB4200 Cable Modem"/>
    <x v="1"/>
    <n v="1209.8699999999999"/>
    <n v="10"/>
    <s v="Net Banking"/>
    <x v="1366"/>
  </r>
  <r>
    <s v="ORD2369"/>
    <x v="115"/>
    <s v="Mrs. Bethany Phillips"/>
    <x v="1"/>
    <x v="1"/>
    <s v="Deflect-o RollaMat Studded, Beveled Mat for Medium Pile Carpeting"/>
    <x v="7"/>
    <n v="775.79"/>
    <n v="5"/>
    <s v="Cash"/>
    <x v="1367"/>
  </r>
  <r>
    <s v="ORD2370"/>
    <x v="103"/>
    <s v="Joshua Brown"/>
    <x v="2"/>
    <x v="0"/>
    <s v="GBC Twin Loop™ Wire Binding Elements, 9/16&quot; Spine, Black"/>
    <x v="4"/>
    <n v="699.42"/>
    <n v="10"/>
    <s v="Credit Card"/>
    <x v="1368"/>
  </r>
  <r>
    <s v="ORD2371"/>
    <x v="257"/>
    <s v="Samantha Howard"/>
    <x v="0"/>
    <x v="0"/>
    <s v="Xerox 227"/>
    <x v="8"/>
    <n v="1775.68"/>
    <n v="15"/>
    <s v="UPI"/>
    <x v="1369"/>
  </r>
  <r>
    <s v="ORD2372"/>
    <x v="546"/>
    <s v="Sharon Young"/>
    <x v="1"/>
    <x v="0"/>
    <s v="Martin-Yale Premier Letter Opener"/>
    <x v="0"/>
    <n v="797.4"/>
    <n v="0"/>
    <s v="UPI"/>
    <x v="1370"/>
  </r>
  <r>
    <s v="ORD2373"/>
    <x v="187"/>
    <s v="Jennifer Flores"/>
    <x v="0"/>
    <x v="0"/>
    <s v="Xerox 227"/>
    <x v="0"/>
    <n v="1012.33"/>
    <n v="10"/>
    <s v="UPI"/>
    <x v="1371"/>
  </r>
  <r>
    <s v="ORD2374"/>
    <x v="148"/>
    <s v="James Gardner"/>
    <x v="1"/>
    <x v="0"/>
    <s v="Peel-Off® China Markers"/>
    <x v="1"/>
    <n v="602.44000000000005"/>
    <n v="15"/>
    <s v="UPI"/>
    <x v="1372"/>
  </r>
  <r>
    <s v="ORD2375"/>
    <x v="493"/>
    <s v="Karen Lopez"/>
    <x v="2"/>
    <x v="1"/>
    <s v="Eldon Regeneration Recycled Desk Accessories, Smoke"/>
    <x v="6"/>
    <n v="1584.2"/>
    <n v="0"/>
    <s v="Cash"/>
    <x v="1373"/>
  </r>
  <r>
    <s v="ORD2376"/>
    <x v="419"/>
    <s v="Tim Larsen"/>
    <x v="2"/>
    <x v="1"/>
    <s v="Hon Rectangular Conference Tables"/>
    <x v="1"/>
    <n v="825.02"/>
    <n v="10"/>
    <s v="UPI"/>
    <x v="1374"/>
  </r>
  <r>
    <s v="ORD2377"/>
    <x v="446"/>
    <s v="Zachary Santiago"/>
    <x v="0"/>
    <x v="0"/>
    <s v="GBC Standard Plastic Binding Systems' Combs"/>
    <x v="5"/>
    <n v="1051.54"/>
    <n v="5"/>
    <s v="Credit Card"/>
    <x v="1375"/>
  </r>
  <r>
    <s v="ORD2378"/>
    <x v="291"/>
    <s v="Benjamin Smith"/>
    <x v="1"/>
    <x v="0"/>
    <s v="Avery 481"/>
    <x v="4"/>
    <n v="544.04999999999995"/>
    <n v="5"/>
    <s v="UPI"/>
    <x v="1376"/>
  </r>
  <r>
    <s v="ORD2379"/>
    <x v="386"/>
    <s v="Katelyn Kim"/>
    <x v="3"/>
    <x v="0"/>
    <s v="Economy Binders"/>
    <x v="7"/>
    <n v="1975.94"/>
    <n v="5"/>
    <s v="Net Banking"/>
    <x v="1377"/>
  </r>
  <r>
    <s v="ORD2380"/>
    <x v="627"/>
    <s v="Angela May MD"/>
    <x v="2"/>
    <x v="2"/>
    <s v="Nu-Form 106-Key Ergonomic Keyboard w/ Touchpad"/>
    <x v="2"/>
    <n v="618.41999999999996"/>
    <n v="15"/>
    <s v="Credit Card"/>
    <x v="1378"/>
  </r>
  <r>
    <s v="ORD2381"/>
    <x v="33"/>
    <s v="Richard Munoz"/>
    <x v="3"/>
    <x v="0"/>
    <s v="Xerox 1989"/>
    <x v="3"/>
    <n v="1552.95"/>
    <n v="5"/>
    <s v="UPI"/>
    <x v="1379"/>
  </r>
  <r>
    <s v="ORD2382"/>
    <x v="628"/>
    <s v="Christopher Hicks"/>
    <x v="3"/>
    <x v="0"/>
    <s v="Avery Arch Ring Binders"/>
    <x v="3"/>
    <n v="883.62"/>
    <n v="20"/>
    <s v="Cash"/>
    <x v="1380"/>
  </r>
  <r>
    <s v="ORD2383"/>
    <x v="138"/>
    <s v="Joanna Kelly"/>
    <x v="0"/>
    <x v="2"/>
    <s v="i270"/>
    <x v="1"/>
    <n v="452.12"/>
    <n v="0"/>
    <s v="Cash"/>
    <x v="1381"/>
  </r>
  <r>
    <s v="ORD2384"/>
    <x v="440"/>
    <s v="Larry Lane"/>
    <x v="0"/>
    <x v="0"/>
    <s v="Avery 493"/>
    <x v="5"/>
    <n v="1609.45"/>
    <n v="15"/>
    <s v="UPI"/>
    <x v="1382"/>
  </r>
  <r>
    <s v="ORD2385"/>
    <x v="85"/>
    <s v="Cynthia Shaw"/>
    <x v="0"/>
    <x v="0"/>
    <s v="Wilson Jones Impact Binders"/>
    <x v="4"/>
    <n v="700.53"/>
    <n v="5"/>
    <s v="Net Banking"/>
    <x v="1383"/>
  </r>
  <r>
    <s v="ORD2386"/>
    <x v="629"/>
    <s v="Joshua Richardson"/>
    <x v="1"/>
    <x v="0"/>
    <s v="Xerox 216"/>
    <x v="8"/>
    <n v="1737.13"/>
    <n v="0"/>
    <s v="Cash"/>
    <x v="1384"/>
  </r>
  <r>
    <s v="ORD2387"/>
    <x v="582"/>
    <s v="Laura Bush"/>
    <x v="2"/>
    <x v="0"/>
    <s v="Fellowes Recycled Storage Drawers"/>
    <x v="3"/>
    <n v="1834.75"/>
    <n v="10"/>
    <s v="Credit Card"/>
    <x v="1385"/>
  </r>
  <r>
    <s v="ORD2388"/>
    <x v="147"/>
    <s v="John Vaughn"/>
    <x v="2"/>
    <x v="1"/>
    <s v="Lesro Sheffield Collection Coffee Table, End Table, Center Table, Corner Table"/>
    <x v="4"/>
    <n v="1726.66"/>
    <n v="5"/>
    <s v="Net Banking"/>
    <x v="1386"/>
  </r>
  <r>
    <s v="ORD2389"/>
    <x v="419"/>
    <s v="Nicholas Terrell"/>
    <x v="3"/>
    <x v="2"/>
    <s v="StarTAC 8000"/>
    <x v="7"/>
    <n v="118.27"/>
    <n v="0"/>
    <s v="Cash"/>
    <x v="1387"/>
  </r>
  <r>
    <s v="ORD2390"/>
    <x v="630"/>
    <s v="Dr. Julie Miller"/>
    <x v="0"/>
    <x v="1"/>
    <s v="Office Star - Ergonomic Mid Back Chair with 2-Way Adjustable Arms"/>
    <x v="5"/>
    <n v="1585.38"/>
    <n v="20"/>
    <s v="Net Banking"/>
    <x v="1388"/>
  </r>
  <r>
    <s v="ORD2391"/>
    <x v="456"/>
    <s v="Ann Kennedy"/>
    <x v="1"/>
    <x v="0"/>
    <s v="Avery 481"/>
    <x v="6"/>
    <n v="852.11"/>
    <n v="10"/>
    <s v="Cash"/>
    <x v="1389"/>
  </r>
  <r>
    <s v="ORD2392"/>
    <x v="411"/>
    <s v="Toni Miller"/>
    <x v="2"/>
    <x v="0"/>
    <s v="Newell 318"/>
    <x v="4"/>
    <n v="1753.76"/>
    <n v="20"/>
    <s v="Cash"/>
    <x v="1390"/>
  </r>
  <r>
    <s v="ORD2393"/>
    <x v="631"/>
    <s v="Rebecca Edwards"/>
    <x v="1"/>
    <x v="1"/>
    <s v="3M Polarizing Task Lamp with Clamp Arm, Light Gray"/>
    <x v="7"/>
    <n v="1294.01"/>
    <n v="0"/>
    <s v="Net Banking"/>
    <x v="1391"/>
  </r>
  <r>
    <s v="ORD2394"/>
    <x v="92"/>
    <s v="Greg Osborne"/>
    <x v="0"/>
    <x v="0"/>
    <s v="Avery 493"/>
    <x v="8"/>
    <n v="1675.6"/>
    <n v="20"/>
    <s v="UPI"/>
    <x v="1392"/>
  </r>
  <r>
    <s v="ORD2395"/>
    <x v="563"/>
    <s v="Jose Harrison"/>
    <x v="0"/>
    <x v="0"/>
    <s v="Boston Model 1800 Electric Pencil Sharpener, Gray"/>
    <x v="2"/>
    <n v="1023.89"/>
    <n v="0"/>
    <s v="UPI"/>
    <x v="1393"/>
  </r>
  <r>
    <s v="ORD2396"/>
    <x v="418"/>
    <s v="Jennifer Yu"/>
    <x v="2"/>
    <x v="2"/>
    <s v="Lexmark 4227 Plus Dot Matrix Printer"/>
    <x v="6"/>
    <n v="1093.3"/>
    <n v="0"/>
    <s v="Net Banking"/>
    <x v="1394"/>
  </r>
  <r>
    <s v="ORD2397"/>
    <x v="39"/>
    <s v="Donna Johnson"/>
    <x v="3"/>
    <x v="0"/>
    <s v="Smead Adjustable Mobile File Trolley with Lockable Top"/>
    <x v="2"/>
    <n v="331.56"/>
    <n v="20"/>
    <s v="Cash"/>
    <x v="1395"/>
  </r>
  <r>
    <s v="ORD2398"/>
    <x v="247"/>
    <s v="Nicole Acosta"/>
    <x v="3"/>
    <x v="2"/>
    <s v="6120"/>
    <x v="8"/>
    <n v="1578.78"/>
    <n v="0"/>
    <s v="Cash"/>
    <x v="1396"/>
  </r>
  <r>
    <s v="ORD2399"/>
    <x v="268"/>
    <s v="Amy Kennedy"/>
    <x v="0"/>
    <x v="1"/>
    <s v="Bretford CR4500 Series Slim Rectangular Table"/>
    <x v="7"/>
    <n v="867.81"/>
    <n v="5"/>
    <s v="Cash"/>
    <x v="1397"/>
  </r>
  <r>
    <s v="ORD2400"/>
    <x v="632"/>
    <s v="Anthony Mooney"/>
    <x v="0"/>
    <x v="2"/>
    <s v="TDK 4.7GB DVD-R"/>
    <x v="3"/>
    <n v="1025.1600000000001"/>
    <n v="0"/>
    <s v="Cash"/>
    <x v="1398"/>
  </r>
  <r>
    <s v="ORD2401"/>
    <x v="633"/>
    <s v="Lori Mitchell"/>
    <x v="3"/>
    <x v="1"/>
    <s v="Bretford CR4500 Series Slim Rectangular Table"/>
    <x v="2"/>
    <n v="1580.94"/>
    <n v="15"/>
    <s v="Cash"/>
    <x v="1399"/>
  </r>
  <r>
    <s v="ORD2402"/>
    <x v="618"/>
    <s v="Jonathan York"/>
    <x v="0"/>
    <x v="0"/>
    <s v="Newell 336"/>
    <x v="6"/>
    <n v="1217.75"/>
    <n v="0"/>
    <s v="UPI"/>
    <x v="1400"/>
  </r>
  <r>
    <s v="ORD2403"/>
    <x v="313"/>
    <s v="Casey Campbell"/>
    <x v="2"/>
    <x v="0"/>
    <s v="Smead Adjustable Mobile File Trolley with Lockable Top"/>
    <x v="1"/>
    <n v="442.14"/>
    <n v="15"/>
    <s v="Cash"/>
    <x v="1401"/>
  </r>
  <r>
    <s v="ORD2404"/>
    <x v="117"/>
    <s v="Alexis Rodriguez"/>
    <x v="2"/>
    <x v="2"/>
    <s v="6120"/>
    <x v="0"/>
    <n v="1200.95"/>
    <n v="0"/>
    <s v="Net Banking"/>
    <x v="1402"/>
  </r>
  <r>
    <s v="ORD2405"/>
    <x v="634"/>
    <s v="Kevin Hernandez"/>
    <x v="1"/>
    <x v="2"/>
    <s v="TDK 4.7GB DVD-R"/>
    <x v="4"/>
    <n v="844.88"/>
    <n v="0"/>
    <s v="Cash"/>
    <x v="1403"/>
  </r>
  <r>
    <s v="ORD2406"/>
    <x v="209"/>
    <s v="Robert Green"/>
    <x v="3"/>
    <x v="0"/>
    <s v="Avery 493"/>
    <x v="3"/>
    <n v="965.57"/>
    <n v="20"/>
    <s v="Cash"/>
    <x v="1404"/>
  </r>
  <r>
    <s v="ORD2407"/>
    <x v="216"/>
    <s v="Kari Lloyd"/>
    <x v="0"/>
    <x v="0"/>
    <s v="Boston Model 1800 Electric Pencil Sharpener, Gray"/>
    <x v="2"/>
    <n v="105.21"/>
    <n v="5"/>
    <s v="UPI"/>
    <x v="1405"/>
  </r>
  <r>
    <s v="ORD2408"/>
    <x v="635"/>
    <s v="Grace Miller"/>
    <x v="1"/>
    <x v="0"/>
    <s v="Newell 336"/>
    <x v="4"/>
    <n v="459.56"/>
    <n v="5"/>
    <s v="Credit Card"/>
    <x v="1406"/>
  </r>
  <r>
    <s v="ORD2409"/>
    <x v="307"/>
    <s v="Timothy Moore"/>
    <x v="2"/>
    <x v="1"/>
    <s v="Hon 4700 Series Mobuis™ Mid-Back Task Chairs with Adjustable Arms"/>
    <x v="1"/>
    <n v="598.02"/>
    <n v="10"/>
    <s v="Credit Card"/>
    <x v="1407"/>
  </r>
  <r>
    <s v="ORD2410"/>
    <x v="636"/>
    <s v="Wyatt Townsend II"/>
    <x v="3"/>
    <x v="1"/>
    <s v="BoxOffice By Design Rectangular and Half-Moon Meeting Room Tables"/>
    <x v="8"/>
    <n v="1440.27"/>
    <n v="20"/>
    <s v="Cash"/>
    <x v="1408"/>
  </r>
  <r>
    <s v="ORD2411"/>
    <x v="124"/>
    <s v="Mark Clark"/>
    <x v="2"/>
    <x v="1"/>
    <s v="Eldon® 200 Class™ Desk Accessories"/>
    <x v="0"/>
    <n v="72.41"/>
    <n v="20"/>
    <s v="UPI"/>
    <x v="1409"/>
  </r>
  <r>
    <s v="ORD2412"/>
    <x v="602"/>
    <s v="Haley May"/>
    <x v="0"/>
    <x v="0"/>
    <s v="Newell 323"/>
    <x v="7"/>
    <n v="847.12"/>
    <n v="5"/>
    <s v="Cash"/>
    <x v="1410"/>
  </r>
  <r>
    <s v="ORD2413"/>
    <x v="110"/>
    <s v="Audrey Jackson"/>
    <x v="1"/>
    <x v="1"/>
    <s v="Hon 4700 Series Mobuis™ Mid-Back Task Chairs with Adjustable Arms"/>
    <x v="1"/>
    <n v="1851.85"/>
    <n v="20"/>
    <s v="Credit Card"/>
    <x v="1411"/>
  </r>
  <r>
    <s v="ORD2414"/>
    <x v="637"/>
    <s v="Eric Reese"/>
    <x v="0"/>
    <x v="1"/>
    <s v="Eldon® 200 Class™ Desk Accessories"/>
    <x v="1"/>
    <n v="268.17"/>
    <n v="5"/>
    <s v="UPI"/>
    <x v="1412"/>
  </r>
  <r>
    <s v="ORD2415"/>
    <x v="79"/>
    <s v="Kim James"/>
    <x v="0"/>
    <x v="0"/>
    <s v="GBC Standard Therm-A-Bind Covers"/>
    <x v="8"/>
    <n v="1057.03"/>
    <n v="20"/>
    <s v="Net Banking"/>
    <x v="1413"/>
  </r>
  <r>
    <s v="ORD2416"/>
    <x v="331"/>
    <s v="Karen Thomas"/>
    <x v="3"/>
    <x v="0"/>
    <s v="Staples Premium Bright 1-Part Blank Computer Paper"/>
    <x v="5"/>
    <n v="1583.72"/>
    <n v="0"/>
    <s v="Net Banking"/>
    <x v="1414"/>
  </r>
  <r>
    <s v="ORD2417"/>
    <x v="302"/>
    <s v="Alexandra Ho"/>
    <x v="3"/>
    <x v="0"/>
    <s v="Xerox 1984"/>
    <x v="8"/>
    <n v="1887.94"/>
    <n v="5"/>
    <s v="UPI"/>
    <x v="1415"/>
  </r>
  <r>
    <s v="ORD2418"/>
    <x v="248"/>
    <s v="Michael Nixon"/>
    <x v="0"/>
    <x v="2"/>
    <s v="Canon PC1060 Personal Laser Copier"/>
    <x v="5"/>
    <n v="1506.21"/>
    <n v="5"/>
    <s v="Net Banking"/>
    <x v="1416"/>
  </r>
  <r>
    <s v="ORD2419"/>
    <x v="622"/>
    <s v="Amanda Hardin"/>
    <x v="3"/>
    <x v="0"/>
    <s v="Fellowes Black Plastic Comb Bindings"/>
    <x v="5"/>
    <n v="1455.1"/>
    <n v="15"/>
    <s v="UPI"/>
    <x v="1417"/>
  </r>
  <r>
    <s v="ORD2420"/>
    <x v="192"/>
    <s v="Tina Reynolds"/>
    <x v="1"/>
    <x v="0"/>
    <s v="Xerox 1951"/>
    <x v="3"/>
    <n v="1661.65"/>
    <n v="20"/>
    <s v="Cash"/>
    <x v="1418"/>
  </r>
  <r>
    <s v="ORD2421"/>
    <x v="338"/>
    <s v="Shannon Rogers"/>
    <x v="1"/>
    <x v="0"/>
    <s v="Xerox 1905"/>
    <x v="3"/>
    <n v="920.09"/>
    <n v="20"/>
    <s v="Cash"/>
    <x v="1419"/>
  </r>
  <r>
    <s v="ORD2422"/>
    <x v="35"/>
    <s v="Brett Pena"/>
    <x v="0"/>
    <x v="0"/>
    <s v="Advantus Rolling Storage Box"/>
    <x v="6"/>
    <n v="1621.4"/>
    <n v="5"/>
    <s v="Credit Card"/>
    <x v="1420"/>
  </r>
  <r>
    <s v="ORD2423"/>
    <x v="318"/>
    <s v="Raymond Curry"/>
    <x v="1"/>
    <x v="0"/>
    <s v="Xerox 1979"/>
    <x v="2"/>
    <n v="65.53"/>
    <n v="0"/>
    <s v="Cash"/>
    <x v="1421"/>
  </r>
  <r>
    <s v="ORD2424"/>
    <x v="540"/>
    <s v="Leah Lee"/>
    <x v="0"/>
    <x v="2"/>
    <s v="5165"/>
    <x v="2"/>
    <n v="1852.89"/>
    <n v="0"/>
    <s v="Cash"/>
    <x v="1422"/>
  </r>
  <r>
    <s v="ORD2425"/>
    <x v="409"/>
    <s v="Michael White"/>
    <x v="1"/>
    <x v="2"/>
    <s v="Okidata ML395C Color Dot Matrix Printer"/>
    <x v="7"/>
    <n v="914.45"/>
    <n v="0"/>
    <s v="Credit Card"/>
    <x v="1423"/>
  </r>
  <r>
    <s v="ORD2426"/>
    <x v="271"/>
    <s v="Megan Decker"/>
    <x v="2"/>
    <x v="0"/>
    <s v="Peel &amp; Stick Add-On Corner Pockets"/>
    <x v="2"/>
    <n v="1129.0899999999999"/>
    <n v="20"/>
    <s v="UPI"/>
    <x v="1424"/>
  </r>
  <r>
    <s v="ORD2427"/>
    <x v="638"/>
    <s v="Brent Garcia"/>
    <x v="0"/>
    <x v="0"/>
    <s v="Boston 1730 StandUp Electric Pencil Sharpener"/>
    <x v="3"/>
    <n v="547.02"/>
    <n v="15"/>
    <s v="Cash"/>
    <x v="1425"/>
  </r>
  <r>
    <s v="ORD2428"/>
    <x v="231"/>
    <s v="Daniel Campbell"/>
    <x v="1"/>
    <x v="2"/>
    <s v="Targus USB Numeric Keypad"/>
    <x v="6"/>
    <n v="1497.94"/>
    <n v="5"/>
    <s v="Cash"/>
    <x v="1426"/>
  </r>
  <r>
    <s v="ORD2429"/>
    <x v="143"/>
    <s v="Alexander Davis"/>
    <x v="2"/>
    <x v="0"/>
    <s v="EcoTones® Memo Sheets"/>
    <x v="6"/>
    <n v="199.44"/>
    <n v="10"/>
    <s v="Cash"/>
    <x v="1427"/>
  </r>
  <r>
    <s v="ORD2430"/>
    <x v="535"/>
    <s v="Mary Houston"/>
    <x v="0"/>
    <x v="2"/>
    <s v="Accessory9"/>
    <x v="5"/>
    <n v="1751.64"/>
    <n v="15"/>
    <s v="Credit Card"/>
    <x v="1428"/>
  </r>
  <r>
    <s v="ORD2431"/>
    <x v="148"/>
    <s v="Margaret Erickson"/>
    <x v="1"/>
    <x v="0"/>
    <s v="Avery 485"/>
    <x v="8"/>
    <n v="1664.83"/>
    <n v="10"/>
    <s v="UPI"/>
    <x v="1429"/>
  </r>
  <r>
    <s v="ORD2432"/>
    <x v="127"/>
    <s v="Scott Anderson"/>
    <x v="1"/>
    <x v="0"/>
    <s v="Hot File® 7-Pocket, Floor Stand"/>
    <x v="7"/>
    <n v="471.32"/>
    <n v="15"/>
    <s v="Credit Card"/>
    <x v="1430"/>
  </r>
  <r>
    <s v="ORD2433"/>
    <x v="183"/>
    <s v="Stephanie Knight"/>
    <x v="2"/>
    <x v="1"/>
    <s v="Artistic Insta-Plaque"/>
    <x v="5"/>
    <n v="1628.18"/>
    <n v="0"/>
    <s v="Net Banking"/>
    <x v="1431"/>
  </r>
  <r>
    <s v="ORD2434"/>
    <x v="386"/>
    <s v="Stephanie Dominguez"/>
    <x v="3"/>
    <x v="2"/>
    <s v="T65"/>
    <x v="8"/>
    <n v="1583.4"/>
    <n v="20"/>
    <s v="Cash"/>
    <x v="1432"/>
  </r>
  <r>
    <s v="ORD2435"/>
    <x v="209"/>
    <s v="John Mayer"/>
    <x v="3"/>
    <x v="2"/>
    <s v="AT&amp;T 2230 Dual Handset Phone With Caller ID/Call Waiting"/>
    <x v="2"/>
    <n v="1282.82"/>
    <n v="10"/>
    <s v="Net Banking"/>
    <x v="1433"/>
  </r>
  <r>
    <s v="ORD2436"/>
    <x v="544"/>
    <s v="Tammy Hill"/>
    <x v="2"/>
    <x v="0"/>
    <s v="Xerox 1905"/>
    <x v="5"/>
    <n v="778.36"/>
    <n v="15"/>
    <s v="UPI"/>
    <x v="1434"/>
  </r>
  <r>
    <s v="ORD2437"/>
    <x v="342"/>
    <s v="Steven Carrillo"/>
    <x v="2"/>
    <x v="2"/>
    <s v="Accessory31"/>
    <x v="4"/>
    <n v="579.41999999999996"/>
    <n v="20"/>
    <s v="Cash"/>
    <x v="1435"/>
  </r>
  <r>
    <s v="ORD2438"/>
    <x v="93"/>
    <s v="Christopher Jones"/>
    <x v="0"/>
    <x v="0"/>
    <s v="Xerox 1951"/>
    <x v="2"/>
    <n v="501.98"/>
    <n v="10"/>
    <s v="Net Banking"/>
    <x v="1436"/>
  </r>
  <r>
    <s v="ORD2439"/>
    <x v="639"/>
    <s v="Janet Cook"/>
    <x v="3"/>
    <x v="0"/>
    <s v="Boston KS Multi-Size Manual Pencil Sharpener"/>
    <x v="8"/>
    <n v="671.29"/>
    <n v="5"/>
    <s v="Net Banking"/>
    <x v="1437"/>
  </r>
  <r>
    <s v="ORD2440"/>
    <x v="344"/>
    <s v="Tyler Baker"/>
    <x v="0"/>
    <x v="1"/>
    <s v="Bush Advantage Collection® Round Conference Table"/>
    <x v="7"/>
    <n v="1811.94"/>
    <n v="15"/>
    <s v="Net Banking"/>
    <x v="1438"/>
  </r>
  <r>
    <s v="ORD2441"/>
    <x v="640"/>
    <s v="John Mcfarland"/>
    <x v="1"/>
    <x v="0"/>
    <s v="Dixon Ticonderoga® Erasable Colored Pencil Set, 12-Color"/>
    <x v="8"/>
    <n v="201.4"/>
    <n v="5"/>
    <s v="Cash"/>
    <x v="1439"/>
  </r>
  <r>
    <s v="ORD2442"/>
    <x v="618"/>
    <s v="Cassandra Vasquez"/>
    <x v="2"/>
    <x v="0"/>
    <s v="Xerox 1951"/>
    <x v="5"/>
    <n v="1666.3"/>
    <n v="0"/>
    <s v="Cash"/>
    <x v="1440"/>
  </r>
  <r>
    <s v="ORD2443"/>
    <x v="229"/>
    <s v="Randy Robinson"/>
    <x v="0"/>
    <x v="0"/>
    <s v="Boston KS Multi-Size Manual Pencil Sharpener"/>
    <x v="5"/>
    <n v="730.34"/>
    <n v="5"/>
    <s v="Cash"/>
    <x v="1441"/>
  </r>
  <r>
    <s v="ORD2444"/>
    <x v="354"/>
    <s v="Susan Baldwin"/>
    <x v="2"/>
    <x v="1"/>
    <s v="Bush Advantage Collection® Round Conference Table"/>
    <x v="1"/>
    <n v="1067.1199999999999"/>
    <n v="5"/>
    <s v="Cash"/>
    <x v="1442"/>
  </r>
  <r>
    <s v="ORD2445"/>
    <x v="40"/>
    <s v="Benjamin Duncan"/>
    <x v="0"/>
    <x v="0"/>
    <s v="Dixon Ticonderoga® Erasable Colored Pencil Set, 12-Color"/>
    <x v="7"/>
    <n v="1599.25"/>
    <n v="15"/>
    <s v="Credit Card"/>
    <x v="1443"/>
  </r>
  <r>
    <s v="ORD2446"/>
    <x v="513"/>
    <s v="Jeremy Mosley"/>
    <x v="1"/>
    <x v="2"/>
    <s v="Accessory31"/>
    <x v="2"/>
    <n v="1774.53"/>
    <n v="0"/>
    <s v="Net Banking"/>
    <x v="1444"/>
  </r>
  <r>
    <s v="ORD2447"/>
    <x v="497"/>
    <s v="Martin Fitzpatrick"/>
    <x v="1"/>
    <x v="0"/>
    <s v="GBC ProClick Spines for 32-Hole Punch"/>
    <x v="6"/>
    <n v="722.32"/>
    <n v="5"/>
    <s v="Credit Card"/>
    <x v="1445"/>
  </r>
  <r>
    <s v="ORD2448"/>
    <x v="531"/>
    <s v="Deborah Graves"/>
    <x v="3"/>
    <x v="0"/>
    <s v="12 Colored Short Pencils"/>
    <x v="7"/>
    <n v="950.59"/>
    <n v="20"/>
    <s v="UPI"/>
    <x v="1446"/>
  </r>
  <r>
    <s v="ORD2449"/>
    <x v="487"/>
    <s v="Laura Robertson"/>
    <x v="3"/>
    <x v="0"/>
    <s v="Mead 1st Gear 2&quot; Zipper Binder, Asst. Colors"/>
    <x v="6"/>
    <n v="858.31"/>
    <n v="10"/>
    <s v="Net Banking"/>
    <x v="1447"/>
  </r>
  <r>
    <s v="ORD2450"/>
    <x v="641"/>
    <s v="Katherine Graham"/>
    <x v="1"/>
    <x v="0"/>
    <s v="Avery 508"/>
    <x v="7"/>
    <n v="75.84"/>
    <n v="5"/>
    <s v="Cash"/>
    <x v="1448"/>
  </r>
  <r>
    <s v="ORD2451"/>
    <x v="642"/>
    <s v="Priscilla Floyd"/>
    <x v="0"/>
    <x v="1"/>
    <s v="Office Star - Mid Back Dual function Ergonomic High Back Chair with 2-Way Adjustable Arms"/>
    <x v="7"/>
    <n v="627.09"/>
    <n v="0"/>
    <s v="Cash"/>
    <x v="1449"/>
  </r>
  <r>
    <s v="ORD2452"/>
    <x v="200"/>
    <s v="April Finley"/>
    <x v="2"/>
    <x v="0"/>
    <s v="Ibico Presentation Index for Binding Systems"/>
    <x v="8"/>
    <n v="945.42"/>
    <n v="5"/>
    <s v="Cash"/>
    <x v="1450"/>
  </r>
  <r>
    <s v="ORD2453"/>
    <x v="643"/>
    <s v="Karen Bradley"/>
    <x v="1"/>
    <x v="1"/>
    <s v="Aluminum Document Frame"/>
    <x v="7"/>
    <n v="851.63"/>
    <n v="10"/>
    <s v="Credit Card"/>
    <x v="1451"/>
  </r>
  <r>
    <s v="ORD2454"/>
    <x v="415"/>
    <s v="Heather Maldonado"/>
    <x v="1"/>
    <x v="0"/>
    <s v="Presstex Flexible Ring Binders"/>
    <x v="1"/>
    <n v="1457.76"/>
    <n v="0"/>
    <s v="Cash"/>
    <x v="1452"/>
  </r>
  <r>
    <s v="ORD2455"/>
    <x v="481"/>
    <s v="Mark Benjamin"/>
    <x v="0"/>
    <x v="0"/>
    <s v="Eureka Sanitaire ® Multi-Pro Heavy-Duty Upright, Disposable Bags"/>
    <x v="5"/>
    <n v="800.37"/>
    <n v="15"/>
    <s v="Net Banking"/>
    <x v="1453"/>
  </r>
  <r>
    <s v="ORD2456"/>
    <x v="216"/>
    <s v="Joseph Woodward"/>
    <x v="1"/>
    <x v="1"/>
    <s v="Global Troy™ Executive Leather Low-Back Tilter"/>
    <x v="0"/>
    <n v="1004.28"/>
    <n v="0"/>
    <s v="Net Banking"/>
    <x v="1454"/>
  </r>
  <r>
    <s v="ORD2457"/>
    <x v="595"/>
    <s v="Joe Miranda"/>
    <x v="1"/>
    <x v="1"/>
    <s v="DAX Copper Panel Document Frame, 5 x 7 Size"/>
    <x v="6"/>
    <n v="887.74"/>
    <n v="15"/>
    <s v="UPI"/>
    <x v="1455"/>
  </r>
  <r>
    <s v="ORD2458"/>
    <x v="64"/>
    <s v="Cassandra Williams"/>
    <x v="0"/>
    <x v="1"/>
    <s v="Deflect-O® Glasstique™ Clear Desk Accessories"/>
    <x v="5"/>
    <n v="1494.22"/>
    <n v="0"/>
    <s v="Net Banking"/>
    <x v="1456"/>
  </r>
  <r>
    <s v="ORD2459"/>
    <x v="262"/>
    <s v="Connor Dominguez"/>
    <x v="1"/>
    <x v="1"/>
    <s v="Global Troy™ Executive Leather Low-Back Tilter"/>
    <x v="0"/>
    <n v="1732.8"/>
    <n v="10"/>
    <s v="Cash"/>
    <x v="1457"/>
  </r>
  <r>
    <s v="ORD2460"/>
    <x v="18"/>
    <s v="Lydia Howard"/>
    <x v="3"/>
    <x v="1"/>
    <s v="Deflect-O® Glasstique™ Clear Desk Accessories"/>
    <x v="6"/>
    <n v="1087.18"/>
    <n v="10"/>
    <s v="Net Banking"/>
    <x v="1458"/>
  </r>
  <r>
    <s v="ORD2461"/>
    <x v="235"/>
    <s v="Mark Moss"/>
    <x v="3"/>
    <x v="0"/>
    <s v="Avery Printable Repositionable Plastic Tabs"/>
    <x v="6"/>
    <n v="1589.39"/>
    <n v="0"/>
    <s v="Net Banking"/>
    <x v="1459"/>
  </r>
  <r>
    <s v="ORD2462"/>
    <x v="185"/>
    <s v="Corey Cortez"/>
    <x v="3"/>
    <x v="0"/>
    <s v="OIC Colored Binder Clips, Assorted Sizes"/>
    <x v="0"/>
    <n v="628.73"/>
    <n v="5"/>
    <s v="Credit Card"/>
    <x v="1460"/>
  </r>
  <r>
    <s v="ORD2463"/>
    <x v="120"/>
    <s v="Katherine Brown"/>
    <x v="3"/>
    <x v="1"/>
    <s v="Balt Solid Wood Rectangular Table"/>
    <x v="7"/>
    <n v="1105.67"/>
    <n v="10"/>
    <s v="Net Banking"/>
    <x v="1461"/>
  </r>
  <r>
    <s v="ORD2464"/>
    <x v="167"/>
    <s v="Elizabeth Ferguson"/>
    <x v="1"/>
    <x v="1"/>
    <s v="Bush Advantage Collection® Round Conference Table"/>
    <x v="2"/>
    <n v="723.2"/>
    <n v="15"/>
    <s v="UPI"/>
    <x v="1462"/>
  </r>
  <r>
    <s v="ORD2465"/>
    <x v="540"/>
    <s v="Joann Forbes"/>
    <x v="2"/>
    <x v="1"/>
    <s v="Regeneration Desk Collection"/>
    <x v="4"/>
    <n v="857.69"/>
    <n v="15"/>
    <s v="Net Banking"/>
    <x v="1463"/>
  </r>
  <r>
    <s v="ORD2466"/>
    <x v="644"/>
    <s v="Anthony French"/>
    <x v="3"/>
    <x v="2"/>
    <s v="Okidata ML520 Series Dot Matrix Printers"/>
    <x v="5"/>
    <n v="1478.21"/>
    <n v="20"/>
    <s v="Credit Card"/>
    <x v="1464"/>
  </r>
  <r>
    <s v="ORD2467"/>
    <x v="97"/>
    <s v="Bruce Roman"/>
    <x v="3"/>
    <x v="0"/>
    <s v="TOPS Voice Message Log Book, Flash Format"/>
    <x v="8"/>
    <n v="1769.24"/>
    <n v="15"/>
    <s v="Credit Card"/>
    <x v="1465"/>
  </r>
  <r>
    <s v="ORD2468"/>
    <x v="525"/>
    <s v="Judy Gregory"/>
    <x v="1"/>
    <x v="0"/>
    <s v="Avery 48"/>
    <x v="5"/>
    <n v="286.92"/>
    <n v="20"/>
    <s v="Net Banking"/>
    <x v="1466"/>
  </r>
  <r>
    <s v="ORD2469"/>
    <x v="645"/>
    <s v="Brittany Riley"/>
    <x v="1"/>
    <x v="0"/>
    <s v="Xerox 20"/>
    <x v="8"/>
    <n v="1287.55"/>
    <n v="0"/>
    <s v="Net Banking"/>
    <x v="1467"/>
  </r>
  <r>
    <s v="ORD2470"/>
    <x v="127"/>
    <s v="Amanda Thomas"/>
    <x v="0"/>
    <x v="1"/>
    <s v="Executive Impressions 14&quot; Two-Color Numerals Wall Clock"/>
    <x v="0"/>
    <n v="1185.18"/>
    <n v="0"/>
    <s v="Credit Card"/>
    <x v="1468"/>
  </r>
  <r>
    <s v="ORD2471"/>
    <x v="352"/>
    <s v="Kaitlin Hardin"/>
    <x v="3"/>
    <x v="0"/>
    <s v="Smead Adjustable Mobile File Trolley with Lockable Top"/>
    <x v="8"/>
    <n v="280.91000000000003"/>
    <n v="0"/>
    <s v="Cash"/>
    <x v="1469"/>
  </r>
  <r>
    <s v="ORD2472"/>
    <x v="26"/>
    <s v="Michael Anderson"/>
    <x v="0"/>
    <x v="2"/>
    <s v="Accessory4"/>
    <x v="6"/>
    <n v="463.19"/>
    <n v="5"/>
    <s v="Net Banking"/>
    <x v="1470"/>
  </r>
  <r>
    <s v="ORD2473"/>
    <x v="596"/>
    <s v="Anthony Parker"/>
    <x v="3"/>
    <x v="0"/>
    <s v="Acme Kleencut® Forged Steel Scissors"/>
    <x v="2"/>
    <n v="656.45"/>
    <n v="5"/>
    <s v="Credit Card"/>
    <x v="1471"/>
  </r>
  <r>
    <s v="ORD2474"/>
    <x v="145"/>
    <s v="Joy Jackson"/>
    <x v="2"/>
    <x v="2"/>
    <s v="2160i"/>
    <x v="2"/>
    <n v="375.52"/>
    <n v="20"/>
    <s v="Net Banking"/>
    <x v="1472"/>
  </r>
  <r>
    <s v="ORD2475"/>
    <x v="74"/>
    <s v="Sabrina Rodriguez"/>
    <x v="1"/>
    <x v="2"/>
    <s v="Panasonic KX-P3200 Dot Matrix Printer"/>
    <x v="6"/>
    <n v="525.27"/>
    <n v="15"/>
    <s v="Credit Card"/>
    <x v="281"/>
  </r>
  <r>
    <s v="ORD2476"/>
    <x v="646"/>
    <s v="Robert Walker PhD"/>
    <x v="1"/>
    <x v="0"/>
    <s v="3M Organizer Strips"/>
    <x v="1"/>
    <n v="571.82000000000005"/>
    <n v="15"/>
    <s v="Cash"/>
    <x v="1473"/>
  </r>
  <r>
    <s v="ORD2477"/>
    <x v="522"/>
    <s v="Robert Hendrix"/>
    <x v="0"/>
    <x v="0"/>
    <s v="Eureka The Boss® Cordless Rechargeable Stick Vac"/>
    <x v="0"/>
    <n v="704.56"/>
    <n v="0"/>
    <s v="UPI"/>
    <x v="1474"/>
  </r>
  <r>
    <s v="ORD2478"/>
    <x v="392"/>
    <s v="Erika Daugherty"/>
    <x v="0"/>
    <x v="0"/>
    <s v="12 Colored Short Pencils"/>
    <x v="1"/>
    <n v="1511.31"/>
    <n v="10"/>
    <s v="Net Banking"/>
    <x v="1475"/>
  </r>
  <r>
    <s v="ORD2479"/>
    <x v="647"/>
    <s v="Brenda Copeland"/>
    <x v="1"/>
    <x v="0"/>
    <s v="Bravo II™ Megaboss® 12-Amp Hard Body Upright, Replacement Belts, 2 Belts per Pack"/>
    <x v="1"/>
    <n v="1165.23"/>
    <n v="5"/>
    <s v="Net Banking"/>
    <x v="1476"/>
  </r>
  <r>
    <s v="ORD2480"/>
    <x v="648"/>
    <s v="Pamela Watkins"/>
    <x v="1"/>
    <x v="0"/>
    <s v="Security-Tint Envelopes"/>
    <x v="5"/>
    <n v="1973.18"/>
    <n v="5"/>
    <s v="UPI"/>
    <x v="1477"/>
  </r>
  <r>
    <s v="ORD2481"/>
    <x v="355"/>
    <s v="Bryan Thomas"/>
    <x v="1"/>
    <x v="2"/>
    <s v="6162"/>
    <x v="5"/>
    <n v="858.73"/>
    <n v="0"/>
    <s v="UPI"/>
    <x v="1478"/>
  </r>
  <r>
    <s v="ORD2482"/>
    <x v="498"/>
    <s v="Michael Tran"/>
    <x v="3"/>
    <x v="0"/>
    <s v="Newell 309"/>
    <x v="4"/>
    <n v="1520.04"/>
    <n v="5"/>
    <s v="Net Banking"/>
    <x v="1479"/>
  </r>
  <r>
    <s v="ORD2483"/>
    <x v="64"/>
    <s v="Timothy Williams"/>
    <x v="3"/>
    <x v="0"/>
    <s v="*Staples* Highlighting Markers"/>
    <x v="8"/>
    <n v="1749.36"/>
    <n v="0"/>
    <s v="Cash"/>
    <x v="1480"/>
  </r>
  <r>
    <s v="ORD2484"/>
    <x v="649"/>
    <s v="Ryan Salazar"/>
    <x v="2"/>
    <x v="0"/>
    <s v="Super Decoflex Portable Personal File"/>
    <x v="6"/>
    <n v="1374.01"/>
    <n v="20"/>
    <s v="Net Banking"/>
    <x v="1481"/>
  </r>
  <r>
    <s v="ORD2485"/>
    <x v="417"/>
    <s v="Alexis Tucker"/>
    <x v="3"/>
    <x v="0"/>
    <s v="Fellowes Mighty 8 Compact Surge Protector"/>
    <x v="5"/>
    <n v="853.14"/>
    <n v="15"/>
    <s v="UPI"/>
    <x v="1482"/>
  </r>
  <r>
    <s v="ORD2486"/>
    <x v="283"/>
    <s v="Christopher Davis"/>
    <x v="1"/>
    <x v="0"/>
    <s v="*Staples* Highlighting Markers"/>
    <x v="0"/>
    <n v="1519.51"/>
    <n v="10"/>
    <s v="Credit Card"/>
    <x v="1483"/>
  </r>
  <r>
    <s v="ORD2487"/>
    <x v="61"/>
    <s v="Stacie Butler"/>
    <x v="3"/>
    <x v="0"/>
    <s v="Boston School Pro Electric Pencil Sharpener, 1670"/>
    <x v="8"/>
    <n v="447.15"/>
    <n v="15"/>
    <s v="Cash"/>
    <x v="1484"/>
  </r>
  <r>
    <s v="ORD2488"/>
    <x v="193"/>
    <s v="Patricia Schwartz"/>
    <x v="0"/>
    <x v="0"/>
    <s v="Fellowes Mighty 8 Compact Surge Protector"/>
    <x v="4"/>
    <n v="688.73"/>
    <n v="15"/>
    <s v="Net Banking"/>
    <x v="1485"/>
  </r>
  <r>
    <s v="ORD2489"/>
    <x v="179"/>
    <s v="Mark Mills"/>
    <x v="1"/>
    <x v="0"/>
    <s v="Sanford 52201 APSCO Electric Pencil Sharpener"/>
    <x v="4"/>
    <n v="1116.04"/>
    <n v="20"/>
    <s v="Net Banking"/>
    <x v="1486"/>
  </r>
  <r>
    <s v="ORD2490"/>
    <x v="587"/>
    <s v="Todd Bishop"/>
    <x v="3"/>
    <x v="0"/>
    <s v="Avery Trapezoid Extra Heavy Duty 4&quot; Binders"/>
    <x v="0"/>
    <n v="1172.05"/>
    <n v="5"/>
    <s v="Credit Card"/>
    <x v="1487"/>
  </r>
  <r>
    <s v="ORD2491"/>
    <x v="197"/>
    <s v="Christopher Porter"/>
    <x v="1"/>
    <x v="0"/>
    <s v="Avery 4027 File Folder Labels for Dot Matrix Printers, 5000 Labels per Box, White"/>
    <x v="1"/>
    <n v="93.18"/>
    <n v="10"/>
    <s v="Credit Card"/>
    <x v="1488"/>
  </r>
  <r>
    <s v="ORD2492"/>
    <x v="650"/>
    <s v="Lori Patton"/>
    <x v="0"/>
    <x v="1"/>
    <s v="Electrix Halogen Magnifier Lamp"/>
    <x v="2"/>
    <n v="1892.97"/>
    <n v="5"/>
    <s v="Cash"/>
    <x v="1489"/>
  </r>
  <r>
    <s v="ORD2493"/>
    <x v="302"/>
    <s v="Aaron Young"/>
    <x v="0"/>
    <x v="1"/>
    <s v="Luxo Professional Fluorescent Magnifier Lamp with Clamp-Mount Base"/>
    <x v="0"/>
    <n v="1408.42"/>
    <n v="15"/>
    <s v="Cash"/>
    <x v="1490"/>
  </r>
  <r>
    <s v="ORD2494"/>
    <x v="75"/>
    <s v="Joseph Davis"/>
    <x v="3"/>
    <x v="2"/>
    <s v="Panasonic KX-P1150 Dot Matrix Printer"/>
    <x v="3"/>
    <n v="1016.62"/>
    <n v="0"/>
    <s v="Net Banking"/>
    <x v="1491"/>
  </r>
  <r>
    <s v="ORD2495"/>
    <x v="380"/>
    <s v="Philip Fernandez"/>
    <x v="1"/>
    <x v="2"/>
    <s v="i1000"/>
    <x v="0"/>
    <n v="1869.6"/>
    <n v="15"/>
    <s v="Net Banking"/>
    <x v="1492"/>
  </r>
  <r>
    <s v="ORD2496"/>
    <x v="79"/>
    <s v="Randy Hopkins"/>
    <x v="2"/>
    <x v="2"/>
    <s v="Gyration Ultra Cordless Optical Suite"/>
    <x v="4"/>
    <n v="906.24"/>
    <n v="5"/>
    <s v="UPI"/>
    <x v="1493"/>
  </r>
  <r>
    <s v="ORD2497"/>
    <x v="651"/>
    <s v="Cory Hogan"/>
    <x v="0"/>
    <x v="0"/>
    <s v="Avery White Multi-Purpose Labels"/>
    <x v="6"/>
    <n v="1961.85"/>
    <n v="15"/>
    <s v="Net Banking"/>
    <x v="1494"/>
  </r>
  <r>
    <s v="ORD2498"/>
    <x v="652"/>
    <s v="Tracy Wells"/>
    <x v="2"/>
    <x v="0"/>
    <s v="Staples Surge Protector 6 outlet"/>
    <x v="5"/>
    <n v="1048.96"/>
    <n v="0"/>
    <s v="Credit Card"/>
    <x v="1495"/>
  </r>
  <r>
    <s v="ORD2499"/>
    <x v="522"/>
    <s v="Michael Williams"/>
    <x v="3"/>
    <x v="1"/>
    <s v="Eldon Radial Chair Mat for Low to Medium Pile Carpets"/>
    <x v="6"/>
    <n v="272.86"/>
    <n v="20"/>
    <s v="Cash"/>
    <x v="1496"/>
  </r>
  <r>
    <s v="ORD2500"/>
    <x v="279"/>
    <s v="Dominique Hamilton"/>
    <x v="0"/>
    <x v="2"/>
    <s v="Microsoft Natural Keyboard Elite"/>
    <x v="4"/>
    <n v="1541.36"/>
    <n v="5"/>
    <s v="Net Banking"/>
    <x v="1497"/>
  </r>
  <r>
    <s v="ORD2501"/>
    <x v="574"/>
    <s v="Robert Chang"/>
    <x v="2"/>
    <x v="2"/>
    <s v="Accessory41"/>
    <x v="5"/>
    <n v="1373.85"/>
    <n v="15"/>
    <s v="Cash"/>
    <x v="1498"/>
  </r>
  <r>
    <s v="ORD2502"/>
    <x v="416"/>
    <s v="Patrick Buckley"/>
    <x v="0"/>
    <x v="0"/>
    <s v="Xerox 1938"/>
    <x v="3"/>
    <n v="1557.32"/>
    <n v="5"/>
    <s v="Net Banking"/>
    <x v="1499"/>
  </r>
  <r>
    <s v="ORD2503"/>
    <x v="179"/>
    <s v="Richard Washington"/>
    <x v="2"/>
    <x v="2"/>
    <s v="Imation 3.5&quot;, DISKETTE 44766 HGHLD3.52HD/FM, 10/Pack"/>
    <x v="2"/>
    <n v="1905.31"/>
    <n v="20"/>
    <s v="Credit Card"/>
    <x v="1500"/>
  </r>
  <r>
    <s v="ORD2504"/>
    <x v="93"/>
    <s v="Steven Griffith"/>
    <x v="1"/>
    <x v="1"/>
    <s v="Hand-Finished Solid Wood Document Frame"/>
    <x v="8"/>
    <n v="1564.15"/>
    <n v="15"/>
    <s v="UPI"/>
    <x v="1501"/>
  </r>
  <r>
    <s v="ORD2505"/>
    <x v="424"/>
    <s v="Erika Gonzalez"/>
    <x v="1"/>
    <x v="1"/>
    <s v="Global Leather Task Chair, Black"/>
    <x v="4"/>
    <n v="1242.1099999999999"/>
    <n v="15"/>
    <s v="UPI"/>
    <x v="1502"/>
  </r>
  <r>
    <s v="ORD2506"/>
    <x v="305"/>
    <s v="Erika Maxwell"/>
    <x v="3"/>
    <x v="0"/>
    <s v="Prang Colored Pencils"/>
    <x v="4"/>
    <n v="1721.75"/>
    <n v="5"/>
    <s v="Cash"/>
    <x v="1503"/>
  </r>
  <r>
    <s v="ORD2507"/>
    <x v="594"/>
    <s v="Brent Rojas"/>
    <x v="0"/>
    <x v="0"/>
    <s v="SAFCO Commercial Wire Shelving, Black"/>
    <x v="4"/>
    <n v="1362.83"/>
    <n v="5"/>
    <s v="Credit Card"/>
    <x v="1504"/>
  </r>
  <r>
    <s v="ORD2508"/>
    <x v="653"/>
    <s v="Jaime Walker"/>
    <x v="2"/>
    <x v="0"/>
    <s v="Kensington 6 Outlet MasterPiece® HOMEOFFICE Power Control Center"/>
    <x v="5"/>
    <n v="845.83"/>
    <n v="0"/>
    <s v="Credit Card"/>
    <x v="1505"/>
  </r>
  <r>
    <s v="ORD2509"/>
    <x v="184"/>
    <s v="John Zamora"/>
    <x v="3"/>
    <x v="0"/>
    <s v="Xerox 1938"/>
    <x v="7"/>
    <n v="1776.96"/>
    <n v="20"/>
    <s v="Credit Card"/>
    <x v="1506"/>
  </r>
  <r>
    <s v="ORD2510"/>
    <x v="654"/>
    <s v="Timothy Gibson"/>
    <x v="1"/>
    <x v="1"/>
    <s v="Executive Impressions 8-1/2&quot; Career Panel/Partition Cubicle Clock"/>
    <x v="0"/>
    <n v="482.71"/>
    <n v="0"/>
    <s v="Net Banking"/>
    <x v="1507"/>
  </r>
  <r>
    <s v="ORD2511"/>
    <x v="655"/>
    <s v="Chad Cortez"/>
    <x v="1"/>
    <x v="0"/>
    <s v="Xerox 1962"/>
    <x v="7"/>
    <n v="1443.55"/>
    <n v="15"/>
    <s v="UPI"/>
    <x v="1508"/>
  </r>
  <r>
    <s v="ORD2512"/>
    <x v="436"/>
    <s v="Vanessa Harris"/>
    <x v="3"/>
    <x v="0"/>
    <s v="Staples Vinyl Coated Paper Clips"/>
    <x v="3"/>
    <n v="1769.05"/>
    <n v="5"/>
    <s v="Credit Card"/>
    <x v="1509"/>
  </r>
  <r>
    <s v="ORD2513"/>
    <x v="214"/>
    <s v="Michael Brown"/>
    <x v="0"/>
    <x v="0"/>
    <s v="Economy Rollaway Files"/>
    <x v="2"/>
    <n v="1476.07"/>
    <n v="15"/>
    <s v="Net Banking"/>
    <x v="1510"/>
  </r>
  <r>
    <s v="ORD2514"/>
    <x v="562"/>
    <s v="Samuel Ellis"/>
    <x v="2"/>
    <x v="0"/>
    <s v="Model L Table or Wall-Mount Pencil Sharpener"/>
    <x v="1"/>
    <n v="1409.69"/>
    <n v="15"/>
    <s v="Cash"/>
    <x v="1511"/>
  </r>
  <r>
    <s v="ORD2515"/>
    <x v="656"/>
    <s v="Greg Tanner"/>
    <x v="1"/>
    <x v="0"/>
    <s v="Economy Rollaway Files"/>
    <x v="3"/>
    <n v="1517.64"/>
    <n v="10"/>
    <s v="Net Banking"/>
    <x v="1512"/>
  </r>
  <r>
    <s v="ORD2516"/>
    <x v="390"/>
    <s v="Rachel Little"/>
    <x v="3"/>
    <x v="1"/>
    <s v="Deflect-o EconoMat Studded, No Bevel Mat for Low Pile Carpeting"/>
    <x v="1"/>
    <n v="956.86"/>
    <n v="10"/>
    <s v="Net Banking"/>
    <x v="1513"/>
  </r>
  <r>
    <s v="ORD2517"/>
    <x v="504"/>
    <s v="Carolyn Cordova"/>
    <x v="1"/>
    <x v="0"/>
    <s v="Adams Phone Message Book, 200 Message Capacity, 8 1/16” x 11”"/>
    <x v="1"/>
    <n v="1754.63"/>
    <n v="15"/>
    <s v="Credit Card"/>
    <x v="1514"/>
  </r>
  <r>
    <s v="ORD2518"/>
    <x v="135"/>
    <s v="Angelica Vincent"/>
    <x v="1"/>
    <x v="0"/>
    <s v="#10- 4 1/8&quot; x 9 1/2&quot; Recycled Envelopes"/>
    <x v="2"/>
    <n v="446.7"/>
    <n v="5"/>
    <s v="Cash"/>
    <x v="1515"/>
  </r>
  <r>
    <s v="ORD2519"/>
    <x v="513"/>
    <s v="Zachary Vargas PhD"/>
    <x v="2"/>
    <x v="0"/>
    <s v="Computer Printout Paper with Letter-Trim Perforations"/>
    <x v="6"/>
    <n v="298.39999999999998"/>
    <n v="15"/>
    <s v="UPI"/>
    <x v="1516"/>
  </r>
  <r>
    <s v="ORD2520"/>
    <x v="438"/>
    <s v="Nicholas Fitzgerald"/>
    <x v="0"/>
    <x v="1"/>
    <s v="DAX Value U-Channel Document Frames, Easel Back"/>
    <x v="7"/>
    <n v="606.74"/>
    <n v="10"/>
    <s v="Cash"/>
    <x v="1517"/>
  </r>
  <r>
    <s v="ORD2521"/>
    <x v="411"/>
    <s v="Garrett Riley"/>
    <x v="0"/>
    <x v="0"/>
    <s v="Staples Metal Binder Clips"/>
    <x v="4"/>
    <n v="1086.58"/>
    <n v="5"/>
    <s v="Cash"/>
    <x v="1518"/>
  </r>
  <r>
    <s v="ORD2522"/>
    <x v="64"/>
    <s v="Leslie Hernandez"/>
    <x v="2"/>
    <x v="2"/>
    <s v="6120"/>
    <x v="8"/>
    <n v="1045.5999999999999"/>
    <n v="15"/>
    <s v="Cash"/>
    <x v="1519"/>
  </r>
  <r>
    <s v="ORD2523"/>
    <x v="187"/>
    <s v="Abigail Baird"/>
    <x v="3"/>
    <x v="0"/>
    <s v="GBC Plastic Binding Combs"/>
    <x v="1"/>
    <n v="1650.17"/>
    <n v="20"/>
    <s v="Cash"/>
    <x v="1520"/>
  </r>
  <r>
    <s v="ORD2524"/>
    <x v="620"/>
    <s v="John Mack"/>
    <x v="3"/>
    <x v="0"/>
    <s v="Avery 496"/>
    <x v="3"/>
    <n v="838.91"/>
    <n v="20"/>
    <s v="Credit Card"/>
    <x v="1521"/>
  </r>
  <r>
    <s v="ORD2525"/>
    <x v="657"/>
    <s v="Joseph Mendoza"/>
    <x v="0"/>
    <x v="0"/>
    <s v="Xerox 1951"/>
    <x v="6"/>
    <n v="994.47"/>
    <n v="15"/>
    <s v="Net Banking"/>
    <x v="1522"/>
  </r>
  <r>
    <s v="ORD2526"/>
    <x v="307"/>
    <s v="Samantha Chavez"/>
    <x v="1"/>
    <x v="1"/>
    <s v="Tenex Contemporary Contur Chairmats for Low and Medium Pile Carpet, Computer, 39&quot; x 49&quot;"/>
    <x v="1"/>
    <n v="76.069999999999993"/>
    <n v="5"/>
    <s v="UPI"/>
    <x v="1523"/>
  </r>
  <r>
    <s v="ORD2527"/>
    <x v="352"/>
    <s v="Justin Smith"/>
    <x v="1"/>
    <x v="1"/>
    <s v="Eldon Regeneration Recycled Desk Accessories, Smoke"/>
    <x v="6"/>
    <n v="848.99"/>
    <n v="15"/>
    <s v="UPI"/>
    <x v="1524"/>
  </r>
  <r>
    <s v="ORD2528"/>
    <x v="631"/>
    <s v="Tiffany Anderson"/>
    <x v="3"/>
    <x v="2"/>
    <s v="Hewlett-Packard 2600DN Business Color Inkjet Printer"/>
    <x v="6"/>
    <n v="1313.16"/>
    <n v="15"/>
    <s v="Net Banking"/>
    <x v="1525"/>
  </r>
  <r>
    <s v="ORD2529"/>
    <x v="35"/>
    <s v="Matthew Davis"/>
    <x v="2"/>
    <x v="0"/>
    <s v="Cardinal Holdit Business Card Pockets"/>
    <x v="1"/>
    <n v="80.239999999999995"/>
    <n v="10"/>
    <s v="UPI"/>
    <x v="1526"/>
  </r>
  <r>
    <s v="ORD2530"/>
    <x v="658"/>
    <s v="Eric Warner"/>
    <x v="1"/>
    <x v="1"/>
    <s v="Hon Metal Bookcases, Black"/>
    <x v="5"/>
    <n v="597.72"/>
    <n v="20"/>
    <s v="Cash"/>
    <x v="1527"/>
  </r>
  <r>
    <s v="ORD2531"/>
    <x v="309"/>
    <s v="Nicole Johnson"/>
    <x v="3"/>
    <x v="0"/>
    <s v="Telephone Message Books with Fax/Mobile Section, 4 1/4&quot; x 6&quot;"/>
    <x v="0"/>
    <n v="455.51"/>
    <n v="10"/>
    <s v="Credit Card"/>
    <x v="1528"/>
  </r>
  <r>
    <s v="ORD2532"/>
    <x v="200"/>
    <s v="Raymond Sawyer"/>
    <x v="2"/>
    <x v="0"/>
    <s v="Tenex Personal Project File with Scoop Front Design, Black"/>
    <x v="4"/>
    <n v="131.87"/>
    <n v="10"/>
    <s v="Cash"/>
    <x v="1529"/>
  </r>
  <r>
    <s v="ORD2533"/>
    <x v="659"/>
    <s v="Richard Wood"/>
    <x v="0"/>
    <x v="0"/>
    <s v="Tripp Lite Isotel 6 Outlet Surge Protector with Fax/Modem Protection"/>
    <x v="4"/>
    <n v="984.56"/>
    <n v="15"/>
    <s v="Cash"/>
    <x v="1530"/>
  </r>
  <r>
    <s v="ORD2534"/>
    <x v="417"/>
    <s v="Mark Dalton"/>
    <x v="2"/>
    <x v="1"/>
    <s v="Eldon ClusterMat Chair Mat with Cordless Antistatic Protection"/>
    <x v="5"/>
    <n v="404.36"/>
    <n v="10"/>
    <s v="Credit Card"/>
    <x v="1531"/>
  </r>
  <r>
    <s v="ORD2535"/>
    <x v="619"/>
    <s v="Steven Cook"/>
    <x v="0"/>
    <x v="0"/>
    <s v="Avery 492"/>
    <x v="4"/>
    <n v="1499.01"/>
    <n v="20"/>
    <s v="UPI"/>
    <x v="1532"/>
  </r>
  <r>
    <s v="ORD2536"/>
    <x v="81"/>
    <s v="Jeffery Nelson"/>
    <x v="3"/>
    <x v="1"/>
    <s v="Bretford CR4500 Series Slim Rectangular Table"/>
    <x v="6"/>
    <n v="1703.46"/>
    <n v="10"/>
    <s v="Credit Card"/>
    <x v="1533"/>
  </r>
  <r>
    <s v="ORD2537"/>
    <x v="113"/>
    <s v="Kimberly Norton"/>
    <x v="2"/>
    <x v="2"/>
    <s v="Verbatim DVD-RAM, 5.2GB, Rewritable, Type 1, DS"/>
    <x v="2"/>
    <n v="1113.8900000000001"/>
    <n v="20"/>
    <s v="Net Banking"/>
    <x v="1534"/>
  </r>
  <r>
    <s v="ORD2538"/>
    <x v="268"/>
    <s v="Angela Gilmore"/>
    <x v="3"/>
    <x v="0"/>
    <s v="Memo Book, 100 Message Capacity, 5 3/8” x 11”"/>
    <x v="3"/>
    <n v="1964.33"/>
    <n v="10"/>
    <s v="Net Banking"/>
    <x v="1535"/>
  </r>
  <r>
    <s v="ORD2539"/>
    <x v="56"/>
    <s v="Amy Dougherty"/>
    <x v="0"/>
    <x v="2"/>
    <s v="Keytronic Designer 104- Key Black Keyboard"/>
    <x v="7"/>
    <n v="928.43"/>
    <n v="20"/>
    <s v="Net Banking"/>
    <x v="1536"/>
  </r>
  <r>
    <s v="ORD2540"/>
    <x v="660"/>
    <s v="Stacy Rodriguez"/>
    <x v="1"/>
    <x v="0"/>
    <s v="Xerox 1922"/>
    <x v="4"/>
    <n v="1051.07"/>
    <n v="10"/>
    <s v="Credit Card"/>
    <x v="1537"/>
  </r>
  <r>
    <s v="ORD2541"/>
    <x v="133"/>
    <s v="Manuel Diaz"/>
    <x v="1"/>
    <x v="0"/>
    <s v="Xerox 210"/>
    <x v="2"/>
    <n v="1978.97"/>
    <n v="10"/>
    <s v="Net Banking"/>
    <x v="1538"/>
  </r>
  <r>
    <s v="ORD2542"/>
    <x v="258"/>
    <s v="Justin Jones"/>
    <x v="0"/>
    <x v="0"/>
    <s v="Boston Model 1800 Electric Pencil Sharpener, Gray"/>
    <x v="1"/>
    <n v="501.52"/>
    <n v="5"/>
    <s v="Cash"/>
    <x v="1539"/>
  </r>
  <r>
    <s v="ORD2543"/>
    <x v="74"/>
    <s v="Christine Zavala"/>
    <x v="1"/>
    <x v="1"/>
    <s v="Bush® Cubix Conference Tables, Fully Assembled"/>
    <x v="0"/>
    <n v="1887.96"/>
    <n v="20"/>
    <s v="Cash"/>
    <x v="1540"/>
  </r>
  <r>
    <s v="ORD2544"/>
    <x v="120"/>
    <s v="Brian Mendoza"/>
    <x v="1"/>
    <x v="2"/>
    <s v="Logitech Cordless Elite Duo"/>
    <x v="6"/>
    <n v="133.53"/>
    <n v="20"/>
    <s v="Net Banking"/>
    <x v="1541"/>
  </r>
  <r>
    <s v="ORD2545"/>
    <x v="606"/>
    <s v="Lauren Haley"/>
    <x v="2"/>
    <x v="0"/>
    <s v="Eldon Jumbo ProFile™ Portable File Boxes Graphite/Black"/>
    <x v="0"/>
    <n v="920.45"/>
    <n v="20"/>
    <s v="Net Banking"/>
    <x v="1542"/>
  </r>
  <r>
    <s v="ORD2546"/>
    <x v="159"/>
    <s v="Patrick Perez"/>
    <x v="2"/>
    <x v="2"/>
    <s v="Imation Neon 80 Minute CD-R Spindle, 50/Pack"/>
    <x v="3"/>
    <n v="186.51"/>
    <n v="0"/>
    <s v="Net Banking"/>
    <x v="1543"/>
  </r>
  <r>
    <s v="ORD2547"/>
    <x v="443"/>
    <s v="Derek Frazier"/>
    <x v="1"/>
    <x v="2"/>
    <s v="Accessory41"/>
    <x v="3"/>
    <n v="1472.01"/>
    <n v="10"/>
    <s v="Net Banking"/>
    <x v="1544"/>
  </r>
  <r>
    <s v="ORD2548"/>
    <x v="364"/>
    <s v="Arthur Reed"/>
    <x v="2"/>
    <x v="1"/>
    <s v="Bush Cubix Collection Bookcases, Fully Assembled"/>
    <x v="5"/>
    <n v="1236.4000000000001"/>
    <n v="20"/>
    <s v="Credit Card"/>
    <x v="1545"/>
  </r>
  <r>
    <s v="ORD2549"/>
    <x v="154"/>
    <s v="Mr. Bryan Mckinney"/>
    <x v="0"/>
    <x v="1"/>
    <s v="Eldon® Expressions™ Wood and Plastic Desk Accessories, Oak"/>
    <x v="8"/>
    <n v="1427.94"/>
    <n v="0"/>
    <s v="Credit Card"/>
    <x v="1546"/>
  </r>
  <r>
    <s v="ORD2550"/>
    <x v="424"/>
    <s v="Kim Carter"/>
    <x v="2"/>
    <x v="1"/>
    <s v="Bush Cubix Collection Bookcases, Fully Assembled"/>
    <x v="5"/>
    <n v="780.24"/>
    <n v="5"/>
    <s v="Cash"/>
    <x v="1547"/>
  </r>
  <r>
    <s v="ORD2551"/>
    <x v="291"/>
    <s v="Rebecca Dougherty"/>
    <x v="2"/>
    <x v="0"/>
    <s v="Fellowes Super Stor/Drawer® Files"/>
    <x v="2"/>
    <n v="770.49"/>
    <n v="20"/>
    <s v="UPI"/>
    <x v="1548"/>
  </r>
  <r>
    <s v="ORD2552"/>
    <x v="152"/>
    <s v="Teresa Jones"/>
    <x v="2"/>
    <x v="0"/>
    <s v="Boston 16801 Nautilus™ Battery Pencil Sharpener"/>
    <x v="0"/>
    <n v="138.37"/>
    <n v="20"/>
    <s v="Cash"/>
    <x v="1549"/>
  </r>
  <r>
    <s v="ORD2553"/>
    <x v="633"/>
    <s v="Judith Miller"/>
    <x v="3"/>
    <x v="0"/>
    <s v="Acco Perma® 2700 Stacking Storage Drawers"/>
    <x v="8"/>
    <n v="732.39"/>
    <n v="0"/>
    <s v="Credit Card"/>
    <x v="1550"/>
  </r>
  <r>
    <s v="ORD2554"/>
    <x v="635"/>
    <s v="Donna Frye"/>
    <x v="0"/>
    <x v="0"/>
    <s v="Dixon My First Ticonderoga Pencil, #2"/>
    <x v="1"/>
    <n v="1862.11"/>
    <n v="10"/>
    <s v="Cash"/>
    <x v="1551"/>
  </r>
  <r>
    <s v="ORD2555"/>
    <x v="396"/>
    <s v="Donald Terry"/>
    <x v="1"/>
    <x v="0"/>
    <s v="Newell 309"/>
    <x v="6"/>
    <n v="789.49"/>
    <n v="5"/>
    <s v="Cash"/>
    <x v="1552"/>
  </r>
  <r>
    <s v="ORD2556"/>
    <x v="322"/>
    <s v="Shaun Meyer DDS"/>
    <x v="1"/>
    <x v="0"/>
    <s v="Kensington 7 Outlet MasterPiece Power Center"/>
    <x v="0"/>
    <n v="1671.17"/>
    <n v="20"/>
    <s v="Credit Card"/>
    <x v="1553"/>
  </r>
  <r>
    <s v="ORD2557"/>
    <x v="14"/>
    <s v="Wayne Weaver"/>
    <x v="3"/>
    <x v="0"/>
    <s v="Wilson Jones Impact Binders"/>
    <x v="5"/>
    <n v="1692.53"/>
    <n v="10"/>
    <s v="UPI"/>
    <x v="1554"/>
  </r>
  <r>
    <s v="ORD2558"/>
    <x v="434"/>
    <s v="Gregory Wallace"/>
    <x v="2"/>
    <x v="2"/>
    <s v="Polycom ViaVideo™ Desktop Video Communications Unit"/>
    <x v="7"/>
    <n v="777.82"/>
    <n v="5"/>
    <s v="Credit Card"/>
    <x v="1555"/>
  </r>
  <r>
    <s v="ORD2559"/>
    <x v="35"/>
    <s v="Dorothy Brown"/>
    <x v="0"/>
    <x v="1"/>
    <s v="Office Star - Professional Matrix Back Chair with 2-to-1 Synchro Tilt and Mesh Fabric Seat"/>
    <x v="8"/>
    <n v="1282.3800000000001"/>
    <n v="15"/>
    <s v="Cash"/>
    <x v="1556"/>
  </r>
  <r>
    <s v="ORD2560"/>
    <x v="351"/>
    <s v="Crystal Meza"/>
    <x v="0"/>
    <x v="0"/>
    <s v="Prang Dustless Chalk Sticks"/>
    <x v="8"/>
    <n v="235.97"/>
    <n v="15"/>
    <s v="Credit Card"/>
    <x v="1557"/>
  </r>
  <r>
    <s v="ORD2561"/>
    <x v="286"/>
    <s v="Jennifer Cooper"/>
    <x v="1"/>
    <x v="2"/>
    <s v="Talkabout T8097"/>
    <x v="6"/>
    <n v="252.17"/>
    <n v="5"/>
    <s v="UPI"/>
    <x v="1558"/>
  </r>
  <r>
    <s v="ORD2562"/>
    <x v="661"/>
    <s v="Erin Watkins"/>
    <x v="3"/>
    <x v="2"/>
    <s v="TimeportP7382"/>
    <x v="4"/>
    <n v="144.88"/>
    <n v="0"/>
    <s v="UPI"/>
    <x v="1559"/>
  </r>
  <r>
    <s v="ORD2563"/>
    <x v="515"/>
    <s v="Sarah Wallace"/>
    <x v="3"/>
    <x v="2"/>
    <s v="Accessory41"/>
    <x v="3"/>
    <n v="1182.98"/>
    <n v="5"/>
    <s v="Credit Card"/>
    <x v="1560"/>
  </r>
  <r>
    <s v="ORD2564"/>
    <x v="351"/>
    <s v="Carlos Clarke"/>
    <x v="3"/>
    <x v="0"/>
    <s v="Peel &amp; Stick Add-On Corner Pockets"/>
    <x v="3"/>
    <n v="880.84"/>
    <n v="5"/>
    <s v="Credit Card"/>
    <x v="1561"/>
  </r>
  <r>
    <s v="ORD2565"/>
    <x v="662"/>
    <s v="David Washington"/>
    <x v="3"/>
    <x v="2"/>
    <s v="Hewlett-Packard Business Color Inkjet 3000 [N, DTN] Series Printers"/>
    <x v="7"/>
    <n v="1118.6600000000001"/>
    <n v="0"/>
    <s v="Credit Card"/>
    <x v="1562"/>
  </r>
  <r>
    <s v="ORD2566"/>
    <x v="663"/>
    <s v="Patricia Williams"/>
    <x v="0"/>
    <x v="0"/>
    <s v="Xerox 217"/>
    <x v="2"/>
    <n v="1066.0899999999999"/>
    <n v="0"/>
    <s v="Net Banking"/>
    <x v="1563"/>
  </r>
  <r>
    <s v="ORD2567"/>
    <x v="498"/>
    <s v="Jesus Jackson"/>
    <x v="2"/>
    <x v="2"/>
    <s v="DS/HD IBM Formatted Diskettes, 200/Pack - Staples"/>
    <x v="2"/>
    <n v="732.9"/>
    <n v="10"/>
    <s v="Cash"/>
    <x v="1564"/>
  </r>
  <r>
    <s v="ORD2568"/>
    <x v="294"/>
    <s v="Michelle Mitchell"/>
    <x v="1"/>
    <x v="0"/>
    <s v="Newell 346"/>
    <x v="1"/>
    <n v="1371.07"/>
    <n v="10"/>
    <s v="Cash"/>
    <x v="1565"/>
  </r>
  <r>
    <s v="ORD2569"/>
    <x v="253"/>
    <s v="Sara Schwartz"/>
    <x v="0"/>
    <x v="0"/>
    <s v="Avery 479"/>
    <x v="0"/>
    <n v="1529.08"/>
    <n v="0"/>
    <s v="UPI"/>
    <x v="1566"/>
  </r>
  <r>
    <s v="ORD2570"/>
    <x v="664"/>
    <s v="Brittany Young"/>
    <x v="3"/>
    <x v="0"/>
    <s v="Wirebound Voice Message Log Book"/>
    <x v="4"/>
    <n v="78.53"/>
    <n v="15"/>
    <s v="Cash"/>
    <x v="1567"/>
  </r>
  <r>
    <s v="ORD2571"/>
    <x v="665"/>
    <s v="Eugene Martinez"/>
    <x v="3"/>
    <x v="0"/>
    <s v="Barrel Sharpener"/>
    <x v="5"/>
    <n v="454.12"/>
    <n v="15"/>
    <s v="Net Banking"/>
    <x v="1568"/>
  </r>
  <r>
    <s v="ORD2572"/>
    <x v="182"/>
    <s v="Cody Hart"/>
    <x v="1"/>
    <x v="2"/>
    <s v="2160i"/>
    <x v="8"/>
    <n v="1440.81"/>
    <n v="5"/>
    <s v="UPI"/>
    <x v="1569"/>
  </r>
  <r>
    <s v="ORD2573"/>
    <x v="469"/>
    <s v="Evan Cooper"/>
    <x v="2"/>
    <x v="2"/>
    <s v="A1228"/>
    <x v="7"/>
    <n v="803.91"/>
    <n v="20"/>
    <s v="Credit Card"/>
    <x v="1570"/>
  </r>
  <r>
    <s v="ORD2574"/>
    <x v="645"/>
    <s v="Joshua Martin"/>
    <x v="2"/>
    <x v="0"/>
    <s v="Premier Elliptical Ring Binder, Black"/>
    <x v="3"/>
    <n v="1341.84"/>
    <n v="5"/>
    <s v="Credit Card"/>
    <x v="1571"/>
  </r>
  <r>
    <s v="ORD2575"/>
    <x v="288"/>
    <s v="Thomas Sullivan"/>
    <x v="2"/>
    <x v="2"/>
    <s v="Imation 3.5, DISKETTE 44766 HGHLD3.52HD/FM, 10/Pack"/>
    <x v="1"/>
    <n v="726.58"/>
    <n v="5"/>
    <s v="UPI"/>
    <x v="1572"/>
  </r>
  <r>
    <s v="ORD2576"/>
    <x v="599"/>
    <s v="Mr. Jimmy Flores Jr."/>
    <x v="3"/>
    <x v="0"/>
    <s v="Avery 508"/>
    <x v="2"/>
    <n v="811.97"/>
    <n v="20"/>
    <s v="UPI"/>
    <x v="1573"/>
  </r>
  <r>
    <s v="ORD2577"/>
    <x v="412"/>
    <s v="Vanessa Rivera"/>
    <x v="0"/>
    <x v="0"/>
    <s v="Bionaire 99.97% HEPA Air Cleaner"/>
    <x v="7"/>
    <n v="359.42"/>
    <n v="0"/>
    <s v="UPI"/>
    <x v="1574"/>
  </r>
  <r>
    <s v="ORD2578"/>
    <x v="54"/>
    <s v="Kara Roberts"/>
    <x v="0"/>
    <x v="2"/>
    <s v="Hewlett-Packard cp1700 [D, PS] Series Color Inkjet Printers"/>
    <x v="8"/>
    <n v="553.54999999999995"/>
    <n v="15"/>
    <s v="Net Banking"/>
    <x v="1575"/>
  </r>
  <r>
    <s v="ORD2579"/>
    <x v="236"/>
    <s v="Veronica Berry"/>
    <x v="2"/>
    <x v="0"/>
    <s v="Hot File® 7-Pocket, Floor Stand"/>
    <x v="5"/>
    <n v="1230.55"/>
    <n v="5"/>
    <s v="Credit Card"/>
    <x v="1576"/>
  </r>
  <r>
    <s v="ORD2580"/>
    <x v="451"/>
    <s v="Keith Meadows"/>
    <x v="1"/>
    <x v="0"/>
    <s v="Surelock™ Post Binders"/>
    <x v="1"/>
    <n v="894.67"/>
    <n v="20"/>
    <s v="Net Banking"/>
    <x v="1577"/>
  </r>
  <r>
    <s v="ORD2581"/>
    <x v="632"/>
    <s v="Michael Dennis"/>
    <x v="2"/>
    <x v="0"/>
    <s v="Plymouth Boxed Rubber Bands by Plymouth"/>
    <x v="8"/>
    <n v="1559.89"/>
    <n v="10"/>
    <s v="Credit Card"/>
    <x v="1578"/>
  </r>
  <r>
    <s v="ORD2582"/>
    <x v="554"/>
    <s v="Brenda Pierce"/>
    <x v="2"/>
    <x v="2"/>
    <s v="Accessory32"/>
    <x v="3"/>
    <n v="1712.54"/>
    <n v="5"/>
    <s v="UPI"/>
    <x v="1579"/>
  </r>
  <r>
    <s v="ORD2583"/>
    <x v="27"/>
    <s v="James Randall"/>
    <x v="1"/>
    <x v="2"/>
    <s v="Sony MFD2HD Formatted Diskettes, 10/Pack"/>
    <x v="3"/>
    <n v="1106.21"/>
    <n v="15"/>
    <s v="Net Banking"/>
    <x v="1580"/>
  </r>
  <r>
    <s v="ORD2584"/>
    <x v="326"/>
    <s v="Brandon Brown"/>
    <x v="2"/>
    <x v="0"/>
    <s v="Boston 16801 Nautilus™ Battery Pencil Sharpener"/>
    <x v="3"/>
    <n v="1528.62"/>
    <n v="0"/>
    <s v="Cash"/>
    <x v="1581"/>
  </r>
  <r>
    <s v="ORD2585"/>
    <x v="327"/>
    <s v="Lauren Walker"/>
    <x v="1"/>
    <x v="0"/>
    <s v="Panasonic KP-310 Heavy-Duty Electric Pencil Sharpener"/>
    <x v="7"/>
    <n v="648.46"/>
    <n v="5"/>
    <s v="Credit Card"/>
    <x v="1582"/>
  </r>
  <r>
    <s v="ORD2586"/>
    <x v="666"/>
    <s v="Diana Johnson"/>
    <x v="1"/>
    <x v="2"/>
    <s v="Belkin MediaBoard 104- Keyboard"/>
    <x v="7"/>
    <n v="859.19"/>
    <n v="5"/>
    <s v="UPI"/>
    <x v="1583"/>
  </r>
  <r>
    <s v="ORD2587"/>
    <x v="324"/>
    <s v="Jill Powers"/>
    <x v="0"/>
    <x v="0"/>
    <s v="Riverleaf Stik-Withit® Designer Note Cubes®"/>
    <x v="2"/>
    <n v="1439.92"/>
    <n v="20"/>
    <s v="UPI"/>
    <x v="1584"/>
  </r>
  <r>
    <s v="ORD2588"/>
    <x v="272"/>
    <s v="Jorge Lee"/>
    <x v="1"/>
    <x v="0"/>
    <s v="X-Rack™ File for Hanging Folders"/>
    <x v="2"/>
    <n v="803.11"/>
    <n v="10"/>
    <s v="Net Banking"/>
    <x v="1585"/>
  </r>
  <r>
    <s v="ORD2589"/>
    <x v="246"/>
    <s v="Larry Harding"/>
    <x v="2"/>
    <x v="2"/>
    <s v="80 Minute CD-R Spindle, 100/Pack - Staples"/>
    <x v="5"/>
    <n v="1197.58"/>
    <n v="10"/>
    <s v="Cash"/>
    <x v="1586"/>
  </r>
  <r>
    <s v="ORD2590"/>
    <x v="101"/>
    <s v="Heather Hernandez"/>
    <x v="1"/>
    <x v="1"/>
    <s v="Sauder Forest Hills Library, Woodland Oak Finish"/>
    <x v="1"/>
    <n v="411.48"/>
    <n v="0"/>
    <s v="Cash"/>
    <x v="1587"/>
  </r>
  <r>
    <s v="ORD2591"/>
    <x v="48"/>
    <s v="Jaclyn Watson"/>
    <x v="2"/>
    <x v="2"/>
    <s v="Talkabout T8367"/>
    <x v="6"/>
    <n v="1219.55"/>
    <n v="15"/>
    <s v="Credit Card"/>
    <x v="1588"/>
  </r>
  <r>
    <s v="ORD2592"/>
    <x v="116"/>
    <s v="Gregory Madden"/>
    <x v="1"/>
    <x v="2"/>
    <s v="Canon MP25DIII Desktop Whisper-Quiet Printing Calculator"/>
    <x v="6"/>
    <n v="1729.95"/>
    <n v="0"/>
    <s v="Credit Card"/>
    <x v="1589"/>
  </r>
  <r>
    <s v="ORD2593"/>
    <x v="514"/>
    <s v="Anita Luna"/>
    <x v="0"/>
    <x v="2"/>
    <s v="Lexmark Z25 Color Inkjet Printer"/>
    <x v="8"/>
    <n v="1743.85"/>
    <n v="5"/>
    <s v="Credit Card"/>
    <x v="1590"/>
  </r>
  <r>
    <s v="ORD2594"/>
    <x v="175"/>
    <s v="Willie Lara"/>
    <x v="2"/>
    <x v="0"/>
    <s v="Panasonic KP-310 Heavy-Duty Electric Pencil Sharpener"/>
    <x v="3"/>
    <n v="1462.47"/>
    <n v="5"/>
    <s v="Net Banking"/>
    <x v="1591"/>
  </r>
  <r>
    <s v="ORD2595"/>
    <x v="667"/>
    <s v="Robert Waller"/>
    <x v="2"/>
    <x v="1"/>
    <s v="Artistic Insta-Plaque"/>
    <x v="1"/>
    <n v="1504.22"/>
    <n v="10"/>
    <s v="UPI"/>
    <x v="1592"/>
  </r>
  <r>
    <s v="ORD2596"/>
    <x v="37"/>
    <s v="Steven Taylor"/>
    <x v="2"/>
    <x v="1"/>
    <s v="GE 4 Foot Flourescent Tube, 40 Watt"/>
    <x v="7"/>
    <n v="1137.96"/>
    <n v="15"/>
    <s v="Net Banking"/>
    <x v="1593"/>
  </r>
  <r>
    <s v="ORD2597"/>
    <x v="194"/>
    <s v="Angelica Clark"/>
    <x v="1"/>
    <x v="0"/>
    <s v="Xerox 1892"/>
    <x v="0"/>
    <n v="1190.0999999999999"/>
    <n v="20"/>
    <s v="UPI"/>
    <x v="1594"/>
  </r>
  <r>
    <s v="ORD2598"/>
    <x v="219"/>
    <s v="Sean Hatfield"/>
    <x v="0"/>
    <x v="0"/>
    <s v="Tyvek® Side-Opening Peel &amp; Seel® Expanding Envelopes"/>
    <x v="4"/>
    <n v="310.62"/>
    <n v="15"/>
    <s v="UPI"/>
    <x v="1595"/>
  </r>
  <r>
    <s v="ORD2599"/>
    <x v="668"/>
    <s v="Tyler Avila"/>
    <x v="0"/>
    <x v="1"/>
    <s v="DAX Solid Wood Frames"/>
    <x v="5"/>
    <n v="915.53"/>
    <n v="5"/>
    <s v="UPI"/>
    <x v="1596"/>
  </r>
  <r>
    <s v="ORD2600"/>
    <x v="391"/>
    <s v="Jason Rocha"/>
    <x v="0"/>
    <x v="0"/>
    <s v="Hunt Boston® Vacuum Mount KS Pencil Sharpener"/>
    <x v="3"/>
    <n v="929.01"/>
    <n v="20"/>
    <s v="Cash"/>
    <x v="1597"/>
  </r>
  <r>
    <s v="ORD2601"/>
    <x v="669"/>
    <s v="Justin Page"/>
    <x v="0"/>
    <x v="2"/>
    <s v="Zoom V.92 USB External Faxmodem"/>
    <x v="3"/>
    <n v="1919.07"/>
    <n v="15"/>
    <s v="Net Banking"/>
    <x v="1598"/>
  </r>
  <r>
    <s v="ORD2602"/>
    <x v="208"/>
    <s v="Breanna Lopez"/>
    <x v="1"/>
    <x v="2"/>
    <s v="5185"/>
    <x v="3"/>
    <n v="890.62"/>
    <n v="15"/>
    <s v="Net Banking"/>
    <x v="1599"/>
  </r>
  <r>
    <s v="ORD2603"/>
    <x v="330"/>
    <s v="Julian Williams"/>
    <x v="2"/>
    <x v="0"/>
    <s v="XtraLife® ClearVue™ Slant-D® Ring Binders by Cardinal"/>
    <x v="7"/>
    <n v="1121.22"/>
    <n v="20"/>
    <s v="Net Banking"/>
    <x v="1600"/>
  </r>
  <r>
    <s v="ORD2604"/>
    <x v="242"/>
    <s v="Sandra Torres"/>
    <x v="3"/>
    <x v="1"/>
    <s v="Deflect-o DuraMat Antistatic Studded Beveled Mat for Medium Pile Carpeting"/>
    <x v="7"/>
    <n v="1089.8399999999999"/>
    <n v="5"/>
    <s v="Cash"/>
    <x v="1601"/>
  </r>
  <r>
    <s v="ORD2605"/>
    <x v="109"/>
    <s v="Julie Johnson"/>
    <x v="0"/>
    <x v="2"/>
    <s v="Polycom ViewStation™ ISDN Videoconferencing Unit"/>
    <x v="4"/>
    <n v="1291.69"/>
    <n v="15"/>
    <s v="Cash"/>
    <x v="1602"/>
  </r>
  <r>
    <s v="ORD2606"/>
    <x v="450"/>
    <s v="Dennis Blanchard"/>
    <x v="3"/>
    <x v="0"/>
    <s v="Newell 343"/>
    <x v="1"/>
    <n v="1509.05"/>
    <n v="20"/>
    <s v="UPI"/>
    <x v="1603"/>
  </r>
  <r>
    <s v="ORD2607"/>
    <x v="618"/>
    <s v="Kaitlyn Valdez"/>
    <x v="1"/>
    <x v="0"/>
    <s v="Catalog Binders with Expanding Posts"/>
    <x v="3"/>
    <n v="488.83"/>
    <n v="5"/>
    <s v="Cash"/>
    <x v="1604"/>
  </r>
  <r>
    <s v="ORD2608"/>
    <x v="426"/>
    <s v="Jennifer Vasquez"/>
    <x v="1"/>
    <x v="1"/>
    <s v="O'Sullivan Elevations Bookcase, Cherry Finish"/>
    <x v="6"/>
    <n v="1081.01"/>
    <n v="20"/>
    <s v="Credit Card"/>
    <x v="1605"/>
  </r>
  <r>
    <s v="ORD2609"/>
    <x v="137"/>
    <s v="Danielle Wilson"/>
    <x v="3"/>
    <x v="0"/>
    <s v="Newell 318"/>
    <x v="2"/>
    <n v="1660.54"/>
    <n v="20"/>
    <s v="Credit Card"/>
    <x v="1606"/>
  </r>
  <r>
    <s v="ORD2610"/>
    <x v="147"/>
    <s v="Zachary Jones"/>
    <x v="2"/>
    <x v="0"/>
    <s v="Letter Size Cart"/>
    <x v="6"/>
    <n v="953.07"/>
    <n v="15"/>
    <s v="Credit Card"/>
    <x v="1607"/>
  </r>
  <r>
    <s v="ORD2611"/>
    <x v="171"/>
    <s v="Lauren Cunningham"/>
    <x v="3"/>
    <x v="2"/>
    <s v="1726 Digital Answering Machine"/>
    <x v="8"/>
    <n v="592.99"/>
    <n v="5"/>
    <s v="Net Banking"/>
    <x v="1608"/>
  </r>
  <r>
    <s v="ORD2612"/>
    <x v="275"/>
    <s v="Lori Alvarez"/>
    <x v="1"/>
    <x v="1"/>
    <s v="Aluminum Document Frame"/>
    <x v="6"/>
    <n v="1326.68"/>
    <n v="15"/>
    <s v="Credit Card"/>
    <x v="1609"/>
  </r>
  <r>
    <s v="ORD2613"/>
    <x v="209"/>
    <s v="Barbara Hunt"/>
    <x v="3"/>
    <x v="1"/>
    <s v="9-3/4 Diameter Round Wall Clock"/>
    <x v="8"/>
    <n v="1656.35"/>
    <n v="0"/>
    <s v="Cash"/>
    <x v="1610"/>
  </r>
  <r>
    <s v="ORD2614"/>
    <x v="376"/>
    <s v="Sarah Martin"/>
    <x v="0"/>
    <x v="0"/>
    <s v="Fellowes Bases and Tops For Staxonsteel®/High-Stak® Systems"/>
    <x v="0"/>
    <n v="173.12"/>
    <n v="0"/>
    <s v="Net Banking"/>
    <x v="1611"/>
  </r>
  <r>
    <s v="ORD2615"/>
    <x v="356"/>
    <s v="Francisco Johns"/>
    <x v="0"/>
    <x v="2"/>
    <s v="M70"/>
    <x v="2"/>
    <n v="1564.74"/>
    <n v="5"/>
    <s v="Net Banking"/>
    <x v="1612"/>
  </r>
  <r>
    <s v="ORD2616"/>
    <x v="219"/>
    <s v="Christopher Nelson"/>
    <x v="2"/>
    <x v="0"/>
    <s v="GBC DocuBind TL300 Electric Binding System"/>
    <x v="6"/>
    <n v="1652.21"/>
    <n v="20"/>
    <s v="Credit Card"/>
    <x v="1613"/>
  </r>
  <r>
    <s v="ORD2617"/>
    <x v="83"/>
    <s v="Thomas Kelly"/>
    <x v="3"/>
    <x v="2"/>
    <s v="M70"/>
    <x v="0"/>
    <n v="949.97"/>
    <n v="15"/>
    <s v="UPI"/>
    <x v="1614"/>
  </r>
  <r>
    <s v="ORD2618"/>
    <x v="289"/>
    <s v="Joseph Mayer"/>
    <x v="3"/>
    <x v="0"/>
    <s v="GBC Pre-Punched Binding Paper, Plastic, White, 8-1/2&quot; x 11&quot;"/>
    <x v="5"/>
    <n v="1967.45"/>
    <n v="15"/>
    <s v="UPI"/>
    <x v="1615"/>
  </r>
  <r>
    <s v="ORD2619"/>
    <x v="299"/>
    <s v="Pamela White"/>
    <x v="3"/>
    <x v="0"/>
    <s v="Avery 498"/>
    <x v="1"/>
    <n v="1584.08"/>
    <n v="5"/>
    <s v="Cash"/>
    <x v="1616"/>
  </r>
  <r>
    <s v="ORD2620"/>
    <x v="521"/>
    <s v="Paul Stephens"/>
    <x v="3"/>
    <x v="1"/>
    <s v="Chromcraft Bull-Nose Wood Round Conference Table Top, Wood Base"/>
    <x v="0"/>
    <n v="1558.64"/>
    <n v="5"/>
    <s v="Credit Card"/>
    <x v="1617"/>
  </r>
  <r>
    <s v="ORD2621"/>
    <x v="362"/>
    <s v="Samantha Cohen"/>
    <x v="2"/>
    <x v="0"/>
    <s v="*Staples* Highlighting Markers"/>
    <x v="1"/>
    <n v="1508.29"/>
    <n v="0"/>
    <s v="Cash"/>
    <x v="1618"/>
  </r>
  <r>
    <s v="ORD2622"/>
    <x v="463"/>
    <s v="Michael Barker"/>
    <x v="1"/>
    <x v="0"/>
    <s v="Ibico Hi-Tech Manual Binding System"/>
    <x v="6"/>
    <n v="343.69"/>
    <n v="10"/>
    <s v="UPI"/>
    <x v="1619"/>
  </r>
  <r>
    <s v="ORD2623"/>
    <x v="531"/>
    <s v="Kevin Morrow"/>
    <x v="2"/>
    <x v="2"/>
    <s v="V 3600 Series"/>
    <x v="0"/>
    <n v="473.6"/>
    <n v="5"/>
    <s v="UPI"/>
    <x v="1620"/>
  </r>
  <r>
    <s v="ORD2624"/>
    <x v="76"/>
    <s v="Joseph Watson"/>
    <x v="1"/>
    <x v="2"/>
    <s v="80 Minute Slim Jewel Case CD-R , 10/Pack - Staples"/>
    <x v="2"/>
    <n v="954.78"/>
    <n v="10"/>
    <s v="Credit Card"/>
    <x v="1621"/>
  </r>
  <r>
    <s v="ORD2625"/>
    <x v="110"/>
    <s v="Mr. Thomas Garcia"/>
    <x v="1"/>
    <x v="2"/>
    <s v="80 Minute Slim Jewel Case CD-R , 10/Pack - Staples"/>
    <x v="6"/>
    <n v="564.80999999999995"/>
    <n v="5"/>
    <s v="UPI"/>
    <x v="1622"/>
  </r>
  <r>
    <s v="ORD2626"/>
    <x v="399"/>
    <s v="Daniel Lopez"/>
    <x v="1"/>
    <x v="0"/>
    <s v="HP Office Paper (20Lb. and 87 Bright)"/>
    <x v="3"/>
    <n v="859.72"/>
    <n v="20"/>
    <s v="UPI"/>
    <x v="1623"/>
  </r>
  <r>
    <s v="ORD2627"/>
    <x v="114"/>
    <s v="Lisa Guerra"/>
    <x v="3"/>
    <x v="1"/>
    <s v="Hon Deluxe Fabric Upholstered Stacking Chairs, Rounded Back"/>
    <x v="7"/>
    <n v="1782.51"/>
    <n v="20"/>
    <s v="UPI"/>
    <x v="1624"/>
  </r>
  <r>
    <s v="ORD2628"/>
    <x v="65"/>
    <s v="Kim Arnold"/>
    <x v="2"/>
    <x v="0"/>
    <s v="Eureka Disposable Bags for Sanitaire® Vibra Groomer I® Upright Vac"/>
    <x v="0"/>
    <n v="1657.44"/>
    <n v="0"/>
    <s v="Credit Card"/>
    <x v="1625"/>
  </r>
  <r>
    <s v="ORD2629"/>
    <x v="50"/>
    <s v="Ashley Stevens"/>
    <x v="1"/>
    <x v="0"/>
    <s v="Avery 510"/>
    <x v="2"/>
    <n v="1278.58"/>
    <n v="0"/>
    <s v="Credit Card"/>
    <x v="1626"/>
  </r>
  <r>
    <s v="ORD2630"/>
    <x v="553"/>
    <s v="Robert Mclean"/>
    <x v="0"/>
    <x v="1"/>
    <s v="Dana Swing-Arm Lamps"/>
    <x v="5"/>
    <n v="1723.33"/>
    <n v="10"/>
    <s v="UPI"/>
    <x v="1627"/>
  </r>
  <r>
    <s v="ORD2631"/>
    <x v="266"/>
    <s v="Eric Cox"/>
    <x v="1"/>
    <x v="2"/>
    <s v="SouthWestern Bell FA970 Digital Answering Machine with Time/Day Stamp"/>
    <x v="3"/>
    <n v="1578.36"/>
    <n v="5"/>
    <s v="UPI"/>
    <x v="1628"/>
  </r>
  <r>
    <s v="ORD2632"/>
    <x v="670"/>
    <s v="Stacy Harper"/>
    <x v="2"/>
    <x v="0"/>
    <s v="Xerox 227"/>
    <x v="5"/>
    <n v="886.52"/>
    <n v="15"/>
    <s v="Net Banking"/>
    <x v="1629"/>
  </r>
  <r>
    <s v="ORD2633"/>
    <x v="355"/>
    <s v="Gloria Mckinney"/>
    <x v="3"/>
    <x v="0"/>
    <s v="Hoover WindTunnel™ Plus Canister Vacuum"/>
    <x v="6"/>
    <n v="442.08"/>
    <n v="0"/>
    <s v="Credit Card"/>
    <x v="1630"/>
  </r>
  <r>
    <s v="ORD2634"/>
    <x v="325"/>
    <s v="Robert Walker"/>
    <x v="0"/>
    <x v="1"/>
    <s v="Howard Miller 16&quot; Diameter Gallery Wall Clock"/>
    <x v="7"/>
    <n v="1052.69"/>
    <n v="15"/>
    <s v="Cash"/>
    <x v="1631"/>
  </r>
  <r>
    <s v="ORD2635"/>
    <x v="409"/>
    <s v="Brenda Perez"/>
    <x v="1"/>
    <x v="2"/>
    <s v="Memorex 80 Minute CD-R Spindle, 100/Pack"/>
    <x v="0"/>
    <n v="1485.65"/>
    <n v="15"/>
    <s v="Cash"/>
    <x v="1632"/>
  </r>
  <r>
    <s v="ORD2636"/>
    <x v="339"/>
    <s v="Carlos Miller"/>
    <x v="3"/>
    <x v="0"/>
    <s v="Xerox 227"/>
    <x v="0"/>
    <n v="901.02"/>
    <n v="5"/>
    <s v="UPI"/>
    <x v="1633"/>
  </r>
  <r>
    <s v="ORD2637"/>
    <x v="168"/>
    <s v="Rachel Jones"/>
    <x v="2"/>
    <x v="2"/>
    <s v="SouthWestern Bell FA970 Digital Answering Machine with Time/Day Stamp"/>
    <x v="6"/>
    <n v="1350.21"/>
    <n v="10"/>
    <s v="UPI"/>
    <x v="1634"/>
  </r>
  <r>
    <s v="ORD2638"/>
    <x v="154"/>
    <s v="Nicole Williams"/>
    <x v="2"/>
    <x v="0"/>
    <s v="Hoover WindTunnel™ Plus Canister Vacuum"/>
    <x v="6"/>
    <n v="233.94"/>
    <n v="5"/>
    <s v="Net Banking"/>
    <x v="1635"/>
  </r>
  <r>
    <s v="ORD2639"/>
    <x v="410"/>
    <s v="Ricky Palmer"/>
    <x v="0"/>
    <x v="1"/>
    <s v="Howard Miller 16&quot; Diameter Gallery Wall Clock"/>
    <x v="7"/>
    <n v="1508.61"/>
    <n v="0"/>
    <s v="Net Banking"/>
    <x v="1636"/>
  </r>
  <r>
    <s v="ORD2640"/>
    <x v="100"/>
    <s v="Bryan King"/>
    <x v="0"/>
    <x v="0"/>
    <s v="Eureka Disposable Bags for Sanitaire® Vibra Groomer I® Upright Vac"/>
    <x v="2"/>
    <n v="1634.79"/>
    <n v="15"/>
    <s v="Credit Card"/>
    <x v="1637"/>
  </r>
  <r>
    <s v="ORD2641"/>
    <x v="464"/>
    <s v="Michael Webster"/>
    <x v="1"/>
    <x v="0"/>
    <s v="Avery 510"/>
    <x v="2"/>
    <n v="1428.33"/>
    <n v="5"/>
    <s v="Cash"/>
    <x v="1638"/>
  </r>
  <r>
    <s v="ORD2642"/>
    <x v="63"/>
    <s v="Tamara Harris"/>
    <x v="3"/>
    <x v="1"/>
    <s v="Dana Swing-Arm Lamps"/>
    <x v="7"/>
    <n v="1936.16"/>
    <n v="5"/>
    <s v="Net Banking"/>
    <x v="1639"/>
  </r>
  <r>
    <s v="ORD2643"/>
    <x v="99"/>
    <s v="Cathy Bell"/>
    <x v="3"/>
    <x v="1"/>
    <s v="Hon 2111 Invitation™ Series Corner Table"/>
    <x v="2"/>
    <n v="1661.97"/>
    <n v="5"/>
    <s v="Cash"/>
    <x v="1640"/>
  </r>
  <r>
    <s v="ORD2644"/>
    <x v="182"/>
    <s v="Ryan Mcmahon"/>
    <x v="2"/>
    <x v="0"/>
    <s v="Staples Copy Paper (20Lb. and 84 Bright)"/>
    <x v="8"/>
    <n v="1811.03"/>
    <n v="0"/>
    <s v="Net Banking"/>
    <x v="1641"/>
  </r>
  <r>
    <s v="ORD2645"/>
    <x v="417"/>
    <s v="Hannah Martin"/>
    <x v="2"/>
    <x v="1"/>
    <s v="Riverside Palais Royal Lawyers Bookcase, Royale Cherry Finish"/>
    <x v="1"/>
    <n v="1870.46"/>
    <n v="10"/>
    <s v="UPI"/>
    <x v="1642"/>
  </r>
  <r>
    <s v="ORD2646"/>
    <x v="336"/>
    <s v="Monica Allen"/>
    <x v="1"/>
    <x v="0"/>
    <s v="Xerox 1973"/>
    <x v="7"/>
    <n v="1612.63"/>
    <n v="5"/>
    <s v="Net Banking"/>
    <x v="1643"/>
  </r>
  <r>
    <s v="ORD2647"/>
    <x v="96"/>
    <s v="Annette Lane"/>
    <x v="1"/>
    <x v="2"/>
    <s v="Hewlett-Packard Deskjet 940 REFURBISHED Color Inkjet Printer"/>
    <x v="7"/>
    <n v="1364.8"/>
    <n v="0"/>
    <s v="Net Banking"/>
    <x v="1644"/>
  </r>
  <r>
    <s v="ORD2648"/>
    <x v="202"/>
    <s v="Daniel Lee"/>
    <x v="2"/>
    <x v="0"/>
    <s v="Xerox 1997"/>
    <x v="4"/>
    <n v="61.15"/>
    <n v="15"/>
    <s v="Credit Card"/>
    <x v="1645"/>
  </r>
  <r>
    <s v="ORD2649"/>
    <x v="671"/>
    <s v="Steven Medina"/>
    <x v="2"/>
    <x v="1"/>
    <s v="KI Conference Tables"/>
    <x v="3"/>
    <n v="958.36"/>
    <n v="20"/>
    <s v="UPI"/>
    <x v="1646"/>
  </r>
  <r>
    <s v="ORD2650"/>
    <x v="120"/>
    <s v="Annette Lewis"/>
    <x v="3"/>
    <x v="0"/>
    <s v="Avery 491"/>
    <x v="3"/>
    <n v="1163.77"/>
    <n v="0"/>
    <s v="UPI"/>
    <x v="1647"/>
  </r>
  <r>
    <s v="ORD2651"/>
    <x v="394"/>
    <s v="Michelle Richardson"/>
    <x v="3"/>
    <x v="1"/>
    <s v="Executive Impressions 14&quot; Two-Color Numerals Wall Clock"/>
    <x v="8"/>
    <n v="642.86"/>
    <n v="20"/>
    <s v="Credit Card"/>
    <x v="1648"/>
  </r>
  <r>
    <s v="ORD2652"/>
    <x v="664"/>
    <s v="Jessica Rosario"/>
    <x v="3"/>
    <x v="2"/>
    <s v="Fellowes EZ Multi-Media Keyboard"/>
    <x v="6"/>
    <n v="670.3"/>
    <n v="5"/>
    <s v="Cash"/>
    <x v="1649"/>
  </r>
  <r>
    <s v="ORD2653"/>
    <x v="20"/>
    <s v="Henry Gray"/>
    <x v="1"/>
    <x v="0"/>
    <s v="Serrated Blade or Curved Handle Hand Letter Openers"/>
    <x v="6"/>
    <n v="1924.26"/>
    <n v="5"/>
    <s v="UPI"/>
    <x v="1650"/>
  </r>
  <r>
    <s v="ORD2654"/>
    <x v="540"/>
    <s v="Darren Rodriguez"/>
    <x v="3"/>
    <x v="0"/>
    <s v="Avery 491"/>
    <x v="5"/>
    <n v="1788.84"/>
    <n v="0"/>
    <s v="UPI"/>
    <x v="1651"/>
  </r>
  <r>
    <s v="ORD2655"/>
    <x v="511"/>
    <s v="Mrs. Ashley Taylor"/>
    <x v="0"/>
    <x v="0"/>
    <s v="Xerox 194"/>
    <x v="8"/>
    <n v="1705.9"/>
    <n v="20"/>
    <s v="Credit Card"/>
    <x v="1652"/>
  </r>
  <r>
    <s v="ORD2656"/>
    <x v="444"/>
    <s v="Michele Hawkins"/>
    <x v="0"/>
    <x v="2"/>
    <s v="Epson LQ-870 Dot Matrix Printer"/>
    <x v="7"/>
    <n v="841.72"/>
    <n v="5"/>
    <s v="Cash"/>
    <x v="1653"/>
  </r>
  <r>
    <s v="ORD2657"/>
    <x v="58"/>
    <s v="Garrett Wilson"/>
    <x v="3"/>
    <x v="0"/>
    <s v="C-Line Peel &amp; Stick Add-On Filing Pockets, 8-3/4 x 5-1/8, 10/Pack"/>
    <x v="8"/>
    <n v="76.709999999999994"/>
    <n v="15"/>
    <s v="UPI"/>
    <x v="1654"/>
  </r>
  <r>
    <s v="ORD2658"/>
    <x v="672"/>
    <s v="Kyle Collins"/>
    <x v="3"/>
    <x v="1"/>
    <s v="Rubbermaid ClusterMat Chairmats, Mat Size- 66&quot; x 60&quot;, Lip 20&quot; x 11&quot; -90 Degree Angle"/>
    <x v="8"/>
    <n v="206.43"/>
    <n v="10"/>
    <s v="Credit Card"/>
    <x v="1655"/>
  </r>
  <r>
    <s v="ORD2659"/>
    <x v="455"/>
    <s v="Jill Spencer"/>
    <x v="2"/>
    <x v="0"/>
    <s v="TOPS Money Receipt Book, Consecutively Numbered in Red,"/>
    <x v="8"/>
    <n v="658.78"/>
    <n v="10"/>
    <s v="UPI"/>
    <x v="1656"/>
  </r>
  <r>
    <s v="ORD2660"/>
    <x v="348"/>
    <s v="Scott Lopez"/>
    <x v="2"/>
    <x v="0"/>
    <s v="Avery Heavy-Duty EZD ™ Binder With Locking Rings"/>
    <x v="3"/>
    <n v="80.7"/>
    <n v="5"/>
    <s v="Net Banking"/>
    <x v="1657"/>
  </r>
  <r>
    <s v="ORD2661"/>
    <x v="230"/>
    <s v="Ryan Alvarez"/>
    <x v="1"/>
    <x v="0"/>
    <s v="Desktop 3-Pocket Hot File®"/>
    <x v="8"/>
    <n v="83.44"/>
    <n v="20"/>
    <s v="Cash"/>
    <x v="1658"/>
  </r>
  <r>
    <s v="ORD2662"/>
    <x v="494"/>
    <s v="Cassie Lutz"/>
    <x v="0"/>
    <x v="0"/>
    <s v="Newell 309"/>
    <x v="1"/>
    <n v="1837.38"/>
    <n v="5"/>
    <s v="Net Banking"/>
    <x v="1659"/>
  </r>
  <r>
    <s v="ORD2663"/>
    <x v="471"/>
    <s v="Brian Kim DDS"/>
    <x v="0"/>
    <x v="0"/>
    <s v="Xerox 1880"/>
    <x v="6"/>
    <n v="1427.01"/>
    <n v="20"/>
    <s v="Cash"/>
    <x v="1660"/>
  </r>
  <r>
    <s v="ORD2664"/>
    <x v="452"/>
    <s v="Charles Morales"/>
    <x v="1"/>
    <x v="0"/>
    <s v="Durable Pressboard Binders"/>
    <x v="5"/>
    <n v="652.46"/>
    <n v="15"/>
    <s v="Credit Card"/>
    <x v="1661"/>
  </r>
  <r>
    <s v="ORD2665"/>
    <x v="618"/>
    <s v="Ashley Schaefer"/>
    <x v="3"/>
    <x v="0"/>
    <s v="Xerox 1938"/>
    <x v="1"/>
    <n v="308.66000000000003"/>
    <n v="20"/>
    <s v="UPI"/>
    <x v="1662"/>
  </r>
  <r>
    <s v="ORD2666"/>
    <x v="461"/>
    <s v="Amy Hester"/>
    <x v="3"/>
    <x v="0"/>
    <s v="Staples Metal Binder Clips"/>
    <x v="5"/>
    <n v="1047.69"/>
    <n v="5"/>
    <s v="UPI"/>
    <x v="1663"/>
  </r>
  <r>
    <s v="ORD2667"/>
    <x v="530"/>
    <s v="Kurt Ewing"/>
    <x v="1"/>
    <x v="0"/>
    <s v="Presstex Flexible Ring Binders"/>
    <x v="4"/>
    <n v="60.43"/>
    <n v="15"/>
    <s v="Credit Card"/>
    <x v="1664"/>
  </r>
  <r>
    <s v="ORD2668"/>
    <x v="172"/>
    <s v="Ryan Hardy"/>
    <x v="0"/>
    <x v="0"/>
    <s v="Security-Tint Envelopes"/>
    <x v="5"/>
    <n v="1879.91"/>
    <n v="0"/>
    <s v="UPI"/>
    <x v="1665"/>
  </r>
  <r>
    <s v="ORD2669"/>
    <x v="604"/>
    <s v="Micheal Perkins"/>
    <x v="0"/>
    <x v="0"/>
    <s v="Belkin F9M820V08 8 Outlet Surge"/>
    <x v="6"/>
    <n v="858.89"/>
    <n v="10"/>
    <s v="Net Banking"/>
    <x v="1666"/>
  </r>
  <r>
    <s v="ORD2670"/>
    <x v="386"/>
    <s v="Richard Schneider"/>
    <x v="3"/>
    <x v="1"/>
    <s v="Global Leather Task Chair, Black"/>
    <x v="6"/>
    <n v="834.55"/>
    <n v="5"/>
    <s v="Credit Card"/>
    <x v="1667"/>
  </r>
  <r>
    <s v="ORD2671"/>
    <x v="438"/>
    <s v="John Morrison"/>
    <x v="2"/>
    <x v="0"/>
    <s v="Binder Posts"/>
    <x v="8"/>
    <n v="811.66"/>
    <n v="5"/>
    <s v="Net Banking"/>
    <x v="1668"/>
  </r>
  <r>
    <s v="ORD2672"/>
    <x v="238"/>
    <s v="John Ramirez"/>
    <x v="1"/>
    <x v="1"/>
    <s v="Aluminum Document Frame"/>
    <x v="0"/>
    <n v="185.19"/>
    <n v="5"/>
    <s v="Cash"/>
    <x v="1669"/>
  </r>
  <r>
    <s v="ORD2673"/>
    <x v="362"/>
    <s v="Ashley King"/>
    <x v="1"/>
    <x v="0"/>
    <s v="Snap-A-Way® Black Print Carbonless Ruled Speed Letter, Triplicate"/>
    <x v="4"/>
    <n v="1294.73"/>
    <n v="15"/>
    <s v="UPI"/>
    <x v="1670"/>
  </r>
  <r>
    <s v="ORD2674"/>
    <x v="0"/>
    <s v="Mark Taylor Jr."/>
    <x v="3"/>
    <x v="2"/>
    <s v="Accessory21"/>
    <x v="7"/>
    <n v="1479.36"/>
    <n v="0"/>
    <s v="Net Banking"/>
    <x v="1671"/>
  </r>
  <r>
    <s v="ORD2675"/>
    <x v="267"/>
    <s v="Barry Gregory"/>
    <x v="1"/>
    <x v="0"/>
    <s v="Dixon Ticonderoga Core-Lock Colored Pencils, 48-Color Set"/>
    <x v="2"/>
    <n v="1368.44"/>
    <n v="20"/>
    <s v="UPI"/>
    <x v="1672"/>
  </r>
  <r>
    <s v="ORD2676"/>
    <x v="388"/>
    <s v="Janet Shelton"/>
    <x v="0"/>
    <x v="0"/>
    <s v="Wirebound Voice Message Log Book"/>
    <x v="5"/>
    <n v="319.95"/>
    <n v="0"/>
    <s v="Cash"/>
    <x v="1673"/>
  </r>
  <r>
    <s v="ORD2677"/>
    <x v="285"/>
    <s v="Marco Davis"/>
    <x v="3"/>
    <x v="0"/>
    <s v="Iris Project Case"/>
    <x v="0"/>
    <n v="1178.74"/>
    <n v="15"/>
    <s v="UPI"/>
    <x v="1674"/>
  </r>
  <r>
    <s v="ORD2678"/>
    <x v="498"/>
    <s v="Paul Saunders"/>
    <x v="0"/>
    <x v="0"/>
    <s v="Belkin F9M820V08 8 Outlet Surge"/>
    <x v="8"/>
    <n v="1160.49"/>
    <n v="5"/>
    <s v="Cash"/>
    <x v="1675"/>
  </r>
  <r>
    <s v="ORD2679"/>
    <x v="661"/>
    <s v="Christina Bates"/>
    <x v="2"/>
    <x v="0"/>
    <s v="Wirebound Service Call Books, 5 1/2&quot; x 4&quot;"/>
    <x v="3"/>
    <n v="1743.4"/>
    <n v="10"/>
    <s v="Credit Card"/>
    <x v="1676"/>
  </r>
  <r>
    <s v="ORD2680"/>
    <x v="357"/>
    <s v="Dennis Cooper PhD"/>
    <x v="1"/>
    <x v="1"/>
    <s v="Iceberg OfficeWorks 42&quot; Round Tables"/>
    <x v="7"/>
    <n v="789.3"/>
    <n v="5"/>
    <s v="UPI"/>
    <x v="1677"/>
  </r>
  <r>
    <s v="ORD2681"/>
    <x v="25"/>
    <s v="Tiffany Johnson"/>
    <x v="1"/>
    <x v="0"/>
    <s v="Hoover WindTunnel™ Plus Canister Vacuum"/>
    <x v="0"/>
    <n v="774.4"/>
    <n v="20"/>
    <s v="Credit Card"/>
    <x v="1678"/>
  </r>
  <r>
    <s v="ORD2682"/>
    <x v="158"/>
    <s v="Thomas Reyes"/>
    <x v="0"/>
    <x v="2"/>
    <s v="Microsoft Multimedia Keyboard"/>
    <x v="3"/>
    <n v="1256.1300000000001"/>
    <n v="10"/>
    <s v="Cash"/>
    <x v="1679"/>
  </r>
  <r>
    <s v="ORD2683"/>
    <x v="324"/>
    <s v="James Stevens"/>
    <x v="3"/>
    <x v="2"/>
    <s v="Timeport L7089"/>
    <x v="4"/>
    <n v="1284.49"/>
    <n v="5"/>
    <s v="Credit Card"/>
    <x v="1680"/>
  </r>
  <r>
    <s v="ORD2684"/>
    <x v="570"/>
    <s v="Justin Dalton"/>
    <x v="3"/>
    <x v="2"/>
    <s v="Okidata ML390 Turbo Dot Matrix Printers"/>
    <x v="8"/>
    <n v="965.11"/>
    <n v="10"/>
    <s v="Net Banking"/>
    <x v="1681"/>
  </r>
  <r>
    <s v="ORD2685"/>
    <x v="181"/>
    <s v="Michael Henry"/>
    <x v="1"/>
    <x v="2"/>
    <s v="Accessory31"/>
    <x v="7"/>
    <n v="913.97"/>
    <n v="0"/>
    <s v="Credit Card"/>
    <x v="1682"/>
  </r>
  <r>
    <s v="ORD2686"/>
    <x v="249"/>
    <s v="Mike Freeman"/>
    <x v="0"/>
    <x v="0"/>
    <s v="Newell 338"/>
    <x v="7"/>
    <n v="1013.59"/>
    <n v="15"/>
    <s v="Net Banking"/>
    <x v="1683"/>
  </r>
  <r>
    <s v="ORD2687"/>
    <x v="159"/>
    <s v="Michael Keller"/>
    <x v="2"/>
    <x v="0"/>
    <s v="Wilson Jones 14 Line Acrylic Coated Pressboard Data Binders"/>
    <x v="7"/>
    <n v="1729.04"/>
    <n v="5"/>
    <s v="Cash"/>
    <x v="1684"/>
  </r>
  <r>
    <s v="ORD2688"/>
    <x v="659"/>
    <s v="Laura Alvarez"/>
    <x v="0"/>
    <x v="0"/>
    <s v="Wilson Jones Ledger-Size, Piano-Hinge Binder, 2&quot;, Blue"/>
    <x v="4"/>
    <n v="949.28"/>
    <n v="20"/>
    <s v="Cash"/>
    <x v="1685"/>
  </r>
  <r>
    <s v="ORD2689"/>
    <x v="50"/>
    <s v="Katie Myers"/>
    <x v="3"/>
    <x v="0"/>
    <s v="Avery Hi-Liter® Smear-Safe Highlighters"/>
    <x v="5"/>
    <n v="1882.87"/>
    <n v="0"/>
    <s v="UPI"/>
    <x v="1686"/>
  </r>
  <r>
    <s v="ORD2690"/>
    <x v="626"/>
    <s v="Wesley Jensen MD"/>
    <x v="1"/>
    <x v="0"/>
    <s v="Boston 1645 Deluxe Heavier-Duty Electric Pencil Sharpener"/>
    <x v="4"/>
    <n v="1032.81"/>
    <n v="5"/>
    <s v="Net Banking"/>
    <x v="1687"/>
  </r>
  <r>
    <s v="ORD2691"/>
    <x v="458"/>
    <s v="Erica Johnson"/>
    <x v="1"/>
    <x v="0"/>
    <s v="OIC Thumb-Tacks"/>
    <x v="2"/>
    <n v="1900.94"/>
    <n v="0"/>
    <s v="UPI"/>
    <x v="1688"/>
  </r>
  <r>
    <s v="ORD2692"/>
    <x v="548"/>
    <s v="Russell Bailey"/>
    <x v="1"/>
    <x v="0"/>
    <s v="Avery 494"/>
    <x v="6"/>
    <n v="1674.02"/>
    <n v="20"/>
    <s v="UPI"/>
    <x v="1689"/>
  </r>
  <r>
    <s v="ORD2693"/>
    <x v="458"/>
    <s v="Alyssa Vance"/>
    <x v="2"/>
    <x v="0"/>
    <s v="Sanford Colorific Colored Pencils, 12/Box"/>
    <x v="8"/>
    <n v="756.74"/>
    <n v="5"/>
    <s v="Cash"/>
    <x v="1690"/>
  </r>
  <r>
    <s v="ORD2694"/>
    <x v="673"/>
    <s v="Brent Reed"/>
    <x v="2"/>
    <x v="1"/>
    <s v="Bush Westfield Collection Bookcases, Fully Assembled"/>
    <x v="4"/>
    <n v="1734.1"/>
    <n v="20"/>
    <s v="Credit Card"/>
    <x v="1691"/>
  </r>
  <r>
    <s v="ORD2695"/>
    <x v="66"/>
    <s v="Gregory Stanley"/>
    <x v="3"/>
    <x v="0"/>
    <s v="Xerox 196"/>
    <x v="3"/>
    <n v="264.62"/>
    <n v="10"/>
    <s v="Cash"/>
    <x v="1692"/>
  </r>
  <r>
    <s v="ORD2696"/>
    <x v="265"/>
    <s v="Matthew Watkins"/>
    <x v="0"/>
    <x v="0"/>
    <s v="Tripp Lite Isotel 8 Ultra 8 Outlet Metal Surge"/>
    <x v="2"/>
    <n v="1853.84"/>
    <n v="20"/>
    <s v="Cash"/>
    <x v="1693"/>
  </r>
  <r>
    <s v="ORD2697"/>
    <x v="128"/>
    <s v="Ana Torres"/>
    <x v="0"/>
    <x v="0"/>
    <s v="Xerox 1928"/>
    <x v="6"/>
    <n v="1281.7"/>
    <n v="10"/>
    <s v="Credit Card"/>
    <x v="1694"/>
  </r>
  <r>
    <s v="ORD2698"/>
    <x v="4"/>
    <s v="Alejandro Nguyen"/>
    <x v="0"/>
    <x v="0"/>
    <s v="Fiskars® Softgrip Scissors"/>
    <x v="5"/>
    <n v="156.06"/>
    <n v="5"/>
    <s v="Net Banking"/>
    <x v="1695"/>
  </r>
  <r>
    <s v="ORD2699"/>
    <x v="359"/>
    <s v="Scott Bradley"/>
    <x v="2"/>
    <x v="0"/>
    <s v="Staples Wirebound Steno Books, 6&quot; x 9&quot;, 12/Pack"/>
    <x v="3"/>
    <n v="1306.3"/>
    <n v="10"/>
    <s v="Net Banking"/>
    <x v="1696"/>
  </r>
  <r>
    <s v="ORD2700"/>
    <x v="339"/>
    <s v="Deborah Dominguez"/>
    <x v="1"/>
    <x v="0"/>
    <s v="3M Organizer Strips"/>
    <x v="8"/>
    <n v="1949.78"/>
    <n v="5"/>
    <s v="Credit Card"/>
    <x v="1697"/>
  </r>
  <r>
    <s v="ORD2701"/>
    <x v="302"/>
    <s v="Victoria Gray"/>
    <x v="3"/>
    <x v="2"/>
    <s v="Accessory34"/>
    <x v="3"/>
    <n v="186.11"/>
    <n v="5"/>
    <s v="Credit Card"/>
    <x v="1698"/>
  </r>
  <r>
    <s v="ORD2702"/>
    <x v="674"/>
    <s v="Kenneth Stokes"/>
    <x v="3"/>
    <x v="0"/>
    <s v="Xerox 1930"/>
    <x v="6"/>
    <n v="1131.6400000000001"/>
    <n v="15"/>
    <s v="UPI"/>
    <x v="1699"/>
  </r>
  <r>
    <s v="ORD2703"/>
    <x v="189"/>
    <s v="Michael Rogers"/>
    <x v="2"/>
    <x v="0"/>
    <s v="Tennsco Lockers, Gray"/>
    <x v="3"/>
    <n v="1508.2"/>
    <n v="5"/>
    <s v="Credit Card"/>
    <x v="1700"/>
  </r>
  <r>
    <s v="ORD2704"/>
    <x v="133"/>
    <s v="Pamela Morgan"/>
    <x v="2"/>
    <x v="0"/>
    <s v="GBC Therma-A-Bind 250T Electric Binding System"/>
    <x v="1"/>
    <n v="1630"/>
    <n v="10"/>
    <s v="Credit Card"/>
    <x v="1701"/>
  </r>
  <r>
    <s v="ORD2705"/>
    <x v="320"/>
    <s v="Heidi Graham"/>
    <x v="1"/>
    <x v="0"/>
    <s v="Xerox 1930"/>
    <x v="0"/>
    <n v="856.96"/>
    <n v="15"/>
    <s v="UPI"/>
    <x v="1702"/>
  </r>
  <r>
    <s v="ORD2706"/>
    <x v="663"/>
    <s v="Ryan Cobb PhD"/>
    <x v="1"/>
    <x v="0"/>
    <s v="Tennsco Lockers, Gray"/>
    <x v="5"/>
    <n v="448.12"/>
    <n v="15"/>
    <s v="Net Banking"/>
    <x v="1703"/>
  </r>
  <r>
    <s v="ORD2707"/>
    <x v="220"/>
    <s v="Donna Williams"/>
    <x v="2"/>
    <x v="0"/>
    <s v="Xerox 1896"/>
    <x v="6"/>
    <n v="132.57"/>
    <n v="5"/>
    <s v="Credit Card"/>
    <x v="1704"/>
  </r>
  <r>
    <s v="ORD2708"/>
    <x v="133"/>
    <s v="Jennifer Perez PhD"/>
    <x v="3"/>
    <x v="0"/>
    <s v="Xerox 1881"/>
    <x v="3"/>
    <n v="1180.47"/>
    <n v="20"/>
    <s v="Credit Card"/>
    <x v="1705"/>
  </r>
  <r>
    <s v="ORD2709"/>
    <x v="675"/>
    <s v="Ryan Davis"/>
    <x v="1"/>
    <x v="0"/>
    <s v="Xerox 1947"/>
    <x v="0"/>
    <n v="933.18"/>
    <n v="20"/>
    <s v="UPI"/>
    <x v="1706"/>
  </r>
  <r>
    <s v="ORD2710"/>
    <x v="525"/>
    <s v="Austin Solis"/>
    <x v="1"/>
    <x v="0"/>
    <s v="Honeywell Enviracaire Portable HEPA Air Cleaner for 17' x 22' Room"/>
    <x v="0"/>
    <n v="1900.05"/>
    <n v="15"/>
    <s v="Credit Card"/>
    <x v="1707"/>
  </r>
  <r>
    <s v="ORD2711"/>
    <x v="389"/>
    <s v="Daniel Flynn"/>
    <x v="3"/>
    <x v="2"/>
    <s v="US Robotics 56K V.92 Internal PCI Faxmodem"/>
    <x v="3"/>
    <n v="168.18"/>
    <n v="5"/>
    <s v="UPI"/>
    <x v="1708"/>
  </r>
  <r>
    <s v="ORD2712"/>
    <x v="463"/>
    <s v="Elizabeth Brock"/>
    <x v="1"/>
    <x v="0"/>
    <s v="Xerox 1941"/>
    <x v="8"/>
    <n v="1386.52"/>
    <n v="20"/>
    <s v="Cash"/>
    <x v="1709"/>
  </r>
  <r>
    <s v="ORD2713"/>
    <x v="468"/>
    <s v="Joshua Gonzalez"/>
    <x v="3"/>
    <x v="0"/>
    <s v="Honeywell Enviracaire Portable HEPA Air Cleaner for 17' x 22' Room"/>
    <x v="1"/>
    <n v="98.68"/>
    <n v="5"/>
    <s v="UPI"/>
    <x v="1710"/>
  </r>
  <r>
    <s v="ORD2714"/>
    <x v="113"/>
    <s v="Mario Chavez"/>
    <x v="0"/>
    <x v="2"/>
    <s v="US Robotics 56K V.92 Internal PCI Faxmodem"/>
    <x v="4"/>
    <n v="384.3"/>
    <n v="5"/>
    <s v="Cash"/>
    <x v="1711"/>
  </r>
  <r>
    <s v="ORD2715"/>
    <x v="642"/>
    <s v="Catherine Smith"/>
    <x v="1"/>
    <x v="0"/>
    <s v="Xerox 1941"/>
    <x v="1"/>
    <n v="934.48"/>
    <n v="15"/>
    <s v="Cash"/>
    <x v="1712"/>
  </r>
  <r>
    <s v="ORD2716"/>
    <x v="240"/>
    <s v="Shari Ray"/>
    <x v="1"/>
    <x v="0"/>
    <s v="Staples Brown Kraft Recycled Clasp Envelopes"/>
    <x v="3"/>
    <n v="937"/>
    <n v="15"/>
    <s v="UPI"/>
    <x v="1713"/>
  </r>
  <r>
    <s v="ORD2717"/>
    <x v="220"/>
    <s v="Victor Harmon"/>
    <x v="0"/>
    <x v="0"/>
    <s v="4009® Highlighters by Sanford"/>
    <x v="5"/>
    <n v="1387.12"/>
    <n v="0"/>
    <s v="UPI"/>
    <x v="1714"/>
  </r>
  <r>
    <s v="ORD2718"/>
    <x v="500"/>
    <s v="Timothy Patel"/>
    <x v="3"/>
    <x v="0"/>
    <s v="Hammermill CopyPlus Copy Paper (20Lb. and 84 Bright)"/>
    <x v="4"/>
    <n v="1824.92"/>
    <n v="20"/>
    <s v="UPI"/>
    <x v="1715"/>
  </r>
  <r>
    <s v="ORD2719"/>
    <x v="529"/>
    <s v="Patricia Hamilton"/>
    <x v="1"/>
    <x v="0"/>
    <s v="Telephone Message Books with Fax/Mobile Section, 5 1/2&quot; x 3 3/16&quot;"/>
    <x v="6"/>
    <n v="1296.1099999999999"/>
    <n v="20"/>
    <s v="Net Banking"/>
    <x v="1716"/>
  </r>
  <r>
    <s v="ORD2720"/>
    <x v="108"/>
    <s v="Lori Boyd"/>
    <x v="0"/>
    <x v="1"/>
    <s v="Tensor &quot;Hersey Kiss&quot; Styled Floor Lamp"/>
    <x v="1"/>
    <n v="1909.39"/>
    <n v="20"/>
    <s v="Credit Card"/>
    <x v="1717"/>
  </r>
  <r>
    <s v="ORD2721"/>
    <x v="384"/>
    <s v="Charles Hernandez"/>
    <x v="3"/>
    <x v="0"/>
    <s v="Xerox 1906"/>
    <x v="3"/>
    <n v="1769.15"/>
    <n v="10"/>
    <s v="UPI"/>
    <x v="1718"/>
  </r>
  <r>
    <s v="ORD2722"/>
    <x v="263"/>
    <s v="Elizabeth Graham"/>
    <x v="1"/>
    <x v="0"/>
    <s v="Acme® 8&quot; Straight Scissors"/>
    <x v="1"/>
    <n v="1189.77"/>
    <n v="5"/>
    <s v="Cash"/>
    <x v="1719"/>
  </r>
  <r>
    <s v="ORD2723"/>
    <x v="349"/>
    <s v="Ronald Brown"/>
    <x v="2"/>
    <x v="0"/>
    <s v="Hot File® 7-Pocket, Floor Stand"/>
    <x v="4"/>
    <n v="1675.89"/>
    <n v="15"/>
    <s v="Cash"/>
    <x v="1720"/>
  </r>
  <r>
    <s v="ORD2724"/>
    <x v="285"/>
    <s v="Jason Colon"/>
    <x v="0"/>
    <x v="2"/>
    <s v="Keytronic 105-Key Spanish Keyboard"/>
    <x v="2"/>
    <n v="1303.03"/>
    <n v="20"/>
    <s v="UPI"/>
    <x v="1721"/>
  </r>
  <r>
    <s v="ORD2725"/>
    <x v="461"/>
    <s v="Dawn Burke"/>
    <x v="3"/>
    <x v="0"/>
    <s v="*Staples* vLetter Openers, 2/Pack"/>
    <x v="1"/>
    <n v="203.19"/>
    <n v="0"/>
    <s v="Credit Card"/>
    <x v="1722"/>
  </r>
  <r>
    <s v="ORD2726"/>
    <x v="222"/>
    <s v="Brian Lee"/>
    <x v="2"/>
    <x v="0"/>
    <s v="GBC White Gloss Covers, Plain Front"/>
    <x v="6"/>
    <n v="1494.1"/>
    <n v="20"/>
    <s v="Credit Card"/>
    <x v="1723"/>
  </r>
  <r>
    <s v="ORD2727"/>
    <x v="166"/>
    <s v="Ronald Marshall"/>
    <x v="3"/>
    <x v="0"/>
    <s v="Xerox 1995"/>
    <x v="6"/>
    <n v="235.07"/>
    <n v="5"/>
    <s v="Credit Card"/>
    <x v="1724"/>
  </r>
  <r>
    <s v="ORD2728"/>
    <x v="112"/>
    <s v="Jessica Lucas"/>
    <x v="2"/>
    <x v="1"/>
    <s v="Hon Every-Day® Chair Series Swivel Task Chairs"/>
    <x v="7"/>
    <n v="1208.46"/>
    <n v="5"/>
    <s v="Cash"/>
    <x v="1725"/>
  </r>
  <r>
    <s v="ORD2729"/>
    <x v="214"/>
    <s v="Christopher Taylor"/>
    <x v="2"/>
    <x v="1"/>
    <s v="SAFCO Arco Folding Chair"/>
    <x v="1"/>
    <n v="1420.15"/>
    <n v="15"/>
    <s v="UPI"/>
    <x v="1726"/>
  </r>
  <r>
    <s v="ORD2730"/>
    <x v="155"/>
    <s v="Robert Hopkins"/>
    <x v="0"/>
    <x v="2"/>
    <s v="i2000"/>
    <x v="8"/>
    <n v="179.73"/>
    <n v="10"/>
    <s v="UPI"/>
    <x v="1727"/>
  </r>
  <r>
    <s v="ORD2731"/>
    <x v="547"/>
    <s v="Samuel Stuart"/>
    <x v="0"/>
    <x v="2"/>
    <s v="80 Minute Slim Jewel Case CD-R , 10/Pack - Staples"/>
    <x v="0"/>
    <n v="500.05"/>
    <n v="15"/>
    <s v="UPI"/>
    <x v="1728"/>
  </r>
  <r>
    <s v="ORD2732"/>
    <x v="650"/>
    <s v="Mr. Scott Miller"/>
    <x v="2"/>
    <x v="2"/>
    <s v="Sharp AL-1530CS Digital Copier"/>
    <x v="0"/>
    <n v="1835.56"/>
    <n v="20"/>
    <s v="Cash"/>
    <x v="1729"/>
  </r>
  <r>
    <s v="ORD2733"/>
    <x v="153"/>
    <s v="Sharon Lester"/>
    <x v="0"/>
    <x v="2"/>
    <s v="Accessory25"/>
    <x v="0"/>
    <n v="1251.81"/>
    <n v="0"/>
    <s v="UPI"/>
    <x v="1730"/>
  </r>
  <r>
    <s v="ORD2734"/>
    <x v="49"/>
    <s v="Jack Sandoval"/>
    <x v="3"/>
    <x v="0"/>
    <s v="Wirebound Four 2-3/4 x 5 Forms per Page, 400 Sets per Book"/>
    <x v="2"/>
    <n v="530.26"/>
    <n v="15"/>
    <s v="Cash"/>
    <x v="1731"/>
  </r>
  <r>
    <s v="ORD2735"/>
    <x v="463"/>
    <s v="Tony Ramsey"/>
    <x v="1"/>
    <x v="1"/>
    <s v="Hon 4700 Series Mobuis™ Mid-Back Task Chairs with Adjustable Arms"/>
    <x v="7"/>
    <n v="1396.83"/>
    <n v="10"/>
    <s v="Cash"/>
    <x v="1732"/>
  </r>
  <r>
    <s v="ORD2736"/>
    <x v="153"/>
    <s v="Brian Navarro"/>
    <x v="3"/>
    <x v="1"/>
    <s v="Hon Every-Day® Chair Series Swivel Task Chairs"/>
    <x v="2"/>
    <n v="1213.71"/>
    <n v="15"/>
    <s v="Credit Card"/>
    <x v="1733"/>
  </r>
  <r>
    <s v="ORD2737"/>
    <x v="559"/>
    <s v="Kelly Calderon"/>
    <x v="2"/>
    <x v="1"/>
    <s v="Artistic Insta-Plaque"/>
    <x v="1"/>
    <n v="1028.07"/>
    <n v="5"/>
    <s v="UPI"/>
    <x v="1734"/>
  </r>
  <r>
    <s v="ORD2738"/>
    <x v="335"/>
    <s v="Tara King"/>
    <x v="3"/>
    <x v="0"/>
    <s v="Newell 307"/>
    <x v="1"/>
    <n v="1953.56"/>
    <n v="20"/>
    <s v="UPI"/>
    <x v="1735"/>
  </r>
  <r>
    <s v="ORD2739"/>
    <x v="398"/>
    <s v="Cynthia Martinez"/>
    <x v="2"/>
    <x v="1"/>
    <s v="Executive Impressions 13&quot; Clairmont Wall Clock"/>
    <x v="1"/>
    <n v="1382.73"/>
    <n v="20"/>
    <s v="Net Banking"/>
    <x v="1736"/>
  </r>
  <r>
    <s v="ORD2740"/>
    <x v="676"/>
    <s v="Erin Silva"/>
    <x v="3"/>
    <x v="1"/>
    <s v="O'Sullivan Cherrywood Estates Traditional Barrister Bookcase"/>
    <x v="5"/>
    <n v="782.11"/>
    <n v="20"/>
    <s v="Credit Card"/>
    <x v="1737"/>
  </r>
  <r>
    <s v="ORD2741"/>
    <x v="601"/>
    <s v="Paul Young"/>
    <x v="3"/>
    <x v="2"/>
    <s v="Gyration Ultra Professional Cordless Optical Suite"/>
    <x v="0"/>
    <n v="1610.14"/>
    <n v="20"/>
    <s v="Cash"/>
    <x v="1738"/>
  </r>
  <r>
    <s v="ORD2742"/>
    <x v="617"/>
    <s v="Charles Thompson"/>
    <x v="0"/>
    <x v="0"/>
    <s v="Xerox 1932"/>
    <x v="5"/>
    <n v="1774.94"/>
    <n v="20"/>
    <s v="Credit Card"/>
    <x v="1739"/>
  </r>
  <r>
    <s v="ORD2743"/>
    <x v="436"/>
    <s v="Jessica King"/>
    <x v="2"/>
    <x v="0"/>
    <s v="4009® Highlighters by Sanford"/>
    <x v="7"/>
    <n v="294.18"/>
    <n v="20"/>
    <s v="Net Banking"/>
    <x v="1740"/>
  </r>
  <r>
    <s v="ORD2744"/>
    <x v="87"/>
    <s v="Katherine Brooks"/>
    <x v="2"/>
    <x v="2"/>
    <s v="Gyration Ultra Professional Cordless Optical Suite"/>
    <x v="2"/>
    <n v="441.08"/>
    <n v="0"/>
    <s v="Credit Card"/>
    <x v="1741"/>
  </r>
  <r>
    <s v="ORD2745"/>
    <x v="205"/>
    <s v="Emily Coleman"/>
    <x v="1"/>
    <x v="0"/>
    <s v="Xerox 1932"/>
    <x v="0"/>
    <n v="471.64"/>
    <n v="10"/>
    <s v="Credit Card"/>
    <x v="1742"/>
  </r>
  <r>
    <s v="ORD2746"/>
    <x v="252"/>
    <s v="Tracey Suarez"/>
    <x v="3"/>
    <x v="0"/>
    <s v="4009® Highlighters by Sanford"/>
    <x v="5"/>
    <n v="1397.86"/>
    <n v="20"/>
    <s v="Net Banking"/>
    <x v="1743"/>
  </r>
  <r>
    <s v="ORD2747"/>
    <x v="147"/>
    <s v="Heidi Baldwin"/>
    <x v="3"/>
    <x v="0"/>
    <s v="Newell 310"/>
    <x v="5"/>
    <n v="1225.93"/>
    <n v="10"/>
    <s v="Credit Card"/>
    <x v="1744"/>
  </r>
  <r>
    <s v="ORD2748"/>
    <x v="677"/>
    <s v="Alisha Rasmussen"/>
    <x v="1"/>
    <x v="0"/>
    <s v="Fellowes Staxonsteel® Drawer Files"/>
    <x v="3"/>
    <n v="1257.03"/>
    <n v="20"/>
    <s v="Credit Card"/>
    <x v="1745"/>
  </r>
  <r>
    <s v="ORD2749"/>
    <x v="458"/>
    <s v="Sarah Bates"/>
    <x v="2"/>
    <x v="1"/>
    <s v="O'Sullivan Cherrywood Estates Traditional Barrister Bookcase"/>
    <x v="5"/>
    <n v="1884.51"/>
    <n v="15"/>
    <s v="Net Banking"/>
    <x v="1746"/>
  </r>
  <r>
    <s v="ORD2750"/>
    <x v="457"/>
    <s v="Melissa Mccormick"/>
    <x v="3"/>
    <x v="0"/>
    <s v="Quartet Alpha® White Chalk, 12/Pack"/>
    <x v="8"/>
    <n v="1563.03"/>
    <n v="20"/>
    <s v="Net Banking"/>
    <x v="1747"/>
  </r>
  <r>
    <s v="ORD2751"/>
    <x v="137"/>
    <s v="Juan Parker"/>
    <x v="1"/>
    <x v="2"/>
    <s v="i1000"/>
    <x v="8"/>
    <n v="299.48"/>
    <n v="5"/>
    <s v="Cash"/>
    <x v="1748"/>
  </r>
  <r>
    <s v="ORD2752"/>
    <x v="522"/>
    <s v="Heidi Burnett"/>
    <x v="1"/>
    <x v="0"/>
    <s v="Wilson Jones Hanging View Binder, White, 1&quot;"/>
    <x v="2"/>
    <n v="727.64"/>
    <n v="0"/>
    <s v="Net Banking"/>
    <x v="1749"/>
  </r>
  <r>
    <s v="ORD2753"/>
    <x v="493"/>
    <s v="Sean Mathews"/>
    <x v="1"/>
    <x v="0"/>
    <s v="Computer Printout Paper with Letter-Trim Perforations"/>
    <x v="8"/>
    <n v="899.02"/>
    <n v="15"/>
    <s v="UPI"/>
    <x v="1750"/>
  </r>
  <r>
    <s v="ORD2754"/>
    <x v="421"/>
    <s v="Theodore Long"/>
    <x v="3"/>
    <x v="2"/>
    <s v="Zoom V.92 V.44 PCI Internal Controllerless FaxModem"/>
    <x v="2"/>
    <n v="822.13"/>
    <n v="15"/>
    <s v="UPI"/>
    <x v="1751"/>
  </r>
  <r>
    <s v="ORD2755"/>
    <x v="252"/>
    <s v="Dawn Davis"/>
    <x v="2"/>
    <x v="0"/>
    <s v="Eureka Hand Vacuum, Bagless"/>
    <x v="2"/>
    <n v="1355.15"/>
    <n v="5"/>
    <s v="UPI"/>
    <x v="1752"/>
  </r>
  <r>
    <s v="ORD2756"/>
    <x v="439"/>
    <s v="Cynthia Clark"/>
    <x v="2"/>
    <x v="0"/>
    <s v="Kensington 7 Outlet MasterPiece Power Center with Fax/Phone Line Protection"/>
    <x v="7"/>
    <n v="1789.19"/>
    <n v="20"/>
    <s v="Cash"/>
    <x v="1753"/>
  </r>
  <r>
    <s v="ORD2757"/>
    <x v="135"/>
    <s v="Sydney Welch"/>
    <x v="1"/>
    <x v="0"/>
    <s v="Kensington 6 Outlet SmartSocket Surge Protector"/>
    <x v="3"/>
    <n v="646.79999999999995"/>
    <n v="0"/>
    <s v="Credit Card"/>
    <x v="1754"/>
  </r>
  <r>
    <s v="ORD2758"/>
    <x v="122"/>
    <s v="Pamela Sullivan"/>
    <x v="1"/>
    <x v="2"/>
    <s v="Imation Neon Mac Format Diskettes, 10/Pack"/>
    <x v="1"/>
    <n v="1126.1600000000001"/>
    <n v="15"/>
    <s v="Net Banking"/>
    <x v="1755"/>
  </r>
  <r>
    <s v="ORD2759"/>
    <x v="678"/>
    <s v="Sean Morrow"/>
    <x v="2"/>
    <x v="1"/>
    <s v="Bevis Boat-Shaped Conference Table"/>
    <x v="6"/>
    <n v="1589.35"/>
    <n v="0"/>
    <s v="Cash"/>
    <x v="1756"/>
  </r>
  <r>
    <s v="ORD2760"/>
    <x v="325"/>
    <s v="Kaitlin Gutierrez"/>
    <x v="1"/>
    <x v="0"/>
    <s v="File Shuttle II and Handi-File, Black"/>
    <x v="2"/>
    <n v="861.63"/>
    <n v="15"/>
    <s v="Credit Card"/>
    <x v="1757"/>
  </r>
  <r>
    <s v="ORD2761"/>
    <x v="679"/>
    <s v="Michelle Mcdowell"/>
    <x v="1"/>
    <x v="0"/>
    <s v="Xerox 1932"/>
    <x v="4"/>
    <n v="377.83"/>
    <n v="20"/>
    <s v="Net Banking"/>
    <x v="1758"/>
  </r>
  <r>
    <s v="ORD2762"/>
    <x v="120"/>
    <s v="Samantha Hale"/>
    <x v="2"/>
    <x v="0"/>
    <s v="Harmony HEPA Quiet Air Purifiers"/>
    <x v="1"/>
    <n v="976.15"/>
    <n v="15"/>
    <s v="Credit Card"/>
    <x v="1759"/>
  </r>
  <r>
    <s v="ORD2763"/>
    <x v="371"/>
    <s v="Heather Guzman"/>
    <x v="3"/>
    <x v="0"/>
    <s v="Avery 498"/>
    <x v="0"/>
    <n v="157.68"/>
    <n v="15"/>
    <s v="Net Banking"/>
    <x v="1760"/>
  </r>
  <r>
    <s v="ORD2764"/>
    <x v="198"/>
    <s v="Nancy Chavez"/>
    <x v="1"/>
    <x v="2"/>
    <s v="Accessory17"/>
    <x v="8"/>
    <n v="1887.65"/>
    <n v="10"/>
    <s v="UPI"/>
    <x v="1761"/>
  </r>
  <r>
    <s v="ORD2765"/>
    <x v="304"/>
    <s v="Anthony May"/>
    <x v="3"/>
    <x v="0"/>
    <s v="Avery 481"/>
    <x v="6"/>
    <n v="195.9"/>
    <n v="20"/>
    <s v="Net Banking"/>
    <x v="1762"/>
  </r>
  <r>
    <s v="ORD2766"/>
    <x v="549"/>
    <s v="Rachel Taylor"/>
    <x v="1"/>
    <x v="0"/>
    <s v="Xerox 1976"/>
    <x v="4"/>
    <n v="904.99"/>
    <n v="5"/>
    <s v="Net Banking"/>
    <x v="1763"/>
  </r>
  <r>
    <s v="ORD2767"/>
    <x v="120"/>
    <s v="Mark Edwards"/>
    <x v="1"/>
    <x v="2"/>
    <s v="V3682"/>
    <x v="1"/>
    <n v="1083.27"/>
    <n v="5"/>
    <s v="Cash"/>
    <x v="1764"/>
  </r>
  <r>
    <s v="ORD2768"/>
    <x v="622"/>
    <s v="Christopher Black"/>
    <x v="1"/>
    <x v="0"/>
    <s v="Avery 481"/>
    <x v="7"/>
    <n v="1971.34"/>
    <n v="20"/>
    <s v="Cash"/>
    <x v="1765"/>
  </r>
  <r>
    <s v="ORD2769"/>
    <x v="647"/>
    <s v="Sandra Hines"/>
    <x v="0"/>
    <x v="0"/>
    <s v="Xerox 1976"/>
    <x v="0"/>
    <n v="373.74"/>
    <n v="5"/>
    <s v="Cash"/>
    <x v="1766"/>
  </r>
  <r>
    <s v="ORD2770"/>
    <x v="55"/>
    <s v="Melissa Sparks"/>
    <x v="3"/>
    <x v="2"/>
    <s v="V3682"/>
    <x v="6"/>
    <n v="273.14"/>
    <n v="20"/>
    <s v="UPI"/>
    <x v="1767"/>
  </r>
  <r>
    <s v="ORD2771"/>
    <x v="458"/>
    <s v="John Moss"/>
    <x v="3"/>
    <x v="0"/>
    <s v="GBC Recycled Grain Textured Covers"/>
    <x v="3"/>
    <n v="66.98"/>
    <n v="5"/>
    <s v="UPI"/>
    <x v="1768"/>
  </r>
  <r>
    <s v="ORD2772"/>
    <x v="587"/>
    <s v="Michael Serrano"/>
    <x v="1"/>
    <x v="0"/>
    <s v="Xerox 1881"/>
    <x v="7"/>
    <n v="353.36"/>
    <n v="10"/>
    <s v="Net Banking"/>
    <x v="1769"/>
  </r>
  <r>
    <s v="ORD2773"/>
    <x v="182"/>
    <s v="Christina Perry"/>
    <x v="2"/>
    <x v="0"/>
    <s v="Panasonic KP-350BK Electric Pencil Sharpener with Auto Stop"/>
    <x v="4"/>
    <n v="454.18"/>
    <n v="5"/>
    <s v="Cash"/>
    <x v="1770"/>
  </r>
  <r>
    <s v="ORD2774"/>
    <x v="279"/>
    <s v="Shawn Duffy"/>
    <x v="1"/>
    <x v="1"/>
    <s v="SAFCO PlanMaster Heigh-Adjustable Drafting Table Base, 43w x 30d x 30-37h, Black"/>
    <x v="6"/>
    <n v="1279.6300000000001"/>
    <n v="15"/>
    <s v="UPI"/>
    <x v="1771"/>
  </r>
  <r>
    <s v="ORD2775"/>
    <x v="494"/>
    <s v="Courtney Vaughan"/>
    <x v="0"/>
    <x v="0"/>
    <s v="GBC ProClick™ 150 Presentation Binding System"/>
    <x v="7"/>
    <n v="478.43"/>
    <n v="20"/>
    <s v="UPI"/>
    <x v="1772"/>
  </r>
  <r>
    <s v="ORD2776"/>
    <x v="368"/>
    <s v="Maria Sims"/>
    <x v="1"/>
    <x v="0"/>
    <s v="Wilson Jones Hanging View Binder, White, 1&quot;"/>
    <x v="0"/>
    <n v="90.02"/>
    <n v="0"/>
    <s v="Net Banking"/>
    <x v="1773"/>
  </r>
  <r>
    <s v="ORD2777"/>
    <x v="161"/>
    <s v="Valerie Gonzalez"/>
    <x v="0"/>
    <x v="0"/>
    <s v="GBC VeloBinder Electric Binding Machine"/>
    <x v="3"/>
    <n v="1661.91"/>
    <n v="0"/>
    <s v="Net Banking"/>
    <x v="1774"/>
  </r>
  <r>
    <s v="ORD2778"/>
    <x v="288"/>
    <s v="Caroline Morales"/>
    <x v="1"/>
    <x v="2"/>
    <s v="Canon S750 Color Inkjet Printer"/>
    <x v="7"/>
    <n v="762.91"/>
    <n v="20"/>
    <s v="Credit Card"/>
    <x v="1775"/>
  </r>
  <r>
    <s v="ORD2779"/>
    <x v="680"/>
    <s v="David Davis"/>
    <x v="3"/>
    <x v="0"/>
    <s v="Colored Envelopes"/>
    <x v="5"/>
    <n v="739.71"/>
    <n v="10"/>
    <s v="Credit Card"/>
    <x v="1776"/>
  </r>
  <r>
    <s v="ORD2780"/>
    <x v="296"/>
    <s v="Travis Wilson"/>
    <x v="1"/>
    <x v="1"/>
    <s v="Global Ergonomic Managers Chair"/>
    <x v="3"/>
    <n v="639.83000000000004"/>
    <n v="5"/>
    <s v="Net Banking"/>
    <x v="1777"/>
  </r>
  <r>
    <s v="ORD2781"/>
    <x v="611"/>
    <s v="Jessica Mora"/>
    <x v="3"/>
    <x v="0"/>
    <s v="Acco Smartsocket™ Table Surge Protector, 6 Color-Coded Adapter Outlets"/>
    <x v="4"/>
    <n v="1951.98"/>
    <n v="10"/>
    <s v="Credit Card"/>
    <x v="1778"/>
  </r>
  <r>
    <s v="ORD2782"/>
    <x v="150"/>
    <s v="Michael Wilson"/>
    <x v="2"/>
    <x v="0"/>
    <s v="Fellowes Black Plastic Comb Bindings"/>
    <x v="0"/>
    <n v="381.73"/>
    <n v="0"/>
    <s v="UPI"/>
    <x v="1779"/>
  </r>
  <r>
    <s v="ORD2783"/>
    <x v="10"/>
    <s v="Cheryl Atkins"/>
    <x v="2"/>
    <x v="0"/>
    <s v="Assorted Color Push Pins"/>
    <x v="8"/>
    <n v="1801.56"/>
    <n v="20"/>
    <s v="Net Banking"/>
    <x v="1780"/>
  </r>
  <r>
    <s v="ORD2784"/>
    <x v="534"/>
    <s v="Donna Snyder"/>
    <x v="1"/>
    <x v="0"/>
    <s v="3M Organizer Strips"/>
    <x v="8"/>
    <n v="1564.77"/>
    <n v="20"/>
    <s v="Net Banking"/>
    <x v="1781"/>
  </r>
  <r>
    <s v="ORD2785"/>
    <x v="272"/>
    <s v="Scott Greene"/>
    <x v="1"/>
    <x v="2"/>
    <s v="Imation 3.5 IBM Diskettes, 10/Box"/>
    <x v="8"/>
    <n v="199.14"/>
    <n v="10"/>
    <s v="Cash"/>
    <x v="1782"/>
  </r>
  <r>
    <s v="ORD2786"/>
    <x v="554"/>
    <s v="Diane Byrd MD"/>
    <x v="2"/>
    <x v="1"/>
    <s v="GE 4 Foot Flourescent Tube, 40 Watt"/>
    <x v="6"/>
    <n v="1974.12"/>
    <n v="10"/>
    <s v="UPI"/>
    <x v="1783"/>
  </r>
  <r>
    <s v="ORD2787"/>
    <x v="661"/>
    <s v="Charles Roberts"/>
    <x v="0"/>
    <x v="2"/>
    <s v="300 Series Non-Flip"/>
    <x v="4"/>
    <n v="579.16"/>
    <n v="5"/>
    <s v="UPI"/>
    <x v="1784"/>
  </r>
  <r>
    <s v="ORD2788"/>
    <x v="494"/>
    <s v="Luke Solomon"/>
    <x v="2"/>
    <x v="1"/>
    <s v="Global Leather &amp; Oak Executive Chair, Burgundy"/>
    <x v="0"/>
    <n v="242.24"/>
    <n v="15"/>
    <s v="Cash"/>
    <x v="1785"/>
  </r>
  <r>
    <s v="ORD2789"/>
    <x v="107"/>
    <s v="Michael Ellis"/>
    <x v="2"/>
    <x v="0"/>
    <s v="Ibico Hi-Tech Manual Binding System"/>
    <x v="3"/>
    <n v="1667.16"/>
    <n v="15"/>
    <s v="Credit Card"/>
    <x v="1786"/>
  </r>
  <r>
    <s v="ORD2790"/>
    <x v="678"/>
    <s v="Casey Morris"/>
    <x v="0"/>
    <x v="0"/>
    <s v="Eureka Disposable Bags for Sanitaire® Vibra Groomer I® Upright Vac"/>
    <x v="6"/>
    <n v="1428.02"/>
    <n v="5"/>
    <s v="Net Banking"/>
    <x v="1787"/>
  </r>
  <r>
    <s v="ORD2791"/>
    <x v="147"/>
    <s v="Melissa Reeves"/>
    <x v="2"/>
    <x v="1"/>
    <s v="Hon 2090 “Pillow Soft” Series Mid Back Swivel/Tilt Chairs"/>
    <x v="4"/>
    <n v="1253.58"/>
    <n v="15"/>
    <s v="Credit Card"/>
    <x v="1788"/>
  </r>
  <r>
    <s v="ORD2792"/>
    <x v="610"/>
    <s v="Nancy Scott"/>
    <x v="2"/>
    <x v="0"/>
    <s v="Acme Design Line 8&quot; Stainless Steel Bent Scissors w/Champagne Handles, 3-1/8&quot; Cut"/>
    <x v="5"/>
    <n v="354.16"/>
    <n v="0"/>
    <s v="UPI"/>
    <x v="1789"/>
  </r>
  <r>
    <s v="ORD2793"/>
    <x v="536"/>
    <s v="Anthony Cook"/>
    <x v="0"/>
    <x v="0"/>
    <s v="Tennsco Industrial Shelving"/>
    <x v="0"/>
    <n v="983.07"/>
    <n v="15"/>
    <s v="Credit Card"/>
    <x v="1790"/>
  </r>
  <r>
    <s v="ORD2794"/>
    <x v="595"/>
    <s v="Terry Barajas"/>
    <x v="0"/>
    <x v="0"/>
    <s v="Decoflex Hanging Personal Folder File"/>
    <x v="8"/>
    <n v="1572.08"/>
    <n v="5"/>
    <s v="UPI"/>
    <x v="1791"/>
  </r>
  <r>
    <s v="ORD2795"/>
    <x v="54"/>
    <s v="Tracy George"/>
    <x v="3"/>
    <x v="0"/>
    <s v="Cardinal Poly Pocket Divider Pockets for Ring Binders"/>
    <x v="7"/>
    <n v="642.07000000000005"/>
    <n v="15"/>
    <s v="Net Banking"/>
    <x v="1792"/>
  </r>
  <r>
    <s v="ORD2796"/>
    <x v="59"/>
    <s v="Amber King"/>
    <x v="1"/>
    <x v="0"/>
    <s v="&quot;While you Were Out&quot; Message Book, One Form per Page"/>
    <x v="0"/>
    <n v="657.8"/>
    <n v="20"/>
    <s v="Net Banking"/>
    <x v="1793"/>
  </r>
  <r>
    <s v="ORD2797"/>
    <x v="681"/>
    <s v="Elizabeth Foster"/>
    <x v="3"/>
    <x v="1"/>
    <s v="Telescoping Adjustable Floor Lamp"/>
    <x v="2"/>
    <n v="56.12"/>
    <n v="10"/>
    <s v="Net Banking"/>
    <x v="1794"/>
  </r>
  <r>
    <s v="ORD2798"/>
    <x v="307"/>
    <s v="Walter Hansen"/>
    <x v="0"/>
    <x v="1"/>
    <s v="Hon 4070 Series Pagoda™ Round Back Stacking Chairs"/>
    <x v="4"/>
    <n v="389.77"/>
    <n v="0"/>
    <s v="Cash"/>
    <x v="1795"/>
  </r>
  <r>
    <s v="ORD2799"/>
    <x v="393"/>
    <s v="Debbie Gordon"/>
    <x v="2"/>
    <x v="1"/>
    <s v="Bevis Rectangular Conference Tables"/>
    <x v="1"/>
    <n v="1757.04"/>
    <n v="20"/>
    <s v="Cash"/>
    <x v="1796"/>
  </r>
  <r>
    <s v="ORD2800"/>
    <x v="480"/>
    <s v="Sherry Anderson"/>
    <x v="0"/>
    <x v="2"/>
    <s v="Okidata Pacemark 4410N Wide Format Dot Matrix Printer"/>
    <x v="5"/>
    <n v="911.41"/>
    <n v="20"/>
    <s v="Cash"/>
    <x v="1797"/>
  </r>
  <r>
    <s v="ORD2801"/>
    <x v="462"/>
    <s v="Joseph Thomas"/>
    <x v="2"/>
    <x v="0"/>
    <s v="Acme Galleria® Hot Forged Steel Scissors with Colored Handles"/>
    <x v="0"/>
    <n v="1969.26"/>
    <n v="5"/>
    <s v="Net Banking"/>
    <x v="1798"/>
  </r>
  <r>
    <s v="ORD2802"/>
    <x v="480"/>
    <s v="Andrew Anderson"/>
    <x v="3"/>
    <x v="0"/>
    <s v="BOSTON® Ranger® #55 Pencil Sharpener, Black"/>
    <x v="1"/>
    <n v="821.63"/>
    <n v="10"/>
    <s v="Net Banking"/>
    <x v="1799"/>
  </r>
  <r>
    <s v="ORD2803"/>
    <x v="385"/>
    <s v="Sandy Adkins"/>
    <x v="3"/>
    <x v="0"/>
    <s v="Fiskars 8&quot; Scissors, 2/Pack"/>
    <x v="2"/>
    <n v="1444.61"/>
    <n v="10"/>
    <s v="Credit Card"/>
    <x v="1800"/>
  </r>
  <r>
    <s v="ORD2804"/>
    <x v="138"/>
    <s v="Diane Mcdowell"/>
    <x v="3"/>
    <x v="0"/>
    <s v="Avery Hanging File Binders"/>
    <x v="3"/>
    <n v="599.74"/>
    <n v="0"/>
    <s v="UPI"/>
    <x v="1801"/>
  </r>
  <r>
    <s v="ORD2805"/>
    <x v="48"/>
    <s v="Pam Baker"/>
    <x v="2"/>
    <x v="1"/>
    <s v="GE 48&quot; Fluorescent Tube, Cool White Energy Saver, 34 Watts, 30/Box"/>
    <x v="7"/>
    <n v="759.43"/>
    <n v="5"/>
    <s v="Cash"/>
    <x v="1802"/>
  </r>
  <r>
    <s v="ORD2806"/>
    <x v="115"/>
    <s v="Steven Stewart"/>
    <x v="1"/>
    <x v="2"/>
    <s v="Canon MP41DH Printing Calculator"/>
    <x v="1"/>
    <n v="421.92"/>
    <n v="0"/>
    <s v="Net Banking"/>
    <x v="1803"/>
  </r>
  <r>
    <s v="ORD2807"/>
    <x v="511"/>
    <s v="Pamela Hernandez DVM"/>
    <x v="1"/>
    <x v="0"/>
    <s v="Portfile® Personal File Boxes"/>
    <x v="4"/>
    <n v="726.77"/>
    <n v="15"/>
    <s v="Net Banking"/>
    <x v="1804"/>
  </r>
  <r>
    <s v="ORD2808"/>
    <x v="447"/>
    <s v="Rebecca Brown"/>
    <x v="1"/>
    <x v="0"/>
    <s v="Boston 1730 StandUp Electric Pencil Sharpener"/>
    <x v="8"/>
    <n v="1117.1099999999999"/>
    <n v="20"/>
    <s v="UPI"/>
    <x v="1805"/>
  </r>
  <r>
    <s v="ORD2809"/>
    <x v="682"/>
    <s v="David Johnson"/>
    <x v="0"/>
    <x v="0"/>
    <s v="Fellowes Smart Surge Ten-Outlet Protector, Platinum"/>
    <x v="2"/>
    <n v="1983.96"/>
    <n v="0"/>
    <s v="Cash"/>
    <x v="1806"/>
  </r>
  <r>
    <s v="ORD2810"/>
    <x v="281"/>
    <s v="Michael Graham"/>
    <x v="0"/>
    <x v="1"/>
    <s v="Global Stack Chair without Arms, Black"/>
    <x v="7"/>
    <n v="1345.19"/>
    <n v="20"/>
    <s v="Cash"/>
    <x v="1807"/>
  </r>
  <r>
    <s v="ORD2811"/>
    <x v="329"/>
    <s v="Tammy Williams MD"/>
    <x v="2"/>
    <x v="0"/>
    <s v="Fellowes Neat Ideas® Storage Cubes"/>
    <x v="5"/>
    <n v="438.53"/>
    <n v="5"/>
    <s v="Credit Card"/>
    <x v="1808"/>
  </r>
  <r>
    <s v="ORD2812"/>
    <x v="619"/>
    <s v="Karina Vasquez"/>
    <x v="0"/>
    <x v="2"/>
    <s v="Gyration RF Keyboard"/>
    <x v="8"/>
    <n v="137.66999999999999"/>
    <n v="15"/>
    <s v="Net Banking"/>
    <x v="1809"/>
  </r>
  <r>
    <s v="ORD2813"/>
    <x v="648"/>
    <s v="Sharon Martinez"/>
    <x v="2"/>
    <x v="1"/>
    <s v="Hon 2090 “Pillow Soft” Series Mid Back Swivel/Tilt Chairs"/>
    <x v="0"/>
    <n v="296.39999999999998"/>
    <n v="5"/>
    <s v="Credit Card"/>
    <x v="1810"/>
  </r>
  <r>
    <s v="ORD2814"/>
    <x v="2"/>
    <s v="Sean White"/>
    <x v="3"/>
    <x v="0"/>
    <s v="Xerox 1922"/>
    <x v="1"/>
    <n v="1146.98"/>
    <n v="15"/>
    <s v="Net Banking"/>
    <x v="1811"/>
  </r>
  <r>
    <s v="ORD2815"/>
    <x v="336"/>
    <s v="Jordan Nelson"/>
    <x v="2"/>
    <x v="0"/>
    <s v="Fluorescent Highlighters by Dixon"/>
    <x v="7"/>
    <n v="1542.06"/>
    <n v="15"/>
    <s v="UPI"/>
    <x v="1812"/>
  </r>
  <r>
    <s v="ORD2816"/>
    <x v="404"/>
    <s v="Laurie Silva"/>
    <x v="0"/>
    <x v="0"/>
    <s v="Array® Parchment Paper, Assorted Colors"/>
    <x v="6"/>
    <n v="1883.82"/>
    <n v="20"/>
    <s v="Credit Card"/>
    <x v="1813"/>
  </r>
  <r>
    <s v="ORD2817"/>
    <x v="134"/>
    <s v="Kelly Duncan"/>
    <x v="3"/>
    <x v="0"/>
    <s v="Southworth Structures Collection™"/>
    <x v="3"/>
    <n v="80.86"/>
    <n v="5"/>
    <s v="Net Banking"/>
    <x v="1814"/>
  </r>
  <r>
    <s v="ORD2818"/>
    <x v="429"/>
    <s v="Billy Tate"/>
    <x v="3"/>
    <x v="2"/>
    <s v="Micro Innovations 104 Keyboard"/>
    <x v="3"/>
    <n v="1069.3800000000001"/>
    <n v="5"/>
    <s v="Cash"/>
    <x v="1815"/>
  </r>
  <r>
    <s v="ORD2819"/>
    <x v="129"/>
    <s v="Stacy Johnson"/>
    <x v="2"/>
    <x v="1"/>
    <s v="O'Sullivan 3-Shelf Heavy-Duty Bookcases"/>
    <x v="2"/>
    <n v="968.19"/>
    <n v="0"/>
    <s v="UPI"/>
    <x v="1816"/>
  </r>
  <r>
    <s v="ORD2820"/>
    <x v="99"/>
    <s v="Melanie Long"/>
    <x v="1"/>
    <x v="0"/>
    <s v="Park Ridge™ Embossed Executive Business Envelopes"/>
    <x v="5"/>
    <n v="1329.31"/>
    <n v="5"/>
    <s v="Net Banking"/>
    <x v="1817"/>
  </r>
  <r>
    <s v="ORD2821"/>
    <x v="30"/>
    <s v="Tiffany Hood"/>
    <x v="0"/>
    <x v="1"/>
    <s v="Deflect-o Glass Clear Studded Chair Mats"/>
    <x v="2"/>
    <n v="1141.18"/>
    <n v="0"/>
    <s v="Credit Card"/>
    <x v="1818"/>
  </r>
  <r>
    <s v="ORD2822"/>
    <x v="97"/>
    <s v="Brad Rivas"/>
    <x v="0"/>
    <x v="0"/>
    <s v="Prang Dustless Chalk Sticks"/>
    <x v="6"/>
    <n v="1389.73"/>
    <n v="10"/>
    <s v="Credit Card"/>
    <x v="1819"/>
  </r>
  <r>
    <s v="ORD2823"/>
    <x v="157"/>
    <s v="Jordan Moses"/>
    <x v="1"/>
    <x v="0"/>
    <s v="Xerox 1906"/>
    <x v="4"/>
    <n v="1333.26"/>
    <n v="10"/>
    <s v="Net Banking"/>
    <x v="1820"/>
  </r>
  <r>
    <s v="ORD2824"/>
    <x v="85"/>
    <s v="Abigail Booker"/>
    <x v="0"/>
    <x v="1"/>
    <s v="Rush Hierlooms Collection 1&quot; Thick Stackable Bookcases"/>
    <x v="5"/>
    <n v="278.17"/>
    <n v="10"/>
    <s v="UPI"/>
    <x v="1821"/>
  </r>
  <r>
    <s v="ORD2825"/>
    <x v="683"/>
    <s v="Tiffany Nguyen"/>
    <x v="1"/>
    <x v="2"/>
    <s v="1726 Digital Answering Machine"/>
    <x v="4"/>
    <n v="1609.45"/>
    <n v="5"/>
    <s v="Net Banking"/>
    <x v="1822"/>
  </r>
  <r>
    <s v="ORD2826"/>
    <x v="495"/>
    <s v="Morgan Bernard"/>
    <x v="1"/>
    <x v="0"/>
    <s v="Tyvek ® Top-Opening Peel &amp; Seel ® Envelopes, Gray"/>
    <x v="5"/>
    <n v="290.3"/>
    <n v="5"/>
    <s v="Credit Card"/>
    <x v="1823"/>
  </r>
  <r>
    <s v="ORD2827"/>
    <x v="677"/>
    <s v="Christine Williams"/>
    <x v="3"/>
    <x v="0"/>
    <s v="Xerox 1961"/>
    <x v="5"/>
    <n v="1412.13"/>
    <n v="0"/>
    <s v="Credit Card"/>
    <x v="1824"/>
  </r>
  <r>
    <s v="ORD2828"/>
    <x v="28"/>
    <s v="Erica Brown"/>
    <x v="3"/>
    <x v="0"/>
    <s v="Xerox 1991"/>
    <x v="6"/>
    <n v="861.48"/>
    <n v="15"/>
    <s v="Cash"/>
    <x v="1825"/>
  </r>
  <r>
    <s v="ORD2829"/>
    <x v="357"/>
    <s v="Trevor James"/>
    <x v="2"/>
    <x v="2"/>
    <s v="Hewlett-Packard Deskjet 6122 Color Inkjet Printer"/>
    <x v="0"/>
    <n v="1052.01"/>
    <n v="0"/>
    <s v="Cash"/>
    <x v="1826"/>
  </r>
  <r>
    <s v="ORD2830"/>
    <x v="27"/>
    <s v="Christopher Hanna"/>
    <x v="3"/>
    <x v="2"/>
    <s v="Hewlett-Packard Deskjet 6122 Color Inkjet Printer"/>
    <x v="6"/>
    <n v="1811.43"/>
    <n v="10"/>
    <s v="Credit Card"/>
    <x v="1827"/>
  </r>
  <r>
    <s v="ORD2831"/>
    <x v="456"/>
    <s v="Ann Phelps"/>
    <x v="1"/>
    <x v="0"/>
    <s v="Newell 315"/>
    <x v="5"/>
    <n v="1785.27"/>
    <n v="0"/>
    <s v="Cash"/>
    <x v="1828"/>
  </r>
  <r>
    <s v="ORD2832"/>
    <x v="637"/>
    <s v="Richard Mitchell"/>
    <x v="2"/>
    <x v="2"/>
    <s v="Microsoft Natural Keyboard Elite"/>
    <x v="7"/>
    <n v="1644.82"/>
    <n v="15"/>
    <s v="Cash"/>
    <x v="1829"/>
  </r>
  <r>
    <s v="ORD2833"/>
    <x v="7"/>
    <s v="Martha Martinez"/>
    <x v="0"/>
    <x v="1"/>
    <s v="Lifetime Advantage™ Folding Chairs, 4/Carton"/>
    <x v="4"/>
    <n v="1044.79"/>
    <n v="5"/>
    <s v="Net Banking"/>
    <x v="1830"/>
  </r>
  <r>
    <s v="ORD2834"/>
    <x v="76"/>
    <s v="Jeffrey Drake MD"/>
    <x v="1"/>
    <x v="0"/>
    <s v="Xerox 1932"/>
    <x v="6"/>
    <n v="1485.67"/>
    <n v="0"/>
    <s v="UPI"/>
    <x v="1831"/>
  </r>
  <r>
    <s v="ORD2835"/>
    <x v="635"/>
    <s v="Bonnie Wade"/>
    <x v="2"/>
    <x v="2"/>
    <s v="Imation 3.5&quot;, DISKETTE 44766 HGHLD3.52HD/FM, 10/Pack"/>
    <x v="0"/>
    <n v="1050.1500000000001"/>
    <n v="10"/>
    <s v="Net Banking"/>
    <x v="1832"/>
  </r>
  <r>
    <s v="ORD2836"/>
    <x v="467"/>
    <s v="Kayla Burns"/>
    <x v="3"/>
    <x v="0"/>
    <s v="Self-Adhesive Address Labels for Typewriters by Universal"/>
    <x v="1"/>
    <n v="1745.73"/>
    <n v="10"/>
    <s v="Net Banking"/>
    <x v="1833"/>
  </r>
  <r>
    <s v="ORD2837"/>
    <x v="684"/>
    <s v="Karen Hart"/>
    <x v="1"/>
    <x v="2"/>
    <s v="Accessory37"/>
    <x v="2"/>
    <n v="835.41"/>
    <n v="5"/>
    <s v="Cash"/>
    <x v="1834"/>
  </r>
  <r>
    <s v="ORD2838"/>
    <x v="637"/>
    <s v="Peter Shepherd"/>
    <x v="2"/>
    <x v="0"/>
    <s v="Sanford Liquid Accent Highlighters"/>
    <x v="5"/>
    <n v="1941.96"/>
    <n v="0"/>
    <s v="Cash"/>
    <x v="1835"/>
  </r>
  <r>
    <s v="ORD2839"/>
    <x v="49"/>
    <s v="Jessica Simmons"/>
    <x v="0"/>
    <x v="2"/>
    <s v="80 Minute CD-R Spindle, 100/Pack - Staples"/>
    <x v="1"/>
    <n v="1868.03"/>
    <n v="15"/>
    <s v="UPI"/>
    <x v="1836"/>
  </r>
  <r>
    <s v="ORD2840"/>
    <x v="330"/>
    <s v="Glenn Ford"/>
    <x v="1"/>
    <x v="2"/>
    <s v="Imation Neon Mac Format Diskettes, 10/Pack"/>
    <x v="3"/>
    <n v="1496.13"/>
    <n v="5"/>
    <s v="UPI"/>
    <x v="1837"/>
  </r>
  <r>
    <s v="ORD2841"/>
    <x v="667"/>
    <s v="Michael Moore"/>
    <x v="1"/>
    <x v="1"/>
    <s v="Novimex Fabric Task Chair"/>
    <x v="8"/>
    <n v="594.86"/>
    <n v="0"/>
    <s v="UPI"/>
    <x v="1838"/>
  </r>
  <r>
    <s v="ORD2842"/>
    <x v="169"/>
    <s v="Mark Warren IV"/>
    <x v="2"/>
    <x v="0"/>
    <s v="1.7 Cubic Foot Compact &quot;Cube&quot; Office Refrigerators"/>
    <x v="0"/>
    <n v="306.72000000000003"/>
    <n v="20"/>
    <s v="Net Banking"/>
    <x v="1839"/>
  </r>
  <r>
    <s v="ORD2843"/>
    <x v="539"/>
    <s v="Terry Woods"/>
    <x v="2"/>
    <x v="0"/>
    <s v="Tyvek® Side-Opening Peel &amp; Seel® Expanding Envelopes"/>
    <x v="8"/>
    <n v="1716.67"/>
    <n v="10"/>
    <s v="UPI"/>
    <x v="1840"/>
  </r>
  <r>
    <s v="ORD2844"/>
    <x v="685"/>
    <s v="Carl Leach"/>
    <x v="3"/>
    <x v="1"/>
    <s v="DAX Two-Tone Rosewood/Black Document Frame, Desktop, 5 x 7"/>
    <x v="0"/>
    <n v="372.34"/>
    <n v="15"/>
    <s v="Credit Card"/>
    <x v="1841"/>
  </r>
  <r>
    <s v="ORD2845"/>
    <x v="84"/>
    <s v="Kelly Phillips"/>
    <x v="3"/>
    <x v="0"/>
    <s v="Newell 336"/>
    <x v="7"/>
    <n v="1715.81"/>
    <n v="15"/>
    <s v="Credit Card"/>
    <x v="1842"/>
  </r>
  <r>
    <s v="ORD2846"/>
    <x v="682"/>
    <s v="Billy Williams"/>
    <x v="1"/>
    <x v="2"/>
    <s v="Verbatim DVD-R, 3.95GB, SR, Mitsubishi Branded, Jewel"/>
    <x v="2"/>
    <n v="1006.99"/>
    <n v="15"/>
    <s v="Net Banking"/>
    <x v="1843"/>
  </r>
  <r>
    <s v="ORD2847"/>
    <x v="92"/>
    <s v="Jeffery Davis"/>
    <x v="0"/>
    <x v="0"/>
    <s v="Large Capacity Hanging Post Binders"/>
    <x v="1"/>
    <n v="842.79"/>
    <n v="10"/>
    <s v="Cash"/>
    <x v="1844"/>
  </r>
  <r>
    <s v="ORD2848"/>
    <x v="506"/>
    <s v="Laura King"/>
    <x v="3"/>
    <x v="2"/>
    <s v="Imation 3.5&quot; DS/HD IBM Formatted Diskettes, 50/Pack"/>
    <x v="4"/>
    <n v="1811.22"/>
    <n v="0"/>
    <s v="UPI"/>
    <x v="1845"/>
  </r>
  <r>
    <s v="ORD2849"/>
    <x v="489"/>
    <s v="Brad Gordon"/>
    <x v="0"/>
    <x v="0"/>
    <s v="Acco Pressboard Covers with Storage Hooks, 14 7/8&quot; x 11&quot;, Light Blue"/>
    <x v="0"/>
    <n v="1227.51"/>
    <n v="5"/>
    <s v="Credit Card"/>
    <x v="1846"/>
  </r>
  <r>
    <s v="ORD2850"/>
    <x v="292"/>
    <s v="Matthew White"/>
    <x v="2"/>
    <x v="0"/>
    <s v="Xerox 1916"/>
    <x v="4"/>
    <n v="1174.4000000000001"/>
    <n v="0"/>
    <s v="UPI"/>
    <x v="1847"/>
  </r>
  <r>
    <s v="ORD2851"/>
    <x v="29"/>
    <s v="James Miller"/>
    <x v="2"/>
    <x v="2"/>
    <s v="8890"/>
    <x v="2"/>
    <n v="1139.5899999999999"/>
    <n v="5"/>
    <s v="Credit Card"/>
    <x v="1848"/>
  </r>
  <r>
    <s v="ORD2852"/>
    <x v="238"/>
    <s v="Elizabeth Matthews"/>
    <x v="3"/>
    <x v="2"/>
    <s v="Imation 3.5&quot; DS-HD Macintosh Formatted Diskettes, 10/Pack"/>
    <x v="5"/>
    <n v="773.78"/>
    <n v="15"/>
    <s v="Credit Card"/>
    <x v="1849"/>
  </r>
  <r>
    <s v="ORD2853"/>
    <x v="370"/>
    <s v="Michael Hanson"/>
    <x v="1"/>
    <x v="0"/>
    <s v="Array® Memo Cubes"/>
    <x v="3"/>
    <n v="1582"/>
    <n v="0"/>
    <s v="UPI"/>
    <x v="1850"/>
  </r>
  <r>
    <s v="ORD2854"/>
    <x v="686"/>
    <s v="Vincent Savage"/>
    <x v="2"/>
    <x v="0"/>
    <s v="Wilson Jones Suede Grain Vinyl Binders"/>
    <x v="1"/>
    <n v="542.96"/>
    <n v="15"/>
    <s v="Credit Card"/>
    <x v="1851"/>
  </r>
  <r>
    <s v="ORD2855"/>
    <x v="44"/>
    <s v="Cody Burgess"/>
    <x v="0"/>
    <x v="0"/>
    <s v="Wilson Jones Elliptical Ring 3 1/2&quot; Capacity Binders, 800 sheets"/>
    <x v="2"/>
    <n v="1880.85"/>
    <n v="20"/>
    <s v="UPI"/>
    <x v="1852"/>
  </r>
  <r>
    <s v="ORD2856"/>
    <x v="69"/>
    <s v="Shelby Rodriguez"/>
    <x v="1"/>
    <x v="0"/>
    <s v="Xerox 1928"/>
    <x v="2"/>
    <n v="1793.27"/>
    <n v="15"/>
    <s v="Credit Card"/>
    <x v="1853"/>
  </r>
  <r>
    <s v="ORD2857"/>
    <x v="522"/>
    <s v="Abigail Wilson"/>
    <x v="3"/>
    <x v="0"/>
    <s v="Xerox 188"/>
    <x v="7"/>
    <n v="708.09"/>
    <n v="15"/>
    <s v="Cash"/>
    <x v="1854"/>
  </r>
  <r>
    <s v="ORD2858"/>
    <x v="469"/>
    <s v="John Holt"/>
    <x v="2"/>
    <x v="0"/>
    <s v="Xerox 1928"/>
    <x v="8"/>
    <n v="1472.45"/>
    <n v="5"/>
    <s v="Net Banking"/>
    <x v="1855"/>
  </r>
  <r>
    <s v="ORD2859"/>
    <x v="275"/>
    <s v="Tracy Guzman"/>
    <x v="3"/>
    <x v="2"/>
    <s v="DS/HD IBM Formatted Diskettes, 200/Pack - Staples"/>
    <x v="3"/>
    <n v="1167.79"/>
    <n v="20"/>
    <s v="Net Banking"/>
    <x v="1856"/>
  </r>
  <r>
    <s v="ORD2860"/>
    <x v="86"/>
    <s v="Mr. William Ward"/>
    <x v="1"/>
    <x v="1"/>
    <s v="SAFCO PlanMaster Heigh-Adjustable Drafting Table Base, 43w x 30d x 30-37h, Black"/>
    <x v="1"/>
    <n v="708.42"/>
    <n v="15"/>
    <s v="UPI"/>
    <x v="1857"/>
  </r>
  <r>
    <s v="ORD2861"/>
    <x v="562"/>
    <s v="Melissa Foster"/>
    <x v="1"/>
    <x v="1"/>
    <s v="Executive Impressions 13&quot; Chairman Wall Clock"/>
    <x v="5"/>
    <n v="1977.62"/>
    <n v="15"/>
    <s v="Net Banking"/>
    <x v="1858"/>
  </r>
  <r>
    <s v="ORD2862"/>
    <x v="465"/>
    <s v="Calvin Smith"/>
    <x v="1"/>
    <x v="2"/>
    <s v="Fellowes Smart Design 104-Key Enhanced Keyboard, PS/2 Adapter, Platinum"/>
    <x v="5"/>
    <n v="99.21"/>
    <n v="20"/>
    <s v="Net Banking"/>
    <x v="1859"/>
  </r>
  <r>
    <s v="ORD2863"/>
    <x v="262"/>
    <s v="Alan Waller"/>
    <x v="0"/>
    <x v="1"/>
    <s v="Deflect-o DuraMat Antistatic Studded Beveled Mat for Medium Pile Carpeting"/>
    <x v="6"/>
    <n v="542.66"/>
    <n v="20"/>
    <s v="Net Banking"/>
    <x v="1860"/>
  </r>
  <r>
    <s v="ORD2864"/>
    <x v="366"/>
    <s v="Christine Wong"/>
    <x v="1"/>
    <x v="0"/>
    <s v="Hammermill Color Copier Paper (28Lb. and 96 Bright)"/>
    <x v="2"/>
    <n v="1064.1400000000001"/>
    <n v="0"/>
    <s v="Net Banking"/>
    <x v="1861"/>
  </r>
  <r>
    <s v="ORD2865"/>
    <x v="577"/>
    <s v="Jessica Garrett"/>
    <x v="1"/>
    <x v="1"/>
    <s v="Global High-Back Leather Tilter, Burgundy"/>
    <x v="0"/>
    <n v="1067.81"/>
    <n v="5"/>
    <s v="Cash"/>
    <x v="1862"/>
  </r>
  <r>
    <s v="ORD2866"/>
    <x v="617"/>
    <s v="Cheryl Turner"/>
    <x v="2"/>
    <x v="0"/>
    <s v="Tripp Lite Isotel 6 Outlet Surge Protector with Fax/Modem Protection"/>
    <x v="7"/>
    <n v="1198.42"/>
    <n v="20"/>
    <s v="Cash"/>
    <x v="1863"/>
  </r>
  <r>
    <s v="ORD2867"/>
    <x v="388"/>
    <s v="John Johnson"/>
    <x v="0"/>
    <x v="0"/>
    <s v="Tenex Personal Project File with Scoop Front Design, Black"/>
    <x v="3"/>
    <n v="1515.77"/>
    <n v="20"/>
    <s v="Net Banking"/>
    <x v="1864"/>
  </r>
  <r>
    <s v="ORD2868"/>
    <x v="89"/>
    <s v="Christian Park"/>
    <x v="0"/>
    <x v="2"/>
    <s v="Canon PC940 Copier"/>
    <x v="5"/>
    <n v="1265.78"/>
    <n v="10"/>
    <s v="Cash"/>
    <x v="1865"/>
  </r>
  <r>
    <s v="ORD2869"/>
    <x v="591"/>
    <s v="Kaitlyn Heath"/>
    <x v="3"/>
    <x v="0"/>
    <s v="Newell 312"/>
    <x v="1"/>
    <n v="1220.55"/>
    <n v="20"/>
    <s v="Cash"/>
    <x v="1866"/>
  </r>
  <r>
    <s v="ORD2870"/>
    <x v="289"/>
    <s v="Christina Hudson"/>
    <x v="1"/>
    <x v="0"/>
    <s v="Fellowes Officeware™ Wire Shelving"/>
    <x v="6"/>
    <n v="154.35"/>
    <n v="5"/>
    <s v="Net Banking"/>
    <x v="1867"/>
  </r>
  <r>
    <s v="ORD2871"/>
    <x v="687"/>
    <s v="Amber Smith"/>
    <x v="2"/>
    <x v="0"/>
    <s v="Fellowes Personal Hanging Folder Files, Navy"/>
    <x v="1"/>
    <n v="784.23"/>
    <n v="15"/>
    <s v="UPI"/>
    <x v="1868"/>
  </r>
  <r>
    <s v="ORD2872"/>
    <x v="298"/>
    <s v="Michelle Petty"/>
    <x v="3"/>
    <x v="2"/>
    <s v="Timeport L7089"/>
    <x v="7"/>
    <n v="502.51"/>
    <n v="15"/>
    <s v="Net Banking"/>
    <x v="1869"/>
  </r>
  <r>
    <s v="ORD2873"/>
    <x v="81"/>
    <s v="Nancy Larson"/>
    <x v="1"/>
    <x v="2"/>
    <s v="KF 788"/>
    <x v="0"/>
    <n v="567.47"/>
    <n v="15"/>
    <s v="Cash"/>
    <x v="1870"/>
  </r>
  <r>
    <s v="ORD2874"/>
    <x v="143"/>
    <s v="Donna Freeman"/>
    <x v="0"/>
    <x v="0"/>
    <s v="Hoover WindTunnel™ Plus Canister Vacuum"/>
    <x v="6"/>
    <n v="1130.96"/>
    <n v="15"/>
    <s v="UPI"/>
    <x v="1871"/>
  </r>
  <r>
    <s v="ORD2875"/>
    <x v="351"/>
    <s v="Mr. Logan Gregory"/>
    <x v="1"/>
    <x v="2"/>
    <s v="Maxell Pro 80 Minute CD-R, 10/Pack"/>
    <x v="6"/>
    <n v="439.04"/>
    <n v="10"/>
    <s v="Cash"/>
    <x v="1872"/>
  </r>
  <r>
    <s v="ORD2876"/>
    <x v="674"/>
    <s v="Katherine Klein"/>
    <x v="1"/>
    <x v="1"/>
    <s v="Executive Impressions 13&quot; Clairmont Wall Clock"/>
    <x v="8"/>
    <n v="623.20000000000005"/>
    <n v="20"/>
    <s v="Cash"/>
    <x v="1873"/>
  </r>
  <r>
    <s v="ORD2877"/>
    <x v="688"/>
    <s v="Jennifer Stewart"/>
    <x v="2"/>
    <x v="2"/>
    <s v="BASF Silver 74 Minute CD-R"/>
    <x v="3"/>
    <n v="512.32000000000005"/>
    <n v="15"/>
    <s v="Credit Card"/>
    <x v="1874"/>
  </r>
  <r>
    <s v="ORD2878"/>
    <x v="620"/>
    <s v="Steven Butler"/>
    <x v="2"/>
    <x v="0"/>
    <s v="Xerox 19"/>
    <x v="6"/>
    <n v="1899.58"/>
    <n v="0"/>
    <s v="Credit Card"/>
    <x v="1875"/>
  </r>
  <r>
    <s v="ORD2879"/>
    <x v="303"/>
    <s v="Johnny Mcmillan"/>
    <x v="2"/>
    <x v="0"/>
    <s v="Surelock™ Post Binders"/>
    <x v="8"/>
    <n v="1892.1"/>
    <n v="15"/>
    <s v="Credit Card"/>
    <x v="1876"/>
  </r>
  <r>
    <s v="ORD2880"/>
    <x v="689"/>
    <s v="Michael Smith"/>
    <x v="3"/>
    <x v="0"/>
    <s v="File Shuttle II and Handi-File, Black"/>
    <x v="8"/>
    <n v="1239.3900000000001"/>
    <n v="20"/>
    <s v="Cash"/>
    <x v="1877"/>
  </r>
  <r>
    <s v="ORD2881"/>
    <x v="50"/>
    <s v="Corey Cooper"/>
    <x v="2"/>
    <x v="0"/>
    <s v="Holmes Replacement Filter for HEPA Air Cleaner, Medium Room"/>
    <x v="7"/>
    <n v="1852.82"/>
    <n v="15"/>
    <s v="Net Banking"/>
    <x v="1878"/>
  </r>
  <r>
    <s v="ORD2882"/>
    <x v="276"/>
    <s v="Daniel Stout"/>
    <x v="3"/>
    <x v="0"/>
    <s v="Rogers® Profile Extra Capacity Storage Tub"/>
    <x v="4"/>
    <n v="1582.33"/>
    <n v="10"/>
    <s v="Net Banking"/>
    <x v="1879"/>
  </r>
  <r>
    <s v="ORD2883"/>
    <x v="227"/>
    <s v="Lance Kirby"/>
    <x v="1"/>
    <x v="1"/>
    <s v="G.E. Longer-Life Indoor Recessed Floodlight Bulbs"/>
    <x v="1"/>
    <n v="1200.4000000000001"/>
    <n v="5"/>
    <s v="Cash"/>
    <x v="1880"/>
  </r>
  <r>
    <s v="ORD2884"/>
    <x v="380"/>
    <s v="Bonnie Carter"/>
    <x v="3"/>
    <x v="0"/>
    <s v="Tyvek® Side-Opening Peel &amp; Seel® Expanding Envelopes"/>
    <x v="0"/>
    <n v="62.55"/>
    <n v="5"/>
    <s v="Credit Card"/>
    <x v="1881"/>
  </r>
  <r>
    <s v="ORD2885"/>
    <x v="263"/>
    <s v="Toni Whitaker"/>
    <x v="3"/>
    <x v="0"/>
    <s v="Wirebound Four 2-3/4 x 5 Forms per Page, 400 Sets per Book"/>
    <x v="1"/>
    <n v="1556.41"/>
    <n v="20"/>
    <s v="Cash"/>
    <x v="1882"/>
  </r>
  <r>
    <s v="ORD2886"/>
    <x v="497"/>
    <s v="Morgan Flynn"/>
    <x v="2"/>
    <x v="1"/>
    <s v="Global High-Back Leather Tilter, Burgundy"/>
    <x v="6"/>
    <n v="1419.85"/>
    <n v="5"/>
    <s v="Net Banking"/>
    <x v="1883"/>
  </r>
  <r>
    <s v="ORD2887"/>
    <x v="51"/>
    <s v="Sarah Howell"/>
    <x v="2"/>
    <x v="0"/>
    <s v="Avery Legal 4-Ring Binder"/>
    <x v="0"/>
    <n v="1249.74"/>
    <n v="5"/>
    <s v="Net Banking"/>
    <x v="1884"/>
  </r>
  <r>
    <s v="ORD2888"/>
    <x v="622"/>
    <s v="Paul Estrada"/>
    <x v="0"/>
    <x v="0"/>
    <s v="Newell 342"/>
    <x v="5"/>
    <n v="1532.83"/>
    <n v="0"/>
    <s v="Net Banking"/>
    <x v="1885"/>
  </r>
  <r>
    <s v="ORD2889"/>
    <x v="307"/>
    <s v="Curtis Obrien"/>
    <x v="3"/>
    <x v="0"/>
    <s v="Sanford 52201 APSCO Electric Pencil Sharpener"/>
    <x v="4"/>
    <n v="1050.2"/>
    <n v="20"/>
    <s v="Cash"/>
    <x v="1886"/>
  </r>
  <r>
    <s v="ORD2890"/>
    <x v="379"/>
    <s v="Jason Chaney"/>
    <x v="1"/>
    <x v="0"/>
    <s v="Xerox 217"/>
    <x v="5"/>
    <n v="1422.96"/>
    <n v="20"/>
    <s v="Net Banking"/>
    <x v="1887"/>
  </r>
  <r>
    <s v="ORD2891"/>
    <x v="313"/>
    <s v="Daniel Williams"/>
    <x v="0"/>
    <x v="0"/>
    <s v="#10- 4 1/8&quot; x 9 1/2&quot; Recycled Envelopes"/>
    <x v="5"/>
    <n v="1873.59"/>
    <n v="5"/>
    <s v="Net Banking"/>
    <x v="1888"/>
  </r>
  <r>
    <s v="ORD2892"/>
    <x v="221"/>
    <s v="Stanley Kelly"/>
    <x v="0"/>
    <x v="0"/>
    <s v="DIXON Ticonderoga® Erasable Checking Pencils"/>
    <x v="3"/>
    <n v="782.82"/>
    <n v="5"/>
    <s v="Net Banking"/>
    <x v="1889"/>
  </r>
  <r>
    <s v="ORD2893"/>
    <x v="431"/>
    <s v="Ronald Kline"/>
    <x v="0"/>
    <x v="1"/>
    <s v="Hon Comfortask® Task/Swivel Chairs"/>
    <x v="1"/>
    <n v="1430.84"/>
    <n v="5"/>
    <s v="Net Banking"/>
    <x v="1890"/>
  </r>
  <r>
    <s v="ORD2894"/>
    <x v="0"/>
    <s v="Arthur Jordan"/>
    <x v="2"/>
    <x v="0"/>
    <s v="Xerox 204"/>
    <x v="7"/>
    <n v="977.59"/>
    <n v="10"/>
    <s v="UPI"/>
    <x v="1891"/>
  </r>
  <r>
    <s v="ORD2895"/>
    <x v="156"/>
    <s v="Barbara Walker"/>
    <x v="2"/>
    <x v="0"/>
    <s v="Perma STOR-ALL™ Hanging File Box, 13 1/8&quot;W x 12 1/4&quot;D x 10 1/2&quot;H"/>
    <x v="5"/>
    <n v="1365.08"/>
    <n v="15"/>
    <s v="Cash"/>
    <x v="1892"/>
  </r>
  <r>
    <s v="ORD2896"/>
    <x v="237"/>
    <s v="Gerald Kelly"/>
    <x v="2"/>
    <x v="0"/>
    <s v="EcoTones® Memo Sheets"/>
    <x v="6"/>
    <n v="1537.64"/>
    <n v="10"/>
    <s v="Cash"/>
    <x v="1893"/>
  </r>
  <r>
    <s v="ORD2897"/>
    <x v="290"/>
    <s v="Shawn Adams"/>
    <x v="1"/>
    <x v="0"/>
    <s v="Xerox 212"/>
    <x v="4"/>
    <n v="138.63"/>
    <n v="20"/>
    <s v="Net Banking"/>
    <x v="1894"/>
  </r>
  <r>
    <s v="ORD2898"/>
    <x v="416"/>
    <s v="Michael Robertson"/>
    <x v="3"/>
    <x v="0"/>
    <s v="Avery 494"/>
    <x v="2"/>
    <n v="1310.87"/>
    <n v="0"/>
    <s v="Credit Card"/>
    <x v="1895"/>
  </r>
  <r>
    <s v="ORD2899"/>
    <x v="382"/>
    <s v="Michelle House"/>
    <x v="0"/>
    <x v="0"/>
    <s v="Hunt BOSTON® Vista® Battery-Operated Pencil Sharpener, Black"/>
    <x v="5"/>
    <n v="492.15"/>
    <n v="15"/>
    <s v="Net Banking"/>
    <x v="1896"/>
  </r>
  <r>
    <s v="ORD2900"/>
    <x v="355"/>
    <s v="Jim Skinner"/>
    <x v="2"/>
    <x v="2"/>
    <s v="i1000plus"/>
    <x v="4"/>
    <n v="1356.56"/>
    <n v="0"/>
    <s v="Cash"/>
    <x v="1897"/>
  </r>
  <r>
    <s v="ORD2901"/>
    <x v="212"/>
    <s v="Brian Bishop"/>
    <x v="3"/>
    <x v="1"/>
    <s v="Electrix Halogen Magnifier Lamp"/>
    <x v="0"/>
    <n v="963.24"/>
    <n v="20"/>
    <s v="UPI"/>
    <x v="1898"/>
  </r>
  <r>
    <s v="ORD2902"/>
    <x v="416"/>
    <s v="Theresa Colon"/>
    <x v="0"/>
    <x v="1"/>
    <s v="Electrix Halogen Magnifier Lamp"/>
    <x v="1"/>
    <n v="1558.43"/>
    <n v="20"/>
    <s v="Net Banking"/>
    <x v="1899"/>
  </r>
  <r>
    <s v="ORD2903"/>
    <x v="538"/>
    <s v="Brian Soto"/>
    <x v="3"/>
    <x v="0"/>
    <s v="GBC VeloBinder Strips"/>
    <x v="8"/>
    <n v="290.63"/>
    <n v="0"/>
    <s v="UPI"/>
    <x v="1900"/>
  </r>
  <r>
    <s v="ORD2904"/>
    <x v="690"/>
    <s v="Susan Moore"/>
    <x v="0"/>
    <x v="1"/>
    <s v="G.E. Longer-Life Indoor Recessed Floodlight Bulbs"/>
    <x v="3"/>
    <n v="1271.33"/>
    <n v="0"/>
    <s v="Credit Card"/>
    <x v="1901"/>
  </r>
  <r>
    <s v="ORD2905"/>
    <x v="208"/>
    <s v="Jeremy Hunter"/>
    <x v="3"/>
    <x v="2"/>
    <s v="T18"/>
    <x v="4"/>
    <n v="593.02"/>
    <n v="0"/>
    <s v="Credit Card"/>
    <x v="1902"/>
  </r>
  <r>
    <s v="ORD2906"/>
    <x v="66"/>
    <s v="Annette Holland"/>
    <x v="2"/>
    <x v="2"/>
    <s v="Keytronic 105-Key Spanish Keyboard"/>
    <x v="6"/>
    <n v="1713.31"/>
    <n v="20"/>
    <s v="Net Banking"/>
    <x v="1903"/>
  </r>
  <r>
    <s v="ORD2907"/>
    <x v="211"/>
    <s v="Chad Allison"/>
    <x v="3"/>
    <x v="0"/>
    <s v="Belkin 6 Outlet Metallic Surge Strip"/>
    <x v="6"/>
    <n v="1860.35"/>
    <n v="5"/>
    <s v="UPI"/>
    <x v="1904"/>
  </r>
  <r>
    <s v="ORD2908"/>
    <x v="239"/>
    <s v="Jason Mack"/>
    <x v="3"/>
    <x v="0"/>
    <s v="Turquoise Lead Holder with Pocket Clip"/>
    <x v="4"/>
    <n v="1992.98"/>
    <n v="0"/>
    <s v="Credit Card"/>
    <x v="1905"/>
  </r>
  <r>
    <s v="ORD2909"/>
    <x v="524"/>
    <s v="Robert Peterson"/>
    <x v="0"/>
    <x v="0"/>
    <s v="Lock-Up Easel 'Spel-Binder'"/>
    <x v="6"/>
    <n v="1602.21"/>
    <n v="15"/>
    <s v="Net Banking"/>
    <x v="1906"/>
  </r>
  <r>
    <s v="ORD2910"/>
    <x v="655"/>
    <s v="Angela Watson"/>
    <x v="3"/>
    <x v="0"/>
    <s v="Universal Premium White Copier/Laser Paper (20Lb. and 87 Bright)"/>
    <x v="1"/>
    <n v="1519.78"/>
    <n v="20"/>
    <s v="Credit Card"/>
    <x v="1907"/>
  </r>
  <r>
    <s v="ORD2911"/>
    <x v="45"/>
    <s v="Heather Ortega"/>
    <x v="1"/>
    <x v="0"/>
    <s v="Avery 487"/>
    <x v="6"/>
    <n v="470.23"/>
    <n v="10"/>
    <s v="Cash"/>
    <x v="1908"/>
  </r>
  <r>
    <s v="ORD2912"/>
    <x v="634"/>
    <s v="Paul Fisher"/>
    <x v="0"/>
    <x v="0"/>
    <s v="GBC VeloBinder Electric Binding Machine"/>
    <x v="8"/>
    <n v="705.21"/>
    <n v="10"/>
    <s v="UPI"/>
    <x v="1909"/>
  </r>
  <r>
    <s v="ORD2913"/>
    <x v="35"/>
    <s v="Robert Gutierrez"/>
    <x v="3"/>
    <x v="2"/>
    <s v="Imation 3.5 IBM Formatted Diskettes, 10/Box"/>
    <x v="6"/>
    <n v="958.08"/>
    <n v="15"/>
    <s v="Net Banking"/>
    <x v="1910"/>
  </r>
  <r>
    <s v="ORD2914"/>
    <x v="20"/>
    <s v="Jimmy Phelps"/>
    <x v="1"/>
    <x v="2"/>
    <s v="V3682"/>
    <x v="8"/>
    <n v="1558.09"/>
    <n v="5"/>
    <s v="Credit Card"/>
    <x v="1911"/>
  </r>
  <r>
    <s v="ORD2915"/>
    <x v="666"/>
    <s v="Heidi Johnson"/>
    <x v="0"/>
    <x v="0"/>
    <s v="Pressboard Data Binder, Crimson, 12&quot; X 8 1/2&quot;"/>
    <x v="5"/>
    <n v="1834.18"/>
    <n v="0"/>
    <s v="Credit Card"/>
    <x v="1912"/>
  </r>
  <r>
    <s v="ORD2916"/>
    <x v="569"/>
    <s v="Adam Drake"/>
    <x v="2"/>
    <x v="1"/>
    <s v="Office Star - Mid Back Dual function Ergonomic High Back Chair with 2-Way Adjustable Arms"/>
    <x v="7"/>
    <n v="418.82"/>
    <n v="20"/>
    <s v="Cash"/>
    <x v="1913"/>
  </r>
  <r>
    <s v="ORD2917"/>
    <x v="482"/>
    <s v="Angela Edwards"/>
    <x v="0"/>
    <x v="2"/>
    <s v="2190"/>
    <x v="1"/>
    <n v="1848.62"/>
    <n v="0"/>
    <s v="Net Banking"/>
    <x v="1914"/>
  </r>
  <r>
    <s v="ORD2918"/>
    <x v="676"/>
    <s v="Mrs. Amy Malone"/>
    <x v="0"/>
    <x v="0"/>
    <s v="Lock-Up Easel 'Spel-Binder'"/>
    <x v="7"/>
    <n v="1406.47"/>
    <n v="20"/>
    <s v="Credit Card"/>
    <x v="1915"/>
  </r>
  <r>
    <s v="ORD2919"/>
    <x v="452"/>
    <s v="Margaret Orr"/>
    <x v="3"/>
    <x v="0"/>
    <s v="Black Print Carbonless Snap-Off® Rapid Letter, 8 1/2&quot; x 7&quot;"/>
    <x v="5"/>
    <n v="1241"/>
    <n v="10"/>
    <s v="UPI"/>
    <x v="1916"/>
  </r>
  <r>
    <s v="ORD2920"/>
    <x v="160"/>
    <s v="Mark Reeves"/>
    <x v="1"/>
    <x v="1"/>
    <s v="Nu-Dell Executive Frame"/>
    <x v="1"/>
    <n v="439.69"/>
    <n v="0"/>
    <s v="Credit Card"/>
    <x v="1917"/>
  </r>
  <r>
    <s v="ORD2921"/>
    <x v="173"/>
    <s v="Kelly Phillips"/>
    <x v="0"/>
    <x v="1"/>
    <s v="Staples Plastic Wall Frames"/>
    <x v="4"/>
    <n v="158.27000000000001"/>
    <n v="15"/>
    <s v="UPI"/>
    <x v="1918"/>
  </r>
  <r>
    <s v="ORD2922"/>
    <x v="43"/>
    <s v="Michael Spencer"/>
    <x v="0"/>
    <x v="0"/>
    <s v="Cardinal Holdit Business Card Pockets"/>
    <x v="4"/>
    <n v="1158.51"/>
    <n v="5"/>
    <s v="Credit Card"/>
    <x v="1919"/>
  </r>
  <r>
    <s v="ORD2923"/>
    <x v="418"/>
    <s v="Patrick Blankenship"/>
    <x v="0"/>
    <x v="2"/>
    <s v="Lexmark Z25 Color Inkjet Printer"/>
    <x v="8"/>
    <n v="1320.46"/>
    <n v="15"/>
    <s v="Net Banking"/>
    <x v="1920"/>
  </r>
  <r>
    <s v="ORD2924"/>
    <x v="649"/>
    <s v="Douglas Rose"/>
    <x v="3"/>
    <x v="0"/>
    <s v="Xerox 231"/>
    <x v="5"/>
    <n v="461.02"/>
    <n v="5"/>
    <s v="Net Banking"/>
    <x v="1921"/>
  </r>
  <r>
    <s v="ORD2925"/>
    <x v="691"/>
    <s v="Melody Griffin"/>
    <x v="0"/>
    <x v="2"/>
    <s v="Microsoft Multimedia Keyboard"/>
    <x v="8"/>
    <n v="1135.0899999999999"/>
    <n v="0"/>
    <s v="Net Banking"/>
    <x v="1922"/>
  </r>
  <r>
    <s v="ORD2926"/>
    <x v="292"/>
    <s v="Joshua Kramer"/>
    <x v="1"/>
    <x v="0"/>
    <s v="Avery 506"/>
    <x v="3"/>
    <n v="1720.16"/>
    <n v="0"/>
    <s v="UPI"/>
    <x v="1923"/>
  </r>
  <r>
    <s v="ORD2927"/>
    <x v="285"/>
    <s v="Melissa Barron"/>
    <x v="3"/>
    <x v="0"/>
    <s v="Wilson Jones Hanging View Binder, White, 1&quot;"/>
    <x v="6"/>
    <n v="1678.38"/>
    <n v="5"/>
    <s v="Net Banking"/>
    <x v="1924"/>
  </r>
  <r>
    <s v="ORD2928"/>
    <x v="642"/>
    <s v="Jennifer Gonzalez"/>
    <x v="2"/>
    <x v="1"/>
    <s v="Bevis Round Conference Table Top, X-Base"/>
    <x v="2"/>
    <n v="1858.34"/>
    <n v="10"/>
    <s v="UPI"/>
    <x v="1925"/>
  </r>
  <r>
    <s v="ORD2929"/>
    <x v="464"/>
    <s v="Andrew Cook"/>
    <x v="2"/>
    <x v="2"/>
    <s v="Keytronic 105-Key Spanish Keyboard"/>
    <x v="3"/>
    <n v="763.48"/>
    <n v="20"/>
    <s v="UPI"/>
    <x v="1926"/>
  </r>
  <r>
    <s v="ORD2930"/>
    <x v="151"/>
    <s v="Natalie Martinez"/>
    <x v="3"/>
    <x v="0"/>
    <s v="Universal Premium White Copier/Laser Paper (20Lb. and 87 Bright)"/>
    <x v="6"/>
    <n v="670.2"/>
    <n v="15"/>
    <s v="UPI"/>
    <x v="1927"/>
  </r>
  <r>
    <s v="ORD2931"/>
    <x v="77"/>
    <s v="Diane Davis DDS"/>
    <x v="1"/>
    <x v="0"/>
    <s v="Barrel Sharpener"/>
    <x v="1"/>
    <n v="1511.38"/>
    <n v="15"/>
    <s v="Cash"/>
    <x v="1928"/>
  </r>
  <r>
    <s v="ORD2932"/>
    <x v="656"/>
    <s v="Nicole Moore"/>
    <x v="3"/>
    <x v="0"/>
    <s v="Xerox 1936"/>
    <x v="8"/>
    <n v="890.67"/>
    <n v="15"/>
    <s v="Credit Card"/>
    <x v="1929"/>
  </r>
  <r>
    <s v="ORD2933"/>
    <x v="23"/>
    <s v="Robert Vargas"/>
    <x v="3"/>
    <x v="0"/>
    <s v="Serrated Blade or Curved Handle Hand Letter Openers"/>
    <x v="1"/>
    <n v="220.72"/>
    <n v="0"/>
    <s v="UPI"/>
    <x v="1930"/>
  </r>
  <r>
    <s v="ORD2934"/>
    <x v="252"/>
    <s v="Raymond Barber"/>
    <x v="3"/>
    <x v="0"/>
    <s v="GBC ProClick™ 150 Presentation Binding System"/>
    <x v="1"/>
    <n v="601.46"/>
    <n v="15"/>
    <s v="UPI"/>
    <x v="1931"/>
  </r>
  <r>
    <s v="ORD2935"/>
    <x v="294"/>
    <s v="Mrs. Amy Watson"/>
    <x v="3"/>
    <x v="1"/>
    <s v="SAFCO Arco Folding Chair"/>
    <x v="6"/>
    <n v="866.24"/>
    <n v="20"/>
    <s v="Credit Card"/>
    <x v="1932"/>
  </r>
  <r>
    <s v="ORD2936"/>
    <x v="50"/>
    <s v="Heather Williams"/>
    <x v="0"/>
    <x v="1"/>
    <s v="Howard Miller 16&quot; Diameter Gallery Wall Clock"/>
    <x v="5"/>
    <n v="620.41"/>
    <n v="20"/>
    <s v="Net Banking"/>
    <x v="1933"/>
  </r>
  <r>
    <s v="ORD2937"/>
    <x v="651"/>
    <s v="Belinda Evans"/>
    <x v="2"/>
    <x v="0"/>
    <s v="Staples SlimLine Pencil Sharpener"/>
    <x v="6"/>
    <n v="697.8"/>
    <n v="5"/>
    <s v="Cash"/>
    <x v="1934"/>
  </r>
  <r>
    <s v="ORD2938"/>
    <x v="676"/>
    <s v="Jody Bird"/>
    <x v="1"/>
    <x v="0"/>
    <s v="Lock-Up Easel 'Spel-Binder'"/>
    <x v="0"/>
    <n v="622.86"/>
    <n v="0"/>
    <s v="Credit Card"/>
    <x v="1935"/>
  </r>
  <r>
    <s v="ORD2939"/>
    <x v="249"/>
    <s v="Virginia Cunningham"/>
    <x v="0"/>
    <x v="0"/>
    <s v="Premium Writing Pencils, Soft, #2 by Central Association for the Blind"/>
    <x v="4"/>
    <n v="130.91999999999999"/>
    <n v="20"/>
    <s v="UPI"/>
    <x v="1936"/>
  </r>
  <r>
    <s v="ORD2940"/>
    <x v="32"/>
    <s v="Lori Ferguson"/>
    <x v="2"/>
    <x v="2"/>
    <s v="M70"/>
    <x v="4"/>
    <n v="1292.33"/>
    <n v="10"/>
    <s v="Credit Card"/>
    <x v="1937"/>
  </r>
  <r>
    <s v="ORD2941"/>
    <x v="110"/>
    <s v="Hayley Mitchell"/>
    <x v="3"/>
    <x v="0"/>
    <s v="Avery 494"/>
    <x v="3"/>
    <n v="1214.72"/>
    <n v="0"/>
    <s v="UPI"/>
    <x v="1938"/>
  </r>
  <r>
    <s v="ORD2942"/>
    <x v="692"/>
    <s v="Michelle Chambers"/>
    <x v="2"/>
    <x v="1"/>
    <s v="Executive Impressions 13&quot; Chairman Wall Clock"/>
    <x v="4"/>
    <n v="1324.1"/>
    <n v="0"/>
    <s v="Net Banking"/>
    <x v="1939"/>
  </r>
  <r>
    <s v="ORD2943"/>
    <x v="464"/>
    <s v="Kelly Wright"/>
    <x v="2"/>
    <x v="0"/>
    <s v="Safco Industrial Wire Shelving"/>
    <x v="6"/>
    <n v="425"/>
    <n v="20"/>
    <s v="Credit Card"/>
    <x v="1940"/>
  </r>
  <r>
    <s v="ORD2944"/>
    <x v="343"/>
    <s v="Kevin Carson"/>
    <x v="0"/>
    <x v="2"/>
    <s v="StarTAC 3000"/>
    <x v="8"/>
    <n v="626.53"/>
    <n v="10"/>
    <s v="Cash"/>
    <x v="1941"/>
  </r>
  <r>
    <s v="ORD2945"/>
    <x v="544"/>
    <s v="Brent Dawson"/>
    <x v="0"/>
    <x v="0"/>
    <s v="Ampad #10 Peel &amp; Seel® Holiday Envelopes"/>
    <x v="6"/>
    <n v="1258.25"/>
    <n v="5"/>
    <s v="Credit Card"/>
    <x v="1942"/>
  </r>
  <r>
    <s v="ORD2946"/>
    <x v="396"/>
    <s v="Angela Brown"/>
    <x v="1"/>
    <x v="0"/>
    <s v="Fellowes PB500 Electric Punch Plastic Comb Binding Machine with Manual Bind"/>
    <x v="6"/>
    <n v="1219.27"/>
    <n v="20"/>
    <s v="UPI"/>
    <x v="1943"/>
  </r>
  <r>
    <s v="ORD2947"/>
    <x v="370"/>
    <s v="Karen Griffin"/>
    <x v="3"/>
    <x v="0"/>
    <s v="Crate-A-Files™"/>
    <x v="2"/>
    <n v="1037.3399999999999"/>
    <n v="10"/>
    <s v="UPI"/>
    <x v="1944"/>
  </r>
  <r>
    <s v="ORD2948"/>
    <x v="459"/>
    <s v="Joseph Chapman"/>
    <x v="3"/>
    <x v="2"/>
    <s v="Bell Sonecor JB700 Caller ID"/>
    <x v="8"/>
    <n v="733.31"/>
    <n v="0"/>
    <s v="Cash"/>
    <x v="1945"/>
  </r>
  <r>
    <s v="ORD2949"/>
    <x v="662"/>
    <s v="Jennifer Baker"/>
    <x v="3"/>
    <x v="0"/>
    <s v="Staples SlimLine Pencil Sharpener"/>
    <x v="0"/>
    <n v="1830.22"/>
    <n v="10"/>
    <s v="UPI"/>
    <x v="1946"/>
  </r>
  <r>
    <s v="ORD2950"/>
    <x v="167"/>
    <s v="Mr. Jeremiah Galvan MD"/>
    <x v="2"/>
    <x v="1"/>
    <s v="Eldon Expressions Punched Metal &amp; Wood Desk Accessories, Black &amp; Cherry"/>
    <x v="4"/>
    <n v="712.55"/>
    <n v="0"/>
    <s v="UPI"/>
    <x v="1947"/>
  </r>
  <r>
    <s v="ORD2951"/>
    <x v="587"/>
    <s v="Samantha Thomas"/>
    <x v="2"/>
    <x v="1"/>
    <s v="Tenex 46&quot; x 60&quot; Computer Anti-Static Chairmat, Rectangular Shaped"/>
    <x v="8"/>
    <n v="938.46"/>
    <n v="20"/>
    <s v="UPI"/>
    <x v="1948"/>
  </r>
  <r>
    <s v="ORD2952"/>
    <x v="157"/>
    <s v="Michael Anderson"/>
    <x v="3"/>
    <x v="2"/>
    <s v="i1000plus"/>
    <x v="4"/>
    <n v="1372.32"/>
    <n v="20"/>
    <s v="Credit Card"/>
    <x v="1949"/>
  </r>
  <r>
    <s v="ORD2953"/>
    <x v="215"/>
    <s v="Sharon Wilson"/>
    <x v="1"/>
    <x v="1"/>
    <s v="Electrix Halogen Magnifier Lamp"/>
    <x v="3"/>
    <n v="1108.8900000000001"/>
    <n v="15"/>
    <s v="Credit Card"/>
    <x v="1950"/>
  </r>
  <r>
    <s v="ORD2954"/>
    <x v="31"/>
    <s v="John Francis"/>
    <x v="2"/>
    <x v="1"/>
    <s v="Electrix Halogen Magnifier Lamp"/>
    <x v="8"/>
    <n v="726.43"/>
    <n v="15"/>
    <s v="Cash"/>
    <x v="1951"/>
  </r>
  <r>
    <s v="ORD2955"/>
    <x v="189"/>
    <s v="Jaclyn Crane"/>
    <x v="1"/>
    <x v="0"/>
    <s v="GBC VeloBinder Strips"/>
    <x v="4"/>
    <n v="899.51"/>
    <n v="15"/>
    <s v="Cash"/>
    <x v="1952"/>
  </r>
  <r>
    <s v="ORD2956"/>
    <x v="143"/>
    <s v="Jennifer Martinez"/>
    <x v="2"/>
    <x v="1"/>
    <s v="G.E. Longer-Life Indoor Recessed Floodlight Bulbs"/>
    <x v="0"/>
    <n v="1599.24"/>
    <n v="20"/>
    <s v="Net Banking"/>
    <x v="1953"/>
  </r>
  <r>
    <s v="ORD2957"/>
    <x v="693"/>
    <s v="Amanda Hernandez"/>
    <x v="0"/>
    <x v="2"/>
    <s v="T18"/>
    <x v="7"/>
    <n v="592.35"/>
    <n v="5"/>
    <s v="UPI"/>
    <x v="1954"/>
  </r>
  <r>
    <s v="ORD2958"/>
    <x v="334"/>
    <s v="William Turner"/>
    <x v="0"/>
    <x v="2"/>
    <s v="Keytronic 105-Key Spanish Keyboard"/>
    <x v="1"/>
    <n v="327.39999999999998"/>
    <n v="20"/>
    <s v="Cash"/>
    <x v="1955"/>
  </r>
  <r>
    <s v="ORD2959"/>
    <x v="281"/>
    <s v="Dr. Charles Lawrence"/>
    <x v="3"/>
    <x v="0"/>
    <s v="Belkin 6 Outlet Metallic Surge Strip"/>
    <x v="1"/>
    <n v="660.67"/>
    <n v="10"/>
    <s v="UPI"/>
    <x v="1956"/>
  </r>
  <r>
    <s v="ORD2960"/>
    <x v="694"/>
    <s v="Steven Small"/>
    <x v="0"/>
    <x v="0"/>
    <s v="Turquoise Lead Holder with Pocket Clip"/>
    <x v="0"/>
    <n v="1706.59"/>
    <n v="20"/>
    <s v="Cash"/>
    <x v="1957"/>
  </r>
  <r>
    <s v="ORD2961"/>
    <x v="695"/>
    <s v="Robert Burns"/>
    <x v="2"/>
    <x v="0"/>
    <s v="Lock-Up Easel 'Spel-Binder'"/>
    <x v="2"/>
    <n v="223.53"/>
    <n v="20"/>
    <s v="Net Banking"/>
    <x v="1958"/>
  </r>
  <r>
    <s v="ORD2962"/>
    <x v="420"/>
    <s v="Gregory Harrell"/>
    <x v="2"/>
    <x v="0"/>
    <s v="Universal Premium White Copier/Laser Paper (20Lb. and 87 Bright)"/>
    <x v="7"/>
    <n v="1983.81"/>
    <n v="0"/>
    <s v="Cash"/>
    <x v="1959"/>
  </r>
  <r>
    <s v="ORD2963"/>
    <x v="696"/>
    <s v="Kenneth Knight"/>
    <x v="0"/>
    <x v="0"/>
    <s v="Avery 487"/>
    <x v="3"/>
    <n v="1104.96"/>
    <n v="0"/>
    <s v="Credit Card"/>
    <x v="1960"/>
  </r>
  <r>
    <s v="ORD2964"/>
    <x v="56"/>
    <s v="Rachael Alvarez"/>
    <x v="0"/>
    <x v="0"/>
    <s v="GBC VeloBinder Electric Binding Machine"/>
    <x v="0"/>
    <n v="1970.45"/>
    <n v="0"/>
    <s v="UPI"/>
    <x v="1961"/>
  </r>
  <r>
    <s v="ORD2965"/>
    <x v="686"/>
    <s v="Lisa Gill"/>
    <x v="0"/>
    <x v="2"/>
    <s v="Imation 3.5 IBM Formatted Diskettes, 10/Box"/>
    <x v="1"/>
    <n v="1881.04"/>
    <n v="20"/>
    <s v="Credit Card"/>
    <x v="1962"/>
  </r>
  <r>
    <s v="ORD2966"/>
    <x v="311"/>
    <s v="Julia Cole"/>
    <x v="3"/>
    <x v="2"/>
    <s v="V3682"/>
    <x v="1"/>
    <n v="932.99"/>
    <n v="5"/>
    <s v="Cash"/>
    <x v="1963"/>
  </r>
  <r>
    <s v="ORD2967"/>
    <x v="377"/>
    <s v="Sean Nguyen"/>
    <x v="0"/>
    <x v="0"/>
    <s v="Pressboard Data Binder, Crimson, 12&quot; X 8 1/2&quot;"/>
    <x v="1"/>
    <n v="437.06"/>
    <n v="10"/>
    <s v="Cash"/>
    <x v="1964"/>
  </r>
  <r>
    <s v="ORD2968"/>
    <x v="82"/>
    <s v="Mary Ortiz"/>
    <x v="2"/>
    <x v="1"/>
    <s v="Office Star - Mid Back Dual function Ergonomic High Back Chair with 2-Way Adjustable Arms"/>
    <x v="5"/>
    <n v="371.53"/>
    <n v="10"/>
    <s v="Net Banking"/>
    <x v="1965"/>
  </r>
  <r>
    <s v="ORD2969"/>
    <x v="265"/>
    <s v="James Weaver"/>
    <x v="0"/>
    <x v="2"/>
    <s v="2190"/>
    <x v="0"/>
    <n v="517.98"/>
    <n v="5"/>
    <s v="Net Banking"/>
    <x v="1966"/>
  </r>
  <r>
    <s v="ORD2970"/>
    <x v="567"/>
    <s v="Stacy Fitzgerald"/>
    <x v="3"/>
    <x v="0"/>
    <s v="Lock-Up Easel 'Spel-Binder'"/>
    <x v="6"/>
    <n v="1434.76"/>
    <n v="5"/>
    <s v="Net Banking"/>
    <x v="1967"/>
  </r>
  <r>
    <s v="ORD2971"/>
    <x v="357"/>
    <s v="Sharon Mann"/>
    <x v="3"/>
    <x v="0"/>
    <s v="Black Print Carbonless Snap-Off® Rapid Letter, 8 1/2&quot; x 7&quot;"/>
    <x v="3"/>
    <n v="582.25"/>
    <n v="10"/>
    <s v="Cash"/>
    <x v="1968"/>
  </r>
  <r>
    <s v="ORD2972"/>
    <x v="346"/>
    <s v="Rebecca Zimmerman"/>
    <x v="2"/>
    <x v="1"/>
    <s v="Nu-Dell Executive Frame"/>
    <x v="1"/>
    <n v="715.78"/>
    <n v="15"/>
    <s v="Net Banking"/>
    <x v="1969"/>
  </r>
  <r>
    <s v="ORD2973"/>
    <x v="130"/>
    <s v="Becky Hansen"/>
    <x v="2"/>
    <x v="1"/>
    <s v="Staples Plastic Wall Frames"/>
    <x v="4"/>
    <n v="925.12"/>
    <n v="0"/>
    <s v="Cash"/>
    <x v="1970"/>
  </r>
  <r>
    <s v="ORD2974"/>
    <x v="16"/>
    <s v="Luke Ray"/>
    <x v="0"/>
    <x v="0"/>
    <s v="Cardinal Holdit Business Card Pockets"/>
    <x v="0"/>
    <n v="1830.8"/>
    <n v="0"/>
    <s v="Cash"/>
    <x v="1971"/>
  </r>
  <r>
    <s v="ORD2975"/>
    <x v="276"/>
    <s v="Kelly Lopez"/>
    <x v="2"/>
    <x v="2"/>
    <s v="Lexmark Z25 Color Inkjet Printer"/>
    <x v="5"/>
    <n v="419.32"/>
    <n v="10"/>
    <s v="UPI"/>
    <x v="1972"/>
  </r>
  <r>
    <s v="ORD2976"/>
    <x v="697"/>
    <s v="Steven Martinez"/>
    <x v="1"/>
    <x v="0"/>
    <s v="Xerox 231"/>
    <x v="0"/>
    <n v="59.8"/>
    <n v="5"/>
    <s v="Credit Card"/>
    <x v="1973"/>
  </r>
  <r>
    <s v="ORD2977"/>
    <x v="51"/>
    <s v="Catherine Smith"/>
    <x v="2"/>
    <x v="2"/>
    <s v="Microsoft Multimedia Keyboard"/>
    <x v="3"/>
    <n v="167.19"/>
    <n v="15"/>
    <s v="UPI"/>
    <x v="1974"/>
  </r>
  <r>
    <s v="ORD2978"/>
    <x v="117"/>
    <s v="Danielle Thornton"/>
    <x v="1"/>
    <x v="0"/>
    <s v="Avery 506"/>
    <x v="5"/>
    <n v="1814.29"/>
    <n v="10"/>
    <s v="Credit Card"/>
    <x v="1975"/>
  </r>
  <r>
    <s v="ORD2979"/>
    <x v="502"/>
    <s v="Jill Roman"/>
    <x v="1"/>
    <x v="0"/>
    <s v="Wilson Jones Hanging View Binder, White, 1&quot;"/>
    <x v="3"/>
    <n v="1312.66"/>
    <n v="0"/>
    <s v="Credit Card"/>
    <x v="1976"/>
  </r>
  <r>
    <s v="ORD2980"/>
    <x v="674"/>
    <s v="Jennifer Williams"/>
    <x v="2"/>
    <x v="1"/>
    <s v="Bevis Round Conference Table Top, X-Base"/>
    <x v="0"/>
    <n v="582.42999999999995"/>
    <n v="20"/>
    <s v="Cash"/>
    <x v="1977"/>
  </r>
  <r>
    <s v="ORD2981"/>
    <x v="369"/>
    <s v="Allison Kim"/>
    <x v="1"/>
    <x v="2"/>
    <s v="Keytronic 105-Key Spanish Keyboard"/>
    <x v="6"/>
    <n v="395.53"/>
    <n v="5"/>
    <s v="Net Banking"/>
    <x v="1978"/>
  </r>
  <r>
    <s v="ORD2982"/>
    <x v="562"/>
    <s v="Scott Stewart"/>
    <x v="2"/>
    <x v="0"/>
    <s v="Universal Premium White Copier/Laser Paper (20Lb. and 87 Bright)"/>
    <x v="3"/>
    <n v="623.82000000000005"/>
    <n v="20"/>
    <s v="Net Banking"/>
    <x v="1979"/>
  </r>
  <r>
    <s v="ORD2983"/>
    <x v="225"/>
    <s v="Brian Garcia"/>
    <x v="2"/>
    <x v="0"/>
    <s v="Barrel Sharpener"/>
    <x v="5"/>
    <n v="273.85000000000002"/>
    <n v="10"/>
    <s v="Net Banking"/>
    <x v="1980"/>
  </r>
  <r>
    <s v="ORD2984"/>
    <x v="677"/>
    <s v="Charles Scott"/>
    <x v="3"/>
    <x v="0"/>
    <s v="Xerox 1936"/>
    <x v="5"/>
    <n v="1885.99"/>
    <n v="0"/>
    <s v="UPI"/>
    <x v="1981"/>
  </r>
  <r>
    <s v="ORD2985"/>
    <x v="289"/>
    <s v="Eric Russell"/>
    <x v="1"/>
    <x v="0"/>
    <s v="Serrated Blade or Curved Handle Hand Letter Openers"/>
    <x v="3"/>
    <n v="1579.2"/>
    <n v="15"/>
    <s v="Net Banking"/>
    <x v="1982"/>
  </r>
  <r>
    <s v="ORD2986"/>
    <x v="604"/>
    <s v="Lucas Nguyen"/>
    <x v="1"/>
    <x v="0"/>
    <s v="GBC ProClick™ 150 Presentation Binding System"/>
    <x v="0"/>
    <n v="951.66"/>
    <n v="20"/>
    <s v="Cash"/>
    <x v="1983"/>
  </r>
  <r>
    <s v="ORD2987"/>
    <x v="230"/>
    <s v="Anthony Price"/>
    <x v="0"/>
    <x v="1"/>
    <s v="SAFCO Arco Folding Chair"/>
    <x v="2"/>
    <n v="1736.68"/>
    <n v="15"/>
    <s v="Net Banking"/>
    <x v="1984"/>
  </r>
  <r>
    <s v="ORD2988"/>
    <x v="326"/>
    <s v="Jason Nguyen"/>
    <x v="2"/>
    <x v="1"/>
    <s v="Howard Miller 16&quot; Diameter Gallery Wall Clock"/>
    <x v="0"/>
    <n v="536.44000000000005"/>
    <n v="0"/>
    <s v="Net Banking"/>
    <x v="1985"/>
  </r>
  <r>
    <s v="ORD2989"/>
    <x v="470"/>
    <s v="Ronald Martinez"/>
    <x v="3"/>
    <x v="0"/>
    <s v="Staples SlimLine Pencil Sharpener"/>
    <x v="3"/>
    <n v="1448.39"/>
    <n v="20"/>
    <s v="Net Banking"/>
    <x v="1986"/>
  </r>
  <r>
    <s v="ORD2990"/>
    <x v="641"/>
    <s v="Paul Willis"/>
    <x v="3"/>
    <x v="0"/>
    <s v="Lock-Up Easel 'Spel-Binder'"/>
    <x v="7"/>
    <n v="1719.46"/>
    <n v="15"/>
    <s v="UPI"/>
    <x v="1987"/>
  </r>
  <r>
    <s v="ORD2991"/>
    <x v="390"/>
    <s v="Paul Cruz Jr."/>
    <x v="0"/>
    <x v="0"/>
    <s v="Premium Writing Pencils, Soft, #2 by Central Association for the Blind"/>
    <x v="3"/>
    <n v="745.7"/>
    <n v="15"/>
    <s v="Cash"/>
    <x v="1988"/>
  </r>
  <r>
    <s v="ORD2992"/>
    <x v="118"/>
    <s v="John Russell"/>
    <x v="1"/>
    <x v="2"/>
    <s v="M70"/>
    <x v="6"/>
    <n v="1527.06"/>
    <n v="20"/>
    <s v="Net Banking"/>
    <x v="1989"/>
  </r>
  <r>
    <s v="ORD2993"/>
    <x v="396"/>
    <s v="Mr. David Mercado"/>
    <x v="3"/>
    <x v="0"/>
    <s v="Avery 494"/>
    <x v="3"/>
    <n v="625.39"/>
    <n v="0"/>
    <s v="Credit Card"/>
    <x v="1990"/>
  </r>
  <r>
    <s v="ORD2994"/>
    <x v="4"/>
    <s v="Victor Leonard"/>
    <x v="1"/>
    <x v="1"/>
    <s v="Executive Impressions 13&quot; Chairman Wall Clock"/>
    <x v="3"/>
    <n v="632.77"/>
    <n v="15"/>
    <s v="UPI"/>
    <x v="1991"/>
  </r>
  <r>
    <s v="ORD2995"/>
    <x v="451"/>
    <s v="Justin Glover"/>
    <x v="3"/>
    <x v="0"/>
    <s v="Safco Industrial Wire Shelving"/>
    <x v="6"/>
    <n v="258.76"/>
    <n v="10"/>
    <s v="Net Banking"/>
    <x v="1992"/>
  </r>
  <r>
    <s v="ORD2996"/>
    <x v="477"/>
    <s v="Jason Miller"/>
    <x v="3"/>
    <x v="2"/>
    <s v="StarTAC 3000"/>
    <x v="3"/>
    <n v="908.11"/>
    <n v="20"/>
    <s v="Net Banking"/>
    <x v="1993"/>
  </r>
  <r>
    <s v="ORD2997"/>
    <x v="138"/>
    <s v="Christina Faulkner"/>
    <x v="2"/>
    <x v="0"/>
    <s v="Ampad #10 Peel &amp; Seel® Holiday Envelopes"/>
    <x v="1"/>
    <n v="1472.94"/>
    <n v="5"/>
    <s v="UPI"/>
    <x v="1994"/>
  </r>
  <r>
    <s v="ORD2998"/>
    <x v="466"/>
    <s v="William Casey"/>
    <x v="1"/>
    <x v="0"/>
    <s v="Fellowes PB500 Electric Punch Plastic Comb Binding Machine with Manual Bind"/>
    <x v="7"/>
    <n v="1883.43"/>
    <n v="5"/>
    <s v="Credit Card"/>
    <x v="1995"/>
  </r>
  <r>
    <s v="ORD2999"/>
    <x v="225"/>
    <s v="Jessica Buck"/>
    <x v="3"/>
    <x v="0"/>
    <s v="Crate-A-Files™"/>
    <x v="4"/>
    <n v="1227.4000000000001"/>
    <n v="0"/>
    <s v="Credit Card"/>
    <x v="199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ORD1000"/>
    <d v="2024-12-20T00:00:00"/>
    <s v="Zachary Schmidt"/>
    <s v="North"/>
    <s v="Office Supplies"/>
    <s v="SANFORD Liquid Accent™ Tank-Style Highlighters"/>
    <x v="0"/>
    <n v="568.41"/>
    <n v="15"/>
    <s v="Net Banking"/>
    <n v="3382.04"/>
  </r>
  <r>
    <s v="ORD1001"/>
    <d v="2023-11-06T00:00:00"/>
    <s v="Larry Garcia"/>
    <s v="North"/>
    <s v="Furniture"/>
    <s v="Global Troy™ Executive Leather Low-Back Tilter"/>
    <x v="1"/>
    <n v="1309.8800000000001"/>
    <n v="0"/>
    <s v="Credit Card"/>
    <n v="5239.5200000000004"/>
  </r>
  <r>
    <s v="ORD1002"/>
    <d v="2023-08-31T00:00:00"/>
    <s v="Sarah Curtis"/>
    <s v="East"/>
    <s v="Furniture"/>
    <s v="DAX Two-Tone Rosewood/Black Document Frame, Desktop, 5 x 7"/>
    <x v="2"/>
    <n v="1023.7"/>
    <n v="15"/>
    <s v="Cash"/>
    <n v="6961.16"/>
  </r>
  <r>
    <s v="ORD1003"/>
    <d v="2025-03-09T00:00:00"/>
    <s v="Michelle Lewis"/>
    <s v="South"/>
    <s v="Furniture"/>
    <s v="Howard Miller 12-3/4 Diameter Accuwave DS ™ Wall Clock"/>
    <x v="3"/>
    <n v="568.74"/>
    <n v="20"/>
    <s v="Cash"/>
    <n v="2274.96"/>
  </r>
  <r>
    <s v="ORD1004"/>
    <d v="2024-03-12T00:00:00"/>
    <s v="Darryl Morgan"/>
    <s v="South"/>
    <s v="Office Supplies"/>
    <s v="Newell 321"/>
    <x v="0"/>
    <n v="341.01"/>
    <n v="20"/>
    <s v="Cash"/>
    <n v="1909.66"/>
  </r>
  <r>
    <s v="ORD1005"/>
    <d v="2024-02-18T00:00:00"/>
    <s v="Jason Davis"/>
    <s v="South"/>
    <s v="Office Supplies"/>
    <s v="Newell 351"/>
    <x v="4"/>
    <n v="298.04000000000002"/>
    <n v="0"/>
    <s v="Cash"/>
    <n v="894.12"/>
  </r>
  <r>
    <s v="ORD1006"/>
    <d v="2024-02-01T00:00:00"/>
    <s v="Maurice Brooks"/>
    <s v="North"/>
    <s v="Office Supplies"/>
    <s v="OIC Colored Binder Clips, Assorted Sizes"/>
    <x v="0"/>
    <n v="1736.09"/>
    <n v="15"/>
    <s v="Credit Card"/>
    <n v="10329.74"/>
  </r>
  <r>
    <s v="ORD1007"/>
    <d v="2023-11-28T00:00:00"/>
    <s v="Thomas Jones"/>
    <s v="North"/>
    <s v="Office Supplies"/>
    <s v="Grip Seal Envelopes"/>
    <x v="2"/>
    <n v="524.78"/>
    <n v="20"/>
    <s v="Cash"/>
    <n v="3358.59"/>
  </r>
  <r>
    <s v="ORD1008"/>
    <d v="2025-03-06T00:00:00"/>
    <s v="Anna Davis"/>
    <s v="West"/>
    <s v="Office Supplies"/>
    <s v="Tyvek ® Top-Opening Peel &amp; Seel ® Envelopes, Gray"/>
    <x v="3"/>
    <n v="1320.84"/>
    <n v="5"/>
    <s v="Credit Card"/>
    <n v="6273.99"/>
  </r>
  <r>
    <s v="ORD1009"/>
    <d v="2023-10-30T00:00:00"/>
    <s v="Robin Hawkins"/>
    <s v="North"/>
    <s v="Office Supplies"/>
    <s v="Staples Gold Paper Clips"/>
    <x v="1"/>
    <n v="1630.84"/>
    <n v="5"/>
    <s v="UPI"/>
    <n v="6197.19"/>
  </r>
  <r>
    <s v="ORD1010"/>
    <d v="2025-01-18T00:00:00"/>
    <s v="Kristina Rivera"/>
    <s v="North"/>
    <s v="Technology"/>
    <s v="StarTAC 7797"/>
    <x v="2"/>
    <n v="1247.46"/>
    <n v="15"/>
    <s v="Credit Card"/>
    <n v="8482.73"/>
  </r>
  <r>
    <s v="ORD1011"/>
    <d v="2025-03-09T00:00:00"/>
    <s v="Hayden Ortega"/>
    <s v="North"/>
    <s v="Furniture"/>
    <s v="DAX Natural Wood-Tone Poster Frame"/>
    <x v="2"/>
    <n v="1726.15"/>
    <n v="0"/>
    <s v="Net Banking"/>
    <n v="13809.2"/>
  </r>
  <r>
    <s v="ORD1012"/>
    <d v="2025-07-04T00:00:00"/>
    <s v="Shawna Griffith"/>
    <s v="South"/>
    <s v="Technology"/>
    <s v="Hewlett Packard 6S Scientific Calculator"/>
    <x v="4"/>
    <n v="815.17"/>
    <n v="20"/>
    <s v="UPI"/>
    <n v="1956.41"/>
  </r>
  <r>
    <s v="ORD1013"/>
    <d v="2024-10-08T00:00:00"/>
    <s v="Lindsay Bell"/>
    <s v="South"/>
    <s v="Furniture"/>
    <s v="DAX Natural Wood-Tone Poster Frame"/>
    <x v="5"/>
    <n v="1914.63"/>
    <n v="0"/>
    <s v="Credit Card"/>
    <n v="11487.78"/>
  </r>
  <r>
    <s v="ORD1014"/>
    <d v="2023-10-18T00:00:00"/>
    <s v="Christy Douglas"/>
    <s v="North"/>
    <s v="Office Supplies"/>
    <s v="Advantus Plastic Paper Clips"/>
    <x v="3"/>
    <n v="309.63"/>
    <n v="5"/>
    <s v="Credit Card"/>
    <n v="1470.74"/>
  </r>
  <r>
    <s v="ORD1015"/>
    <d v="2024-11-12T00:00:00"/>
    <s v="Brian Bruce"/>
    <s v="South"/>
    <s v="Technology"/>
    <s v="Hewlett Packard 6S Scientific Calculator"/>
    <x v="6"/>
    <n v="249.19"/>
    <n v="20"/>
    <s v="Credit Card"/>
    <n v="398.7"/>
  </r>
  <r>
    <s v="ORD1016"/>
    <d v="2024-07-04T00:00:00"/>
    <s v="Phillip Andrews"/>
    <s v="West"/>
    <s v="Office Supplies"/>
    <s v="Xerox 194"/>
    <x v="2"/>
    <n v="1334.45"/>
    <n v="0"/>
    <s v="Credit Card"/>
    <n v="10675.6"/>
  </r>
  <r>
    <s v="ORD1017"/>
    <d v="2023-09-05T00:00:00"/>
    <s v="Sarah Villegas"/>
    <s v="South"/>
    <s v="Office Supplies"/>
    <s v="Newell 323"/>
    <x v="5"/>
    <n v="1888.52"/>
    <n v="10"/>
    <s v="Credit Card"/>
    <n v="10198.01"/>
  </r>
  <r>
    <s v="ORD1018"/>
    <d v="2023-09-04T00:00:00"/>
    <s v="Lisa Day"/>
    <s v="West"/>
    <s v="Furniture"/>
    <s v="Eldon Image Series Black Desk Accessories"/>
    <x v="6"/>
    <n v="1627.32"/>
    <n v="15"/>
    <s v="Credit Card"/>
    <n v="2766.44"/>
  </r>
  <r>
    <s v="ORD1019"/>
    <d v="2023-10-23T00:00:00"/>
    <s v="Timothy Gallegos"/>
    <s v="East"/>
    <s v="Office Supplies"/>
    <s v="Hunt Boston® Vacuum Mount KS Pencil Sharpener"/>
    <x v="3"/>
    <n v="199.01"/>
    <n v="15"/>
    <s v="Net Banking"/>
    <n v="845.79"/>
  </r>
  <r>
    <s v="ORD1020"/>
    <d v="2024-01-28T00:00:00"/>
    <s v="Christopher Park"/>
    <s v="North"/>
    <s v="Technology"/>
    <s v="Canon P1-DHIII Palm Printing Calculator"/>
    <x v="7"/>
    <n v="594.77"/>
    <n v="10"/>
    <s v="Net Banking"/>
    <n v="535.29"/>
  </r>
  <r>
    <s v="ORD1021"/>
    <d v="2024-02-08T00:00:00"/>
    <s v="Gerald Smith"/>
    <s v="South"/>
    <s v="Technology"/>
    <s v="StarTAC 3000"/>
    <x v="5"/>
    <n v="1864.12"/>
    <n v="5"/>
    <s v="Net Banking"/>
    <n v="10625.48"/>
  </r>
  <r>
    <s v="ORD1022"/>
    <d v="2024-09-07T00:00:00"/>
    <s v="Kylie Morales"/>
    <s v="West"/>
    <s v="Technology"/>
    <s v="TimeportP7382"/>
    <x v="8"/>
    <n v="543.46"/>
    <n v="20"/>
    <s v="Credit Card"/>
    <n v="3912.91"/>
  </r>
  <r>
    <s v="ORD1023"/>
    <d v="2024-11-21T00:00:00"/>
    <s v="Mark Johnson"/>
    <s v="East"/>
    <s v="Office Supplies"/>
    <s v="Storex DuraTech Recycled Plastic Frosted Binders"/>
    <x v="7"/>
    <n v="1573.28"/>
    <n v="15"/>
    <s v="UPI"/>
    <n v="1337.29"/>
  </r>
  <r>
    <s v="ORD1024"/>
    <d v="2023-09-01T00:00:00"/>
    <s v="Cindy Barnes"/>
    <s v="East"/>
    <s v="Office Supplies"/>
    <s v="Newell 338"/>
    <x v="4"/>
    <n v="1659.01"/>
    <n v="10"/>
    <s v="Net Banking"/>
    <n v="4479.33"/>
  </r>
  <r>
    <s v="ORD1025"/>
    <d v="2024-10-20T00:00:00"/>
    <s v="Jacob Griffith"/>
    <s v="South"/>
    <s v="Technology"/>
    <s v="AT&amp;T 2230 Dual Handset Phone With Caller ID/Call Waiting"/>
    <x v="0"/>
    <n v="1016.13"/>
    <n v="10"/>
    <s v="Cash"/>
    <n v="6401.62"/>
  </r>
  <r>
    <s v="ORD1026"/>
    <d v="2024-01-13T00:00:00"/>
    <s v="Latoya Miller"/>
    <s v="South"/>
    <s v="Technology"/>
    <s v="6160"/>
    <x v="1"/>
    <n v="803.38"/>
    <n v="5"/>
    <s v="Cash"/>
    <n v="3052.84"/>
  </r>
  <r>
    <s v="ORD1027"/>
    <d v="2025-02-18T00:00:00"/>
    <s v="Christopher Williamson"/>
    <s v="East"/>
    <s v="Technology"/>
    <s v="Okidata Pacemark 4410N Wide Format Dot Matrix Printer"/>
    <x v="8"/>
    <n v="927.74"/>
    <n v="5"/>
    <s v="Credit Card"/>
    <n v="7932.18"/>
  </r>
  <r>
    <s v="ORD1028"/>
    <d v="2024-12-28T00:00:00"/>
    <s v="Denise Stanley"/>
    <s v="North"/>
    <s v="Office Supplies"/>
    <s v="Xerox 1903"/>
    <x v="4"/>
    <n v="492.58"/>
    <n v="0"/>
    <s v="UPI"/>
    <n v="1477.74"/>
  </r>
  <r>
    <s v="ORD1029"/>
    <d v="2025-02-06T00:00:00"/>
    <s v="Mr. Donald Fischer"/>
    <s v="North"/>
    <s v="Office Supplies"/>
    <s v="Durable Pressboard Binders"/>
    <x v="3"/>
    <n v="1784.31"/>
    <n v="15"/>
    <s v="Net Banking"/>
    <n v="7583.32"/>
  </r>
  <r>
    <s v="ORD1030"/>
    <d v="2024-10-08T00:00:00"/>
    <s v="Jeffrey Campbell"/>
    <s v="West"/>
    <s v="Office Supplies"/>
    <s v="Newell 310"/>
    <x v="4"/>
    <n v="928.71"/>
    <n v="0"/>
    <s v="Credit Card"/>
    <n v="2786.13"/>
  </r>
  <r>
    <s v="ORD1031"/>
    <d v="2024-07-02T00:00:00"/>
    <s v="Katelyn Estrada"/>
    <s v="North"/>
    <s v="Office Supplies"/>
    <s v="Xerox 193"/>
    <x v="0"/>
    <n v="1770.8"/>
    <n v="10"/>
    <s v="UPI"/>
    <n v="11156.04"/>
  </r>
  <r>
    <s v="ORD1032"/>
    <d v="2024-01-30T00:00:00"/>
    <s v="James Greene"/>
    <s v="East"/>
    <s v="Office Supplies"/>
    <s v="Snap-A-Way® Black Print Carbonless Speed Message, No Reply Area, Duplicate"/>
    <x v="3"/>
    <n v="256.10000000000002"/>
    <n v="20"/>
    <s v="Cash"/>
    <n v="1024.4000000000001"/>
  </r>
  <r>
    <s v="ORD1033"/>
    <d v="2024-07-25T00:00:00"/>
    <s v="Eric Clark"/>
    <s v="East"/>
    <s v="Office Supplies"/>
    <s v="Avery 501"/>
    <x v="8"/>
    <n v="1977.14"/>
    <n v="20"/>
    <s v="Net Banking"/>
    <n v="14235.41"/>
  </r>
  <r>
    <s v="ORD1034"/>
    <d v="2024-11-11T00:00:00"/>
    <s v="David Murphy"/>
    <s v="East"/>
    <s v="Technology"/>
    <s v="5165"/>
    <x v="0"/>
    <n v="914.38"/>
    <n v="5"/>
    <s v="Credit Card"/>
    <n v="6080.63"/>
  </r>
  <r>
    <s v="ORD1035"/>
    <d v="2024-03-15T00:00:00"/>
    <s v="Paul Thompson"/>
    <s v="North"/>
    <s v="Office Supplies"/>
    <s v="Dual Level, Single-Width Filing Carts"/>
    <x v="6"/>
    <n v="143.27000000000001"/>
    <n v="20"/>
    <s v="Credit Card"/>
    <n v="229.23"/>
  </r>
  <r>
    <s v="ORD1036"/>
    <d v="2025-05-01T00:00:00"/>
    <s v="Michael Mason"/>
    <s v="West"/>
    <s v="Furniture"/>
    <s v="Hon 4070 Series Pagoda™ Armless Upholstered Stacking Chairs"/>
    <x v="1"/>
    <n v="124.14"/>
    <n v="20"/>
    <s v="UPI"/>
    <n v="397.25"/>
  </r>
  <r>
    <s v="ORD1037"/>
    <d v="2025-06-17T00:00:00"/>
    <s v="Renee Jones"/>
    <s v="North"/>
    <s v="Furniture"/>
    <s v="Hon Valutask™ Swivel Chairs"/>
    <x v="8"/>
    <n v="1505.1"/>
    <n v="20"/>
    <s v="Credit Card"/>
    <n v="10836.72"/>
  </r>
  <r>
    <s v="ORD1038"/>
    <d v="2023-08-17T00:00:00"/>
    <s v="Amanda Smith"/>
    <s v="West"/>
    <s v="Office Supplies"/>
    <s v="Dual Level, Single-Width Filing Carts"/>
    <x v="6"/>
    <n v="1335.12"/>
    <n v="10"/>
    <s v="Credit Card"/>
    <n v="2403.2199999999998"/>
  </r>
  <r>
    <s v="ORD1039"/>
    <d v="2025-03-23T00:00:00"/>
    <s v="Shannon Johnston"/>
    <s v="North"/>
    <s v="Furniture"/>
    <s v="Global High-Back Leather Tilter, Burgundy"/>
    <x v="8"/>
    <n v="1614.15"/>
    <n v="20"/>
    <s v="Net Banking"/>
    <n v="11621.88"/>
  </r>
  <r>
    <s v="ORD1040"/>
    <d v="2025-04-28T00:00:00"/>
    <s v="Michelle Butler"/>
    <s v="East"/>
    <s v="Furniture"/>
    <s v="Global High-Back Leather Tilter, Burgundy"/>
    <x v="3"/>
    <n v="255.47"/>
    <n v="20"/>
    <s v="Cash"/>
    <n v="1021.88"/>
  </r>
  <r>
    <s v="ORD1041"/>
    <d v="2023-12-14T00:00:00"/>
    <s v="Alex Nguyen"/>
    <s v="East"/>
    <s v="Furniture"/>
    <s v="Hon 94000 Series Round Tables"/>
    <x v="6"/>
    <n v="119.36"/>
    <n v="20"/>
    <s v="Cash"/>
    <n v="190.98"/>
  </r>
  <r>
    <s v="ORD1042"/>
    <d v="2025-02-04T00:00:00"/>
    <s v="Lisa Collier"/>
    <s v="South"/>
    <s v="Furniture"/>
    <s v="6&quot; Cubicle Wall Clock, Black"/>
    <x v="1"/>
    <n v="1041.73"/>
    <n v="0"/>
    <s v="UPI"/>
    <n v="4166.92"/>
  </r>
  <r>
    <s v="ORD1043"/>
    <d v="2024-07-05T00:00:00"/>
    <s v="Anita Richard"/>
    <s v="North"/>
    <s v="Office Supplies"/>
    <s v="GBC DocuBind TL300 Electric Binding System"/>
    <x v="0"/>
    <n v="805.81"/>
    <n v="10"/>
    <s v="Cash"/>
    <n v="5076.6000000000004"/>
  </r>
  <r>
    <s v="ORD1044"/>
    <d v="2024-05-02T00:00:00"/>
    <s v="Kevin Warren"/>
    <s v="North"/>
    <s v="Office Supplies"/>
    <s v="Fellowes Super Stor/Drawer® Files"/>
    <x v="2"/>
    <n v="950.8"/>
    <n v="5"/>
    <s v="UPI"/>
    <n v="7226.08"/>
  </r>
  <r>
    <s v="ORD1045"/>
    <d v="2024-03-14T00:00:00"/>
    <s v="Eric Morgan"/>
    <s v="South"/>
    <s v="Office Supplies"/>
    <s v="Avery 493"/>
    <x v="4"/>
    <n v="1983.6"/>
    <n v="0"/>
    <s v="Net Banking"/>
    <n v="5950.8"/>
  </r>
  <r>
    <s v="ORD1046"/>
    <d v="2023-12-10T00:00:00"/>
    <s v="Christopher Dixon"/>
    <s v="East"/>
    <s v="Furniture"/>
    <s v="Hon 94000 Series Round Tables"/>
    <x v="7"/>
    <n v="1942.96"/>
    <n v="15"/>
    <s v="UPI"/>
    <n v="1651.52"/>
  </r>
  <r>
    <s v="ORD1047"/>
    <d v="2024-01-26T00:00:00"/>
    <s v="Jordan Bullock"/>
    <s v="North"/>
    <s v="Office Supplies"/>
    <s v="Prismacolor Color Pencil Set"/>
    <x v="1"/>
    <n v="1887.52"/>
    <n v="10"/>
    <s v="Cash"/>
    <n v="6795.07"/>
  </r>
  <r>
    <s v="ORD1048"/>
    <d v="2025-03-27T00:00:00"/>
    <s v="Nicholas Fuentes"/>
    <s v="South"/>
    <s v="Office Supplies"/>
    <s v="Array® Memo Cubes"/>
    <x v="6"/>
    <n v="1578.49"/>
    <n v="10"/>
    <s v="Credit Card"/>
    <n v="2841.28"/>
  </r>
  <r>
    <s v="ORD1049"/>
    <d v="2024-04-29T00:00:00"/>
    <s v="Cynthia Thomas"/>
    <s v="North"/>
    <s v="Technology"/>
    <s v="2180"/>
    <x v="2"/>
    <n v="741.94"/>
    <n v="15"/>
    <s v="Net Banking"/>
    <n v="5045.1899999999996"/>
  </r>
  <r>
    <s v="ORD1050"/>
    <d v="2023-10-30T00:00:00"/>
    <s v="Lance Wolf"/>
    <s v="West"/>
    <s v="Office Supplies"/>
    <s v="REDIFORM Incoming/Outgoing Call Register, 11&quot; X 8 1/2&quot;, 100 Messages"/>
    <x v="1"/>
    <n v="853.66"/>
    <n v="15"/>
    <s v="Cash"/>
    <n v="2902.44"/>
  </r>
  <r>
    <s v="ORD1051"/>
    <d v="2023-10-23T00:00:00"/>
    <s v="Cassandra Mejia"/>
    <s v="East"/>
    <s v="Office Supplies"/>
    <s v="Xerox 1897"/>
    <x v="6"/>
    <n v="1121.75"/>
    <n v="15"/>
    <s v="Net Banking"/>
    <n v="1906.98"/>
  </r>
  <r>
    <s v="ORD1052"/>
    <d v="2024-06-02T00:00:00"/>
    <s v="Paul Wolf MD"/>
    <s v="West"/>
    <s v="Office Supplies"/>
    <s v="Acme® 8&quot; Straight Scissors"/>
    <x v="5"/>
    <n v="1669.54"/>
    <n v="5"/>
    <s v="UPI"/>
    <n v="9516.3799999999992"/>
  </r>
  <r>
    <s v="ORD1053"/>
    <d v="2023-10-26T00:00:00"/>
    <s v="Kristy Reid"/>
    <s v="East"/>
    <s v="Furniture"/>
    <s v="Office Star - Mid Back Dual function Ergonomic High Back Chair with 2-Way Adjustable Arms"/>
    <x v="5"/>
    <n v="183.99"/>
    <n v="20"/>
    <s v="Cash"/>
    <n v="883.15"/>
  </r>
  <r>
    <s v="ORD1054"/>
    <d v="2024-05-16T00:00:00"/>
    <s v="Sharon Burton"/>
    <s v="South"/>
    <s v="Technology"/>
    <s v="Belkin 107-key enhanced keyboard, USB/PS/2 interface"/>
    <x v="1"/>
    <n v="877.38"/>
    <n v="10"/>
    <s v="Credit Card"/>
    <n v="3158.57"/>
  </r>
  <r>
    <s v="ORD1055"/>
    <d v="2025-05-31T00:00:00"/>
    <s v="Barry Ramos"/>
    <s v="East"/>
    <s v="Furniture"/>
    <s v="Office Star - Mid Back Dual function Ergonomic High Back Chair with 2-Way Adjustable Arms"/>
    <x v="5"/>
    <n v="211.1"/>
    <n v="20"/>
    <s v="Credit Card"/>
    <n v="1013.28"/>
  </r>
  <r>
    <s v="ORD1056"/>
    <d v="2024-05-05T00:00:00"/>
    <s v="Donald Brown"/>
    <s v="East"/>
    <s v="Technology"/>
    <s v="5185"/>
    <x v="6"/>
    <n v="1053.58"/>
    <n v="20"/>
    <s v="Credit Card"/>
    <n v="1685.73"/>
  </r>
  <r>
    <s v="ORD1057"/>
    <d v="2024-11-22T00:00:00"/>
    <s v="Emily Hayes"/>
    <s v="South"/>
    <s v="Technology"/>
    <s v="Belkin 105-Key Black Keyboard"/>
    <x v="6"/>
    <n v="1802.86"/>
    <n v="15"/>
    <s v="Credit Card"/>
    <n v="3064.86"/>
  </r>
  <r>
    <s v="ORD1058"/>
    <d v="2024-03-04T00:00:00"/>
    <s v="Ronald Jones"/>
    <s v="East"/>
    <s v="Furniture"/>
    <s v="Atlantic Metals Mobile 5-Shelf Bookcases, Custom Colors"/>
    <x v="1"/>
    <n v="1575.85"/>
    <n v="5"/>
    <s v="Net Banking"/>
    <n v="5988.23"/>
  </r>
  <r>
    <s v="ORD1059"/>
    <d v="2025-04-29T00:00:00"/>
    <s v="Savannah Gilbert"/>
    <s v="North"/>
    <s v="Technology"/>
    <s v="Belkin 105-Key Black Keyboard"/>
    <x v="2"/>
    <n v="494.29"/>
    <n v="0"/>
    <s v="Cash"/>
    <n v="3954.32"/>
  </r>
  <r>
    <s v="ORD1060"/>
    <d v="2023-09-14T00:00:00"/>
    <s v="Julie Spencer"/>
    <s v="South"/>
    <s v="Office Supplies"/>
    <s v="Avery Durable Binders"/>
    <x v="0"/>
    <n v="1953.18"/>
    <n v="5"/>
    <s v="Credit Card"/>
    <n v="12988.65"/>
  </r>
  <r>
    <s v="ORD1061"/>
    <d v="2025-02-28T00:00:00"/>
    <s v="Stephanie Cole"/>
    <s v="South"/>
    <s v="Furniture"/>
    <s v="Atlantic Metals Mobile 5-Shelf Bookcases, Custom Colors"/>
    <x v="8"/>
    <n v="1351.33"/>
    <n v="20"/>
    <s v="Credit Card"/>
    <n v="9729.58"/>
  </r>
  <r>
    <s v="ORD1062"/>
    <d v="2024-08-02T00:00:00"/>
    <s v="Marissa Morris"/>
    <s v="South"/>
    <s v="Office Supplies"/>
    <s v="Avery Durable Binders"/>
    <x v="2"/>
    <n v="70.33"/>
    <n v="5"/>
    <s v="Credit Card"/>
    <n v="534.51"/>
  </r>
  <r>
    <s v="ORD1063"/>
    <d v="2024-10-01T00:00:00"/>
    <s v="Chris Brown"/>
    <s v="West"/>
    <s v="Office Supplies"/>
    <s v="Dixon Prang® Watercolor Pencils, 10-Color Set with Brush"/>
    <x v="3"/>
    <n v="548.05999999999995"/>
    <n v="15"/>
    <s v="UPI"/>
    <n v="2329.25"/>
  </r>
  <r>
    <s v="ORD1064"/>
    <d v="2023-11-16T00:00:00"/>
    <s v="Steven Cooper"/>
    <s v="West"/>
    <s v="Office Supplies"/>
    <s v="Avery 493"/>
    <x v="6"/>
    <n v="558.39"/>
    <n v="0"/>
    <s v="Cash"/>
    <n v="1116.78"/>
  </r>
  <r>
    <s v="ORD1065"/>
    <d v="2025-07-28T00:00:00"/>
    <s v="Kathy Thompson"/>
    <s v="East"/>
    <s v="Office Supplies"/>
    <s v="EcoTones® Memo Sheets"/>
    <x v="3"/>
    <n v="185.05"/>
    <n v="15"/>
    <s v="Net Banking"/>
    <n v="786.46"/>
  </r>
  <r>
    <s v="ORD1066"/>
    <d v="2024-06-01T00:00:00"/>
    <s v="Jeffrey Gonzales"/>
    <s v="South"/>
    <s v="Technology"/>
    <s v="Fuji Slim Jewel Case CD-R"/>
    <x v="2"/>
    <n v="1921.66"/>
    <n v="0"/>
    <s v="UPI"/>
    <n v="15373.28"/>
  </r>
  <r>
    <s v="ORD1067"/>
    <d v="2023-10-12T00:00:00"/>
    <s v="Caitlin Watson"/>
    <s v="East"/>
    <s v="Office Supplies"/>
    <s v="Dixon Prang® Watercolor Pencils, 10-Color Set with Brush"/>
    <x v="8"/>
    <n v="982.6"/>
    <n v="20"/>
    <s v="UPI"/>
    <n v="7074.72"/>
  </r>
  <r>
    <s v="ORD1068"/>
    <d v="2024-10-13T00:00:00"/>
    <s v="Jason Morgan"/>
    <s v="North"/>
    <s v="Office Supplies"/>
    <s v="Avery 493"/>
    <x v="8"/>
    <n v="1796.84"/>
    <n v="0"/>
    <s v="Net Banking"/>
    <n v="16171.56"/>
  </r>
  <r>
    <s v="ORD1069"/>
    <d v="2024-03-26T00:00:00"/>
    <s v="Rachel Holland"/>
    <s v="South"/>
    <s v="Office Supplies"/>
    <s v="EcoTones® Memo Sheets"/>
    <x v="7"/>
    <n v="678.32"/>
    <n v="0"/>
    <s v="Credit Card"/>
    <n v="678.32"/>
  </r>
  <r>
    <s v="ORD1070"/>
    <d v="2025-05-17T00:00:00"/>
    <s v="Brandon Gregory"/>
    <s v="North"/>
    <s v="Technology"/>
    <s v="Fuji Slim Jewel Case CD-R"/>
    <x v="8"/>
    <n v="294.20999999999998"/>
    <n v="0"/>
    <s v="Credit Card"/>
    <n v="2647.89"/>
  </r>
  <r>
    <s v="ORD1071"/>
    <d v="2024-12-12T00:00:00"/>
    <s v="Nathaniel Douglas"/>
    <s v="East"/>
    <s v="Office Supplies"/>
    <s v="Avery 51"/>
    <x v="0"/>
    <n v="974.96"/>
    <n v="5"/>
    <s v="Cash"/>
    <n v="6483.48"/>
  </r>
  <r>
    <s v="ORD1072"/>
    <d v="2024-12-04T00:00:00"/>
    <s v="Shelley Cook"/>
    <s v="West"/>
    <s v="Technology"/>
    <s v="6185"/>
    <x v="8"/>
    <n v="272.22000000000003"/>
    <n v="5"/>
    <s v="Credit Card"/>
    <n v="2327.48"/>
  </r>
  <r>
    <s v="ORD1073"/>
    <d v="2025-06-29T00:00:00"/>
    <s v="Brenda Bailey"/>
    <s v="East"/>
    <s v="Office Supplies"/>
    <s v="Acme® Office Executive Series Stainless Steel Trimmers"/>
    <x v="2"/>
    <n v="997.73"/>
    <n v="20"/>
    <s v="UPI"/>
    <n v="6385.47"/>
  </r>
  <r>
    <s v="ORD1074"/>
    <d v="2025-06-11T00:00:00"/>
    <s v="Melissa Myers"/>
    <s v="North"/>
    <s v="Furniture"/>
    <s v="Eldon Regeneration Recycled Desk Accessories, Smoke"/>
    <x v="7"/>
    <n v="1844.58"/>
    <n v="0"/>
    <s v="UPI"/>
    <n v="1844.58"/>
  </r>
  <r>
    <s v="ORD1075"/>
    <d v="2024-05-18T00:00:00"/>
    <s v="Teresa Collins"/>
    <s v="South"/>
    <s v="Office Supplies"/>
    <s v="#10-4 1/8&quot; x 9 1/2&quot; Premium Diagonal Seam Envelopes"/>
    <x v="2"/>
    <n v="1065.5"/>
    <n v="10"/>
    <s v="UPI"/>
    <n v="7671.6"/>
  </r>
  <r>
    <s v="ORD1076"/>
    <d v="2024-11-02T00:00:00"/>
    <s v="Rickey Li"/>
    <s v="East"/>
    <s v="Office Supplies"/>
    <s v="Xerox 1939"/>
    <x v="2"/>
    <n v="1252.17"/>
    <n v="20"/>
    <s v="Net Banking"/>
    <n v="8013.89"/>
  </r>
  <r>
    <s v="ORD1077"/>
    <d v="2024-01-08T00:00:00"/>
    <s v="Sandra Rodgers"/>
    <s v="South"/>
    <s v="Office Supplies"/>
    <s v="Fiskars® Softgrip Scissors"/>
    <x v="4"/>
    <n v="355.44"/>
    <n v="0"/>
    <s v="Credit Card"/>
    <n v="1066.32"/>
  </r>
  <r>
    <s v="ORD1078"/>
    <d v="2025-02-09T00:00:00"/>
    <s v="Kelsey Lucas"/>
    <s v="West"/>
    <s v="Office Supplies"/>
    <s v="Xerox 1964"/>
    <x v="7"/>
    <n v="135.28"/>
    <n v="0"/>
    <s v="Credit Card"/>
    <n v="135.28"/>
  </r>
  <r>
    <s v="ORD1079"/>
    <d v="2023-10-05T00:00:00"/>
    <s v="Ivan Cox"/>
    <s v="West"/>
    <s v="Office Supplies"/>
    <s v="Fiskars® Softgrip Scissors"/>
    <x v="2"/>
    <n v="266.08"/>
    <n v="5"/>
    <s v="Credit Card"/>
    <n v="2022.21"/>
  </r>
  <r>
    <s v="ORD1080"/>
    <d v="2023-09-16T00:00:00"/>
    <s v="Daniel Meza"/>
    <s v="West"/>
    <s v="Office Supplies"/>
    <s v="Wirebound Message Books, 2 7/8&quot; x 5&quot;, 3 Forms per Page"/>
    <x v="4"/>
    <n v="1217.1400000000001"/>
    <n v="20"/>
    <s v="Credit Card"/>
    <n v="2921.14"/>
  </r>
  <r>
    <s v="ORD1081"/>
    <d v="2025-01-06T00:00:00"/>
    <s v="Mr. Chad Jones"/>
    <s v="South"/>
    <s v="Furniture"/>
    <s v="Laminate Occasional Tables"/>
    <x v="4"/>
    <n v="235.27"/>
    <n v="0"/>
    <s v="Cash"/>
    <n v="705.81"/>
  </r>
  <r>
    <s v="ORD1082"/>
    <d v="2024-02-05T00:00:00"/>
    <s v="Ashley Wise"/>
    <s v="East"/>
    <s v="Furniture"/>
    <s v="Tenex B1-RE Series Chair Mats for Low Pile Carpets"/>
    <x v="7"/>
    <n v="783.19"/>
    <n v="0"/>
    <s v="Cash"/>
    <n v="783.19"/>
  </r>
  <r>
    <s v="ORD1083"/>
    <d v="2025-04-03T00:00:00"/>
    <s v="Sophia Johnson"/>
    <s v="South"/>
    <s v="Furniture"/>
    <s v="Global Ergonomic Managers Chair"/>
    <x v="3"/>
    <n v="1122.68"/>
    <n v="20"/>
    <s v="UPI"/>
    <n v="4490.72"/>
  </r>
  <r>
    <s v="ORD1084"/>
    <d v="2024-03-23T00:00:00"/>
    <s v="Ralph Anderson"/>
    <s v="South"/>
    <s v="Technology"/>
    <s v="PC Concepts 116 Key Quantum 3000 Keyboard"/>
    <x v="0"/>
    <n v="807.87"/>
    <n v="10"/>
    <s v="UPI"/>
    <n v="5089.58"/>
  </r>
  <r>
    <s v="ORD1085"/>
    <d v="2023-10-12T00:00:00"/>
    <s v="Christopher Guerra"/>
    <s v="East"/>
    <s v="Office Supplies"/>
    <s v="Wausau Papers Astrobrights® Colored Envelopes"/>
    <x v="8"/>
    <n v="369.18"/>
    <n v="20"/>
    <s v="Net Banking"/>
    <n v="2658.1"/>
  </r>
  <r>
    <s v="ORD1086"/>
    <d v="2025-06-06T00:00:00"/>
    <s v="Rhonda Martin"/>
    <s v="West"/>
    <s v="Office Supplies"/>
    <s v="Newell 335"/>
    <x v="0"/>
    <n v="583.89"/>
    <n v="20"/>
    <s v="UPI"/>
    <n v="3269.78"/>
  </r>
  <r>
    <s v="ORD1087"/>
    <d v="2024-02-08T00:00:00"/>
    <s v="Jason Rhodes"/>
    <s v="West"/>
    <s v="Furniture"/>
    <s v="Eldon Cleatmat Plus™ Chair Mats for High Pile Carpets"/>
    <x v="8"/>
    <n v="1860.22"/>
    <n v="10"/>
    <s v="Credit Card"/>
    <n v="15067.78"/>
  </r>
  <r>
    <s v="ORD1088"/>
    <d v="2025-06-15T00:00:00"/>
    <s v="Jeremy Mitchell"/>
    <s v="East"/>
    <s v="Technology"/>
    <s v="StarTAC Analog"/>
    <x v="2"/>
    <n v="1368.17"/>
    <n v="20"/>
    <s v="UPI"/>
    <n v="8756.2900000000009"/>
  </r>
  <r>
    <s v="ORD1089"/>
    <d v="2023-10-29T00:00:00"/>
    <s v="Joann Ferguson"/>
    <s v="South"/>
    <s v="Technology"/>
    <s v="Microsoft Natural Keyboard Elite"/>
    <x v="6"/>
    <n v="1017.29"/>
    <n v="0"/>
    <s v="UPI"/>
    <n v="2034.58"/>
  </r>
  <r>
    <s v="ORD1090"/>
    <d v="2024-06-02T00:00:00"/>
    <s v="Robert Harrison"/>
    <s v="South"/>
    <s v="Technology"/>
    <s v="T60"/>
    <x v="7"/>
    <n v="74.790000000000006"/>
    <n v="20"/>
    <s v="Cash"/>
    <n v="59.83"/>
  </r>
  <r>
    <s v="ORD1091"/>
    <d v="2024-03-14T00:00:00"/>
    <s v="Holly Valentine"/>
    <s v="West"/>
    <s v="Office Supplies"/>
    <s v="Belkin 6 Outlet Metallic Surge Strip"/>
    <x v="0"/>
    <n v="1985.21"/>
    <n v="10"/>
    <s v="Credit Card"/>
    <n v="12506.82"/>
  </r>
  <r>
    <s v="ORD1092"/>
    <d v="2024-07-29T00:00:00"/>
    <s v="Mrs. Diane Reyes"/>
    <s v="North"/>
    <s v="Furniture"/>
    <s v="Bush Westfield Collection Bookcases, Fully Assembled"/>
    <x v="0"/>
    <n v="1359.34"/>
    <n v="15"/>
    <s v="Net Banking"/>
    <n v="8088.07"/>
  </r>
  <r>
    <s v="ORD1093"/>
    <d v="2024-12-17T00:00:00"/>
    <s v="Tracy Montoya"/>
    <s v="North"/>
    <s v="Office Supplies"/>
    <s v="Xerox 1952"/>
    <x v="2"/>
    <n v="668"/>
    <n v="20"/>
    <s v="Net Banking"/>
    <n v="4275.2"/>
  </r>
  <r>
    <s v="ORD1094"/>
    <d v="2025-05-20T00:00:00"/>
    <s v="Brenda Wright"/>
    <s v="North"/>
    <s v="Technology"/>
    <s v="Okidata ML320 Series Turbo Dot Matrix Printers"/>
    <x v="3"/>
    <n v="1764.57"/>
    <n v="5"/>
    <s v="Net Banking"/>
    <n v="8381.7099999999991"/>
  </r>
  <r>
    <s v="ORD1095"/>
    <d v="2024-05-21T00:00:00"/>
    <s v="Shelly Spencer"/>
    <s v="South"/>
    <s v="Technology"/>
    <s v="Fellowes Mobile Numeric Keypad, Graphite"/>
    <x v="4"/>
    <n v="553.94000000000005"/>
    <n v="0"/>
    <s v="UPI"/>
    <n v="1661.82"/>
  </r>
  <r>
    <s v="ORD1096"/>
    <d v="2023-12-16T00:00:00"/>
    <s v="Ryan Rosales"/>
    <s v="South"/>
    <s v="Technology"/>
    <s v="Polycom ViaVideo™ Desktop Video Communications Unit"/>
    <x v="2"/>
    <n v="1110.83"/>
    <n v="0"/>
    <s v="Net Banking"/>
    <n v="8886.64"/>
  </r>
  <r>
    <s v="ORD1097"/>
    <d v="2024-05-25T00:00:00"/>
    <s v="Phillip Nelson"/>
    <s v="West"/>
    <s v="Office Supplies"/>
    <s v="Staples Wirebound Steno Books, 6&quot; x 9&quot;, 12/Pack"/>
    <x v="5"/>
    <n v="1290.3399999999999"/>
    <n v="5"/>
    <s v="Net Banking"/>
    <n v="7354.94"/>
  </r>
  <r>
    <s v="ORD1098"/>
    <d v="2024-05-13T00:00:00"/>
    <s v="Brittany Kim"/>
    <s v="North"/>
    <s v="Office Supplies"/>
    <s v="Staples® General Use 3-Ring Binders"/>
    <x v="4"/>
    <n v="481.07"/>
    <n v="5"/>
    <s v="Net Banking"/>
    <n v="1371.05"/>
  </r>
  <r>
    <s v="ORD1099"/>
    <d v="2024-01-21T00:00:00"/>
    <s v="Courtney Hayes"/>
    <s v="West"/>
    <s v="Technology"/>
    <s v="Zoom V.92 USB External Faxmodem"/>
    <x v="7"/>
    <n v="1957.87"/>
    <n v="20"/>
    <s v="Cash"/>
    <n v="1566.3"/>
  </r>
  <r>
    <s v="ORD1100"/>
    <d v="2025-01-13T00:00:00"/>
    <s v="Alexander Brown"/>
    <s v="West"/>
    <s v="Office Supplies"/>
    <s v="Newell 323"/>
    <x v="4"/>
    <n v="1508.97"/>
    <n v="5"/>
    <s v="Credit Card"/>
    <n v="4300.5600000000004"/>
  </r>
  <r>
    <s v="ORD1101"/>
    <d v="2024-03-06T00:00:00"/>
    <s v="Cynthia Vang"/>
    <s v="West"/>
    <s v="Technology"/>
    <s v="Zoom V.92 USB External Faxmodem"/>
    <x v="3"/>
    <n v="1137.74"/>
    <n v="15"/>
    <s v="Cash"/>
    <n v="4835.3900000000003"/>
  </r>
  <r>
    <s v="ORD1102"/>
    <d v="2025-02-07T00:00:00"/>
    <s v="Alfred Galvan"/>
    <s v="East"/>
    <s v="Office Supplies"/>
    <s v="Riverleaf Stik-Withit® Designer Note Cubes®"/>
    <x v="4"/>
    <n v="402.16"/>
    <n v="10"/>
    <s v="Credit Card"/>
    <n v="1085.83"/>
  </r>
  <r>
    <s v="ORD1103"/>
    <d v="2025-08-08T00:00:00"/>
    <s v="Marie Moody"/>
    <s v="North"/>
    <s v="Office Supplies"/>
    <s v="Newell 323"/>
    <x v="7"/>
    <n v="155.02000000000001"/>
    <n v="5"/>
    <s v="Cash"/>
    <n v="147.27000000000001"/>
  </r>
  <r>
    <s v="ORD1104"/>
    <d v="2025-01-23T00:00:00"/>
    <s v="Dustin Gallegos"/>
    <s v="North"/>
    <s v="Office Supplies"/>
    <s v="Avery Arch Ring Binders"/>
    <x v="3"/>
    <n v="674.12"/>
    <n v="5"/>
    <s v="Credit Card"/>
    <n v="3202.07"/>
  </r>
  <r>
    <s v="ORD1105"/>
    <d v="2024-12-27T00:00:00"/>
    <s v="Brenda Thornton"/>
    <s v="East"/>
    <s v="Office Supplies"/>
    <s v="APC 7 Outlet Network SurgeArrest Surge Protector"/>
    <x v="0"/>
    <n v="1518.72"/>
    <n v="15"/>
    <s v="Net Banking"/>
    <n v="9036.3799999999992"/>
  </r>
  <r>
    <s v="ORD1106"/>
    <d v="2023-10-06T00:00:00"/>
    <s v="Aaron Miller"/>
    <s v="East"/>
    <s v="Office Supplies"/>
    <s v="Durable Pressboard Binders"/>
    <x v="0"/>
    <n v="575.20000000000005"/>
    <n v="0"/>
    <s v="Net Banking"/>
    <n v="4026.4"/>
  </r>
  <r>
    <s v="ORD1107"/>
    <d v="2024-11-27T00:00:00"/>
    <s v="Ruben Dunn"/>
    <s v="North"/>
    <s v="Technology"/>
    <s v="Fellowes 17-key keypad for PS/2 interface"/>
    <x v="8"/>
    <n v="1102.1300000000001"/>
    <n v="0"/>
    <s v="Net Banking"/>
    <n v="9919.17"/>
  </r>
  <r>
    <s v="ORD1108"/>
    <d v="2024-12-17T00:00:00"/>
    <s v="Kelsey Rodriguez"/>
    <s v="East"/>
    <s v="Technology"/>
    <s v="StarTAC ST7762"/>
    <x v="4"/>
    <n v="1469.5"/>
    <n v="20"/>
    <s v="Cash"/>
    <n v="3526.8"/>
  </r>
  <r>
    <s v="ORD1109"/>
    <d v="2023-12-22T00:00:00"/>
    <s v="Eric Williams"/>
    <s v="West"/>
    <s v="Technology"/>
    <s v="Panasonic KX-P2130 Dot Matrix Printer"/>
    <x v="0"/>
    <n v="260.49"/>
    <n v="15"/>
    <s v="Net Banking"/>
    <n v="1549.92"/>
  </r>
  <r>
    <s v="ORD1110"/>
    <d v="2024-09-29T00:00:00"/>
    <s v="Riley Bryant"/>
    <s v="South"/>
    <s v="Office Supplies"/>
    <s v="Wilson Jones® Four-Pocket Poly Binders"/>
    <x v="7"/>
    <n v="1386.33"/>
    <n v="10"/>
    <s v="UPI"/>
    <n v="1247.7"/>
  </r>
  <r>
    <s v="ORD1111"/>
    <d v="2025-02-28T00:00:00"/>
    <s v="Taylor Carlson"/>
    <s v="West"/>
    <s v="Office Supplies"/>
    <s v="Xerox 1996"/>
    <x v="1"/>
    <n v="229.15"/>
    <n v="10"/>
    <s v="Credit Card"/>
    <n v="824.94"/>
  </r>
  <r>
    <s v="ORD1112"/>
    <d v="2024-02-18T00:00:00"/>
    <s v="Jose Allen"/>
    <s v="North"/>
    <s v="Office Supplies"/>
    <s v="Acco® Hot Clips™ Clips to Go"/>
    <x v="1"/>
    <n v="1932"/>
    <n v="15"/>
    <s v="Cash"/>
    <n v="6568.8"/>
  </r>
  <r>
    <s v="ORD1113"/>
    <d v="2023-12-16T00:00:00"/>
    <s v="Jeffrey Mendez"/>
    <s v="East"/>
    <s v="Office Supplies"/>
    <s v="Fellowes Super Stor/Drawer® Files"/>
    <x v="3"/>
    <n v="1002.37"/>
    <n v="10"/>
    <s v="Net Banking"/>
    <n v="4510.67"/>
  </r>
  <r>
    <s v="ORD1114"/>
    <d v="2024-08-05T00:00:00"/>
    <s v="Jason Beck"/>
    <s v="South"/>
    <s v="Office Supplies"/>
    <s v="Fellowes Super Stor/Drawer® Files"/>
    <x v="0"/>
    <n v="343.82"/>
    <n v="0"/>
    <s v="Net Banking"/>
    <n v="2406.7399999999998"/>
  </r>
  <r>
    <s v="ORD1115"/>
    <d v="2024-06-01T00:00:00"/>
    <s v="William Jones"/>
    <s v="North"/>
    <s v="Office Supplies"/>
    <s v="Xerox 1933"/>
    <x v="0"/>
    <n v="717.65"/>
    <n v="10"/>
    <s v="Credit Card"/>
    <n v="4521.2"/>
  </r>
  <r>
    <s v="ORD1116"/>
    <d v="2024-03-08T00:00:00"/>
    <s v="Katie Mcneil"/>
    <s v="East"/>
    <s v="Technology"/>
    <s v="Imation 3.5&quot; Unformatted DS/HD Diskettes, 10/Box"/>
    <x v="1"/>
    <n v="856.16"/>
    <n v="10"/>
    <s v="Net Banking"/>
    <n v="3082.18"/>
  </r>
  <r>
    <s v="ORD1117"/>
    <d v="2025-07-30T00:00:00"/>
    <s v="Jeanette Harrison"/>
    <s v="South"/>
    <s v="Office Supplies"/>
    <s v="Super Bands, 12/Pack"/>
    <x v="0"/>
    <n v="1528.46"/>
    <n v="15"/>
    <s v="Net Banking"/>
    <n v="9094.34"/>
  </r>
  <r>
    <s v="ORD1118"/>
    <d v="2024-12-21T00:00:00"/>
    <s v="Veronica King"/>
    <s v="South"/>
    <s v="Office Supplies"/>
    <s v="3M Organizer Strips"/>
    <x v="4"/>
    <n v="1499.68"/>
    <n v="15"/>
    <s v="Credit Card"/>
    <n v="3824.18"/>
  </r>
  <r>
    <s v="ORD1119"/>
    <d v="2025-01-27T00:00:00"/>
    <s v="Richard Cooper"/>
    <s v="East"/>
    <s v="Furniture"/>
    <s v="Seth Thomas 8 1/2&quot; Cubicle Clock"/>
    <x v="5"/>
    <n v="1243.28"/>
    <n v="10"/>
    <s v="Credit Card"/>
    <n v="6713.71"/>
  </r>
  <r>
    <s v="ORD1120"/>
    <d v="2024-10-17T00:00:00"/>
    <s v="Lori Ingram"/>
    <s v="South"/>
    <s v="Office Supplies"/>
    <s v="Newell 309"/>
    <x v="6"/>
    <n v="256.56"/>
    <n v="5"/>
    <s v="UPI"/>
    <n v="487.46"/>
  </r>
  <r>
    <s v="ORD1121"/>
    <d v="2024-01-29T00:00:00"/>
    <s v="Evelyn Williams"/>
    <s v="North"/>
    <s v="Office Supplies"/>
    <s v="Riverleaf Stik-Withit® Designer Note Cubes®"/>
    <x v="8"/>
    <n v="345.56"/>
    <n v="15"/>
    <s v="UPI"/>
    <n v="2643.53"/>
  </r>
  <r>
    <s v="ORD1122"/>
    <d v="2025-01-24T00:00:00"/>
    <s v="Robin Thompson"/>
    <s v="East"/>
    <s v="Technology"/>
    <s v="252"/>
    <x v="3"/>
    <n v="232.83"/>
    <n v="20"/>
    <s v="Credit Card"/>
    <n v="931.32"/>
  </r>
  <r>
    <s v="ORD1123"/>
    <d v="2024-04-19T00:00:00"/>
    <s v="Julie Dominguez"/>
    <s v="West"/>
    <s v="Office Supplies"/>
    <s v="Kleencut® Forged Office Shears by Acme United Corporation"/>
    <x v="5"/>
    <n v="1175.49"/>
    <n v="20"/>
    <s v="Cash"/>
    <n v="5642.35"/>
  </r>
  <r>
    <s v="ORD1124"/>
    <d v="2025-05-27T00:00:00"/>
    <s v="Robin Brown"/>
    <s v="North"/>
    <s v="Technology"/>
    <s v="Hewlett-Packard 2600DN Business Color Inkjet Printer"/>
    <x v="1"/>
    <n v="1760.42"/>
    <n v="0"/>
    <s v="UPI"/>
    <n v="7041.68"/>
  </r>
  <r>
    <s v="ORD1125"/>
    <d v="2025-03-30T00:00:00"/>
    <s v="Judith Carter"/>
    <s v="North"/>
    <s v="Furniture"/>
    <s v="Global Push Button Manager's Chair, Indigo"/>
    <x v="0"/>
    <n v="895.91"/>
    <n v="10"/>
    <s v="Credit Card"/>
    <n v="5644.23"/>
  </r>
  <r>
    <s v="ORD1126"/>
    <d v="2025-04-05T00:00:00"/>
    <s v="Curtis Williams"/>
    <s v="East"/>
    <s v="Office Supplies"/>
    <s v="Fellowes Black Plastic Comb Bindings"/>
    <x v="8"/>
    <n v="363.65"/>
    <n v="5"/>
    <s v="Net Banking"/>
    <n v="3109.21"/>
  </r>
  <r>
    <s v="ORD1127"/>
    <d v="2023-09-24T00:00:00"/>
    <s v="Kaylee Hays"/>
    <s v="East"/>
    <s v="Furniture"/>
    <s v="Eldon Expressions™ Desk Accessory, Wood Pencil Holder, Oak"/>
    <x v="0"/>
    <n v="1138.18"/>
    <n v="0"/>
    <s v="Cash"/>
    <n v="7967.26"/>
  </r>
  <r>
    <s v="ORD1128"/>
    <d v="2024-02-05T00:00:00"/>
    <s v="Dawn Mullins"/>
    <s v="South"/>
    <s v="Office Supplies"/>
    <s v="Sanyo 2.5 Cubic Foot Mid-Size Office Refrigerators"/>
    <x v="7"/>
    <n v="1632.92"/>
    <n v="10"/>
    <s v="Net Banking"/>
    <n v="1469.63"/>
  </r>
  <r>
    <s v="ORD1129"/>
    <d v="2025-05-11T00:00:00"/>
    <s v="Howard Norman"/>
    <s v="North"/>
    <s v="Office Supplies"/>
    <s v="Lock-Up Easel 'Spel-Binder'"/>
    <x v="7"/>
    <n v="1496.34"/>
    <n v="15"/>
    <s v="UPI"/>
    <n v="1271.8900000000001"/>
  </r>
  <r>
    <s v="ORD1130"/>
    <d v="2023-09-05T00:00:00"/>
    <s v="Evelyn Martinez"/>
    <s v="South"/>
    <s v="Technology"/>
    <s v="Memorex 4.7GB DVD+R, 3/Pack"/>
    <x v="8"/>
    <n v="1768.83"/>
    <n v="20"/>
    <s v="Net Banking"/>
    <n v="12735.58"/>
  </r>
  <r>
    <s v="ORD1131"/>
    <d v="2025-04-28T00:00:00"/>
    <s v="Steve Paul"/>
    <s v="North"/>
    <s v="Office Supplies"/>
    <s v="Eldon Spacemaker® Box, Quick-Snap Lid, Clear"/>
    <x v="8"/>
    <n v="591.91"/>
    <n v="5"/>
    <s v="Cash"/>
    <n v="5060.83"/>
  </r>
  <r>
    <s v="ORD1132"/>
    <d v="2024-04-13T00:00:00"/>
    <s v="Jasmine Beltran"/>
    <s v="North"/>
    <s v="Technology"/>
    <s v="Okidata ML390 Turbo Dot Matrix Printers"/>
    <x v="1"/>
    <n v="428.21"/>
    <n v="20"/>
    <s v="Credit Card"/>
    <n v="1370.27"/>
  </r>
  <r>
    <s v="ORD1133"/>
    <d v="2024-06-18T00:00:00"/>
    <s v="Jonathan Glass MD"/>
    <s v="West"/>
    <s v="Office Supplies"/>
    <s v="Xerox Blank Computer Paper"/>
    <x v="8"/>
    <n v="1765.64"/>
    <n v="15"/>
    <s v="Credit Card"/>
    <n v="13507.15"/>
  </r>
  <r>
    <s v="ORD1134"/>
    <d v="2024-03-06T00:00:00"/>
    <s v="Monica Miller"/>
    <s v="North"/>
    <s v="Furniture"/>
    <s v="Bevis Round Bullnose 29&quot; High Table Top"/>
    <x v="4"/>
    <n v="1332.24"/>
    <n v="10"/>
    <s v="Cash"/>
    <n v="3597.05"/>
  </r>
  <r>
    <s v="ORD1135"/>
    <d v="2023-10-02T00:00:00"/>
    <s v="Samantha Gardner"/>
    <s v="South"/>
    <s v="Office Supplies"/>
    <s v="Storex Dura Pro™ Binders"/>
    <x v="0"/>
    <n v="656.31"/>
    <n v="15"/>
    <s v="Net Banking"/>
    <n v="3905.04"/>
  </r>
  <r>
    <s v="ORD1136"/>
    <d v="2024-01-22T00:00:00"/>
    <s v="Bobby Guerrero"/>
    <s v="South"/>
    <s v="Technology"/>
    <s v="270c"/>
    <x v="5"/>
    <n v="1497.58"/>
    <n v="15"/>
    <s v="Net Banking"/>
    <n v="7637.66"/>
  </r>
  <r>
    <s v="ORD1137"/>
    <d v="2025-07-21T00:00:00"/>
    <s v="Lance Simmons"/>
    <s v="West"/>
    <s v="Furniture"/>
    <s v="BPI Conference Tables"/>
    <x v="2"/>
    <n v="1639.48"/>
    <n v="20"/>
    <s v="Cash"/>
    <n v="10492.67"/>
  </r>
  <r>
    <s v="ORD1138"/>
    <d v="2024-10-25T00:00:00"/>
    <s v="Heather Williams"/>
    <s v="South"/>
    <s v="Technology"/>
    <s v="252"/>
    <x v="8"/>
    <n v="1249.21"/>
    <n v="5"/>
    <s v="Credit Card"/>
    <n v="10680.75"/>
  </r>
  <r>
    <s v="ORD1139"/>
    <d v="2025-06-22T00:00:00"/>
    <s v="Heather Bolton"/>
    <s v="East"/>
    <s v="Office Supplies"/>
    <s v="Avery 514"/>
    <x v="3"/>
    <n v="1391.37"/>
    <n v="15"/>
    <s v="Net Banking"/>
    <n v="5913.32"/>
  </r>
  <r>
    <s v="ORD1140"/>
    <d v="2025-02-19T00:00:00"/>
    <s v="William Gould"/>
    <s v="West"/>
    <s v="Office Supplies"/>
    <s v="DIXON Oriole® Pencils"/>
    <x v="7"/>
    <n v="781.76"/>
    <n v="20"/>
    <s v="UPI"/>
    <n v="625.41"/>
  </r>
  <r>
    <s v="ORD1141"/>
    <d v="2024-04-12T00:00:00"/>
    <s v="Mark Cox"/>
    <s v="South"/>
    <s v="Technology"/>
    <s v="StarTAC Series"/>
    <x v="4"/>
    <n v="1100.46"/>
    <n v="5"/>
    <s v="Cash"/>
    <n v="3136.31"/>
  </r>
  <r>
    <s v="ORD1142"/>
    <d v="2024-01-24T00:00:00"/>
    <s v="Meghan Cisneros"/>
    <s v="South"/>
    <s v="Furniture"/>
    <s v="Global Adaptabilities™ Conference Tables"/>
    <x v="2"/>
    <n v="1072.1099999999999"/>
    <n v="10"/>
    <s v="UPI"/>
    <n v="7719.19"/>
  </r>
  <r>
    <s v="ORD1143"/>
    <d v="2025-01-02T00:00:00"/>
    <s v="Lawrence Harrington"/>
    <s v="East"/>
    <s v="Office Supplies"/>
    <s v="Acme® Elite Stainless Steel Scissors"/>
    <x v="5"/>
    <n v="1703.69"/>
    <n v="10"/>
    <s v="UPI"/>
    <n v="9199.93"/>
  </r>
  <r>
    <s v="ORD1144"/>
    <d v="2024-09-02T00:00:00"/>
    <s v="Austin Osborne"/>
    <s v="West"/>
    <s v="Technology"/>
    <s v="Maxell Pro 80 Minute CD-R, 10/Pack"/>
    <x v="2"/>
    <n v="1687.93"/>
    <n v="0"/>
    <s v="Credit Card"/>
    <n v="13503.44"/>
  </r>
  <r>
    <s v="ORD1145"/>
    <d v="2024-06-14T00:00:00"/>
    <s v="James Bradley"/>
    <s v="East"/>
    <s v="Office Supplies"/>
    <s v="Newell 340"/>
    <x v="8"/>
    <n v="1673.73"/>
    <n v="20"/>
    <s v="Cash"/>
    <n v="12050.86"/>
  </r>
  <r>
    <s v="ORD1146"/>
    <d v="2025-06-29T00:00:00"/>
    <s v="Meghan Rush"/>
    <s v="West"/>
    <s v="Furniture"/>
    <s v="Hon iLevel™ Computer Training Table"/>
    <x v="1"/>
    <n v="71.510000000000005"/>
    <n v="5"/>
    <s v="Net Banking"/>
    <n v="271.74"/>
  </r>
  <r>
    <s v="ORD1147"/>
    <d v="2025-07-22T00:00:00"/>
    <s v="Phillip Berry"/>
    <s v="West"/>
    <s v="Technology"/>
    <s v="Keytronic 105-Key Spanish Keyboard"/>
    <x v="7"/>
    <n v="1511.61"/>
    <n v="15"/>
    <s v="Net Banking"/>
    <n v="1284.8699999999999"/>
  </r>
  <r>
    <s v="ORD1148"/>
    <d v="2024-12-23T00:00:00"/>
    <s v="Jennifer Banks"/>
    <s v="North"/>
    <s v="Office Supplies"/>
    <s v="Xerox 214"/>
    <x v="7"/>
    <n v="1529.42"/>
    <n v="10"/>
    <s v="Cash"/>
    <n v="1376.48"/>
  </r>
  <r>
    <s v="ORD1149"/>
    <d v="2024-08-02T00:00:00"/>
    <s v="Brian Fitzgerald"/>
    <s v="South"/>
    <s v="Office Supplies"/>
    <s v="Tennsco Commercial Shelving"/>
    <x v="1"/>
    <n v="1372.84"/>
    <n v="5"/>
    <s v="Credit Card"/>
    <n v="5216.79"/>
  </r>
  <r>
    <s v="ORD1150"/>
    <d v="2023-11-30T00:00:00"/>
    <s v="Mr. Justin Green III"/>
    <s v="South"/>
    <s v="Office Supplies"/>
    <s v="Staples Brown Kraft Recycled Clasp Envelopes"/>
    <x v="0"/>
    <n v="1524.72"/>
    <n v="20"/>
    <s v="Net Banking"/>
    <n v="8538.43"/>
  </r>
  <r>
    <s v="ORD1151"/>
    <d v="2024-03-04T00:00:00"/>
    <s v="Zachary Mitchell"/>
    <s v="North"/>
    <s v="Furniture"/>
    <s v="Eldon Executive Woodline II Cherry Finish Desk Accessories"/>
    <x v="6"/>
    <n v="1691.84"/>
    <n v="0"/>
    <s v="Net Banking"/>
    <n v="3383.68"/>
  </r>
  <r>
    <s v="ORD1152"/>
    <d v="2023-11-28T00:00:00"/>
    <s v="Katherine Martinez"/>
    <s v="East"/>
    <s v="Office Supplies"/>
    <s v="Tyvek ® Top-Opening Peel &amp; Seel ® Envelopes, Gray"/>
    <x v="4"/>
    <n v="967.12"/>
    <n v="10"/>
    <s v="Net Banking"/>
    <n v="2611.2199999999998"/>
  </r>
  <r>
    <s v="ORD1153"/>
    <d v="2024-02-19T00:00:00"/>
    <s v="Jodi Roach"/>
    <s v="North"/>
    <s v="Furniture"/>
    <s v="Tenex Antistatic Computer Chair Mats"/>
    <x v="7"/>
    <n v="1029"/>
    <n v="5"/>
    <s v="Credit Card"/>
    <n v="977.55"/>
  </r>
  <r>
    <s v="ORD1154"/>
    <d v="2025-03-12T00:00:00"/>
    <s v="Brandon Fleming"/>
    <s v="South"/>
    <s v="Office Supplies"/>
    <s v="Xerox 1922"/>
    <x v="3"/>
    <n v="293.19"/>
    <n v="5"/>
    <s v="Net Banking"/>
    <n v="1392.65"/>
  </r>
  <r>
    <s v="ORD1155"/>
    <d v="2024-10-21T00:00:00"/>
    <s v="Emma Reed"/>
    <s v="South"/>
    <s v="Technology"/>
    <s v="Hewlett-Packard Deskjet 940 REFURBISHED Color Inkjet Printer"/>
    <x v="7"/>
    <n v="801.48"/>
    <n v="5"/>
    <s v="Net Banking"/>
    <n v="761.41"/>
  </r>
  <r>
    <s v="ORD1156"/>
    <d v="2024-10-03T00:00:00"/>
    <s v="Joshua Vance"/>
    <s v="North"/>
    <s v="Office Supplies"/>
    <s v="Staples Brown Kraft Recycled Clasp Envelopes"/>
    <x v="2"/>
    <n v="1304.56"/>
    <n v="20"/>
    <s v="UPI"/>
    <n v="8349.18"/>
  </r>
  <r>
    <s v="ORD1157"/>
    <d v="2024-03-03T00:00:00"/>
    <s v="Michelle Ho"/>
    <s v="North"/>
    <s v="Furniture"/>
    <s v="Eldon Executive Woodline II Cherry Finish Desk Accessories"/>
    <x v="7"/>
    <n v="1571.78"/>
    <n v="20"/>
    <s v="Credit Card"/>
    <n v="1257.42"/>
  </r>
  <r>
    <s v="ORD1158"/>
    <d v="2025-03-14T00:00:00"/>
    <s v="Rebecca Hicks"/>
    <s v="North"/>
    <s v="Office Supplies"/>
    <s v="Tyvek ® Top-Opening Peel &amp; Seel ® Envelopes, Gray"/>
    <x v="7"/>
    <n v="473.56"/>
    <n v="20"/>
    <s v="Net Banking"/>
    <n v="378.85"/>
  </r>
  <r>
    <s v="ORD1159"/>
    <d v="2024-11-08T00:00:00"/>
    <s v="Curtis Taylor"/>
    <s v="South"/>
    <s v="Office Supplies"/>
    <s v="Xerox 1922"/>
    <x v="6"/>
    <n v="318.75"/>
    <n v="15"/>
    <s v="Credit Card"/>
    <n v="541.88"/>
  </r>
  <r>
    <s v="ORD1160"/>
    <d v="2024-07-09T00:00:00"/>
    <s v="Allison Spencer"/>
    <s v="North"/>
    <s v="Office Supplies"/>
    <s v="Recycled Premium Regency Composition Covers"/>
    <x v="6"/>
    <n v="1342.93"/>
    <n v="5"/>
    <s v="Credit Card"/>
    <n v="2551.5700000000002"/>
  </r>
  <r>
    <s v="ORD1161"/>
    <d v="2025-07-09T00:00:00"/>
    <s v="Robert Arnold"/>
    <s v="North"/>
    <s v="Office Supplies"/>
    <s v="Brites Rubber Bands, 1 1/2 oz. Box"/>
    <x v="5"/>
    <n v="53.67"/>
    <n v="10"/>
    <s v="Net Banking"/>
    <n v="289.82"/>
  </r>
  <r>
    <s v="ORD1162"/>
    <d v="2024-11-07T00:00:00"/>
    <s v="Angelica Parker"/>
    <s v="East"/>
    <s v="Technology"/>
    <s v="Accessory36"/>
    <x v="0"/>
    <n v="397.83"/>
    <n v="20"/>
    <s v="Net Banking"/>
    <n v="2227.85"/>
  </r>
  <r>
    <s v="ORD1163"/>
    <d v="2024-06-17T00:00:00"/>
    <s v="Dr. Kelly Hammond DVM"/>
    <s v="North"/>
    <s v="Office Supplies"/>
    <s v="Newell 323"/>
    <x v="3"/>
    <n v="106.69"/>
    <n v="20"/>
    <s v="Credit Card"/>
    <n v="426.76"/>
  </r>
  <r>
    <s v="ORD1164"/>
    <d v="2024-05-19T00:00:00"/>
    <s v="William Day"/>
    <s v="South"/>
    <s v="Office Supplies"/>
    <s v="ACCOHIDE® Binder by Acco"/>
    <x v="7"/>
    <n v="375.43"/>
    <n v="5"/>
    <s v="Credit Card"/>
    <n v="356.66"/>
  </r>
  <r>
    <s v="ORD1165"/>
    <d v="2024-01-29T00:00:00"/>
    <s v="Michael Cooper"/>
    <s v="East"/>
    <s v="Furniture"/>
    <s v="O'Sullivan Elevations Bookcase, Cherry Finish"/>
    <x v="7"/>
    <n v="403.57"/>
    <n v="20"/>
    <s v="Credit Card"/>
    <n v="322.86"/>
  </r>
  <r>
    <s v="ORD1166"/>
    <d v="2023-11-27T00:00:00"/>
    <s v="Penny Bowman"/>
    <s v="West"/>
    <s v="Technology"/>
    <s v="Memorex 4.7GB DVD+RW, 3/Pack"/>
    <x v="4"/>
    <n v="805.96"/>
    <n v="15"/>
    <s v="UPI"/>
    <n v="2055.1999999999998"/>
  </r>
  <r>
    <s v="ORD1167"/>
    <d v="2024-09-10T00:00:00"/>
    <s v="Vincent Reynolds"/>
    <s v="South"/>
    <s v="Technology"/>
    <s v="MicroTAC 650"/>
    <x v="6"/>
    <n v="834.54"/>
    <n v="15"/>
    <s v="Cash"/>
    <n v="1418.72"/>
  </r>
  <r>
    <s v="ORD1168"/>
    <d v="2024-08-29T00:00:00"/>
    <s v="Amy Martinez"/>
    <s v="South"/>
    <s v="Technology"/>
    <s v="Imation 3.5&quot;, DISKETTE 44766 HGHLD3.52HD/FM, 10/Pack"/>
    <x v="3"/>
    <n v="1754.81"/>
    <n v="20"/>
    <s v="Net Banking"/>
    <n v="7019.24"/>
  </r>
  <r>
    <s v="ORD1169"/>
    <d v="2023-10-21T00:00:00"/>
    <s v="Christopher Morris"/>
    <s v="West"/>
    <s v="Technology"/>
    <s v="80 Minute Slim Jewel Case CD-R , 10/Pack - Staples"/>
    <x v="5"/>
    <n v="1044.71"/>
    <n v="5"/>
    <s v="UPI"/>
    <n v="5954.85"/>
  </r>
  <r>
    <s v="ORD1170"/>
    <d v="2025-03-21T00:00:00"/>
    <s v="Hannah Everett"/>
    <s v="South"/>
    <s v="Technology"/>
    <s v="Accessory34"/>
    <x v="0"/>
    <n v="1460.64"/>
    <n v="5"/>
    <s v="UPI"/>
    <n v="9713.26"/>
  </r>
  <r>
    <s v="ORD1171"/>
    <d v="2023-09-17T00:00:00"/>
    <s v="Sarah King"/>
    <s v="West"/>
    <s v="Technology"/>
    <s v="80 Minute Slim Jewel Case CD-R , 10/Pack - Staples"/>
    <x v="1"/>
    <n v="253.07"/>
    <n v="5"/>
    <s v="Credit Card"/>
    <n v="961.67"/>
  </r>
  <r>
    <s v="ORD1172"/>
    <d v="2025-06-10T00:00:00"/>
    <s v="Krista Martinez"/>
    <s v="West"/>
    <s v="Office Supplies"/>
    <s v="High Speed Automatic Electric Letter Opener"/>
    <x v="0"/>
    <n v="489.61"/>
    <n v="0"/>
    <s v="Cash"/>
    <n v="3427.27"/>
  </r>
  <r>
    <s v="ORD1173"/>
    <d v="2023-11-05T00:00:00"/>
    <s v="Joseph Shaw"/>
    <s v="South"/>
    <s v="Technology"/>
    <s v="Belkin 105-Key Black Keyboard"/>
    <x v="2"/>
    <n v="1420.74"/>
    <n v="20"/>
    <s v="Net Banking"/>
    <n v="9092.74"/>
  </r>
  <r>
    <s v="ORD1174"/>
    <d v="2023-12-08T00:00:00"/>
    <s v="Todd Moore"/>
    <s v="North"/>
    <s v="Furniture"/>
    <s v="Eldon® Expressions™ Wood Desk Accessories, Oak"/>
    <x v="7"/>
    <n v="152.97"/>
    <n v="5"/>
    <s v="UPI"/>
    <n v="145.32"/>
  </r>
  <r>
    <s v="ORD1175"/>
    <d v="2024-12-11T00:00:00"/>
    <s v="Michelle Jacobs"/>
    <s v="North"/>
    <s v="Office Supplies"/>
    <s v="Xerox 193"/>
    <x v="5"/>
    <n v="998.87"/>
    <n v="15"/>
    <s v="Net Banking"/>
    <n v="5094.24"/>
  </r>
  <r>
    <s v="ORD1176"/>
    <d v="2023-12-14T00:00:00"/>
    <s v="Kristy Bryan"/>
    <s v="West"/>
    <s v="Office Supplies"/>
    <s v="Decoflex Hanging Personal Folder File, Blue"/>
    <x v="2"/>
    <n v="1218.77"/>
    <n v="10"/>
    <s v="UPI"/>
    <n v="8775.14"/>
  </r>
  <r>
    <s v="ORD1177"/>
    <d v="2025-04-18T00:00:00"/>
    <s v="Angel May"/>
    <s v="East"/>
    <s v="Technology"/>
    <s v="80 Minute Slim Jewel Case CD-R , 10/Pack - Staples"/>
    <x v="3"/>
    <n v="1224.18"/>
    <n v="10"/>
    <s v="Net Banking"/>
    <n v="5508.81"/>
  </r>
  <r>
    <s v="ORD1178"/>
    <d v="2025-01-21T00:00:00"/>
    <s v="Marilyn Wang"/>
    <s v="West"/>
    <s v="Technology"/>
    <s v="Bell Sonecor JB700 Caller ID"/>
    <x v="1"/>
    <n v="94.72"/>
    <n v="5"/>
    <s v="Credit Card"/>
    <n v="359.94"/>
  </r>
  <r>
    <s v="ORD1179"/>
    <d v="2024-07-04T00:00:00"/>
    <s v="Mark Jimenez"/>
    <s v="West"/>
    <s v="Furniture"/>
    <s v="Hon 94000 Series Round Tables"/>
    <x v="6"/>
    <n v="678.11"/>
    <n v="10"/>
    <s v="Credit Card"/>
    <n v="1220.5999999999999"/>
  </r>
  <r>
    <s v="ORD1180"/>
    <d v="2024-11-17T00:00:00"/>
    <s v="Donna Frye"/>
    <s v="West"/>
    <s v="Technology"/>
    <s v="Acco Keyboard-In-A-Box®"/>
    <x v="5"/>
    <n v="1291.1600000000001"/>
    <n v="10"/>
    <s v="Cash"/>
    <n v="6972.26"/>
  </r>
  <r>
    <s v="ORD1181"/>
    <d v="2023-09-30T00:00:00"/>
    <s v="Dr. Michael Evans"/>
    <s v="North"/>
    <s v="Furniture"/>
    <s v="SAFCO Arco Folding Chair"/>
    <x v="5"/>
    <n v="340.55"/>
    <n v="0"/>
    <s v="Credit Card"/>
    <n v="2043.3"/>
  </r>
  <r>
    <s v="ORD1182"/>
    <d v="2024-06-05T00:00:00"/>
    <s v="Anthony Gonzales"/>
    <s v="North"/>
    <s v="Furniture"/>
    <s v="Eldon® 200 Class™ Desk Accessories, Burgundy"/>
    <x v="7"/>
    <n v="1406.06"/>
    <n v="15"/>
    <s v="UPI"/>
    <n v="1195.1500000000001"/>
  </r>
  <r>
    <s v="ORD1183"/>
    <d v="2024-06-03T00:00:00"/>
    <s v="Mr. Lawrence Edwards"/>
    <s v="North"/>
    <s v="Office Supplies"/>
    <s v="Hoover Commercial Soft Guard Upright Vacuum And Disposable Filtration Bags"/>
    <x v="8"/>
    <n v="1504.55"/>
    <n v="15"/>
    <s v="UPI"/>
    <n v="11509.81"/>
  </r>
  <r>
    <s v="ORD1184"/>
    <d v="2024-11-16T00:00:00"/>
    <s v="Morgan Valencia"/>
    <s v="West"/>
    <s v="Furniture"/>
    <s v="Master Giant Foot® Doorstop, Safety Yellow"/>
    <x v="5"/>
    <n v="1964.84"/>
    <n v="0"/>
    <s v="UPI"/>
    <n v="11789.04"/>
  </r>
  <r>
    <s v="ORD1185"/>
    <d v="2024-08-09T00:00:00"/>
    <s v="Bianca Wood"/>
    <s v="East"/>
    <s v="Office Supplies"/>
    <s v="Avery Hi-Liter GlideStik Fluorescent Highlighter, Yellow Ink"/>
    <x v="4"/>
    <n v="459.19"/>
    <n v="0"/>
    <s v="UPI"/>
    <n v="1377.57"/>
  </r>
  <r>
    <s v="ORD1186"/>
    <d v="2024-09-25T00:00:00"/>
    <s v="Emma Owens"/>
    <s v="North"/>
    <s v="Furniture"/>
    <s v="Anderson Hickey Conga Table Tops &amp; Accessories"/>
    <x v="1"/>
    <n v="1659"/>
    <n v="10"/>
    <s v="Credit Card"/>
    <n v="5972.4"/>
  </r>
  <r>
    <s v="ORD1187"/>
    <d v="2024-02-23T00:00:00"/>
    <s v="David Davis"/>
    <s v="South"/>
    <s v="Office Supplies"/>
    <s v="Avery Hi-Liter GlideStik Fluorescent Highlighter, Yellow Ink"/>
    <x v="1"/>
    <n v="1064.58"/>
    <n v="20"/>
    <s v="Credit Card"/>
    <n v="3406.66"/>
  </r>
  <r>
    <s v="ORD1188"/>
    <d v="2024-10-14T00:00:00"/>
    <s v="James Gilbert"/>
    <s v="South"/>
    <s v="Office Supplies"/>
    <s v="Acme® Elite Stainless Steel Scissors"/>
    <x v="4"/>
    <n v="778.25"/>
    <n v="10"/>
    <s v="Cash"/>
    <n v="2101.2800000000002"/>
  </r>
  <r>
    <s v="ORD1189"/>
    <d v="2025-06-10T00:00:00"/>
    <s v="Sean Moore"/>
    <s v="South"/>
    <s v="Furniture"/>
    <s v="GE 48&quot; Fluorescent Tube, Cool White Energy Saver, 34 Watts, 30/Box"/>
    <x v="4"/>
    <n v="288.63"/>
    <n v="0"/>
    <s v="Net Banking"/>
    <n v="865.89"/>
  </r>
  <r>
    <s v="ORD1190"/>
    <d v="2023-08-20T00:00:00"/>
    <s v="Kenneth Edwards"/>
    <s v="West"/>
    <s v="Office Supplies"/>
    <s v="Acme® Elite Stainless Steel Scissors"/>
    <x v="4"/>
    <n v="1484.24"/>
    <n v="15"/>
    <s v="Cash"/>
    <n v="3784.81"/>
  </r>
  <r>
    <s v="ORD1191"/>
    <d v="2025-01-21T00:00:00"/>
    <s v="Kathleen Robertson"/>
    <s v="South"/>
    <s v="Furniture"/>
    <s v="GE 48&quot; Fluorescent Tube, Cool White Energy Saver, 34 Watts, 30/Box"/>
    <x v="1"/>
    <n v="509.92"/>
    <n v="10"/>
    <s v="Net Banking"/>
    <n v="1835.71"/>
  </r>
  <r>
    <s v="ORD1192"/>
    <d v="2025-02-21T00:00:00"/>
    <s v="Mr. Alexander Landry MD"/>
    <s v="West"/>
    <s v="Technology"/>
    <s v="Maxell 3.5&quot; DS/HD IBM-Formatted Diskettes, 10/Pack"/>
    <x v="0"/>
    <n v="774.27"/>
    <n v="20"/>
    <s v="Credit Card"/>
    <n v="4335.91"/>
  </r>
  <r>
    <s v="ORD1193"/>
    <d v="2023-11-08T00:00:00"/>
    <s v="Cindy Gomez"/>
    <s v="South"/>
    <s v="Office Supplies"/>
    <s v="Xerox 1898"/>
    <x v="1"/>
    <n v="171.96"/>
    <n v="10"/>
    <s v="UPI"/>
    <n v="619.05999999999995"/>
  </r>
  <r>
    <s v="ORD1194"/>
    <d v="2025-01-22T00:00:00"/>
    <s v="Johnny Khan"/>
    <s v="East"/>
    <s v="Furniture"/>
    <s v="Bevis 36 x 72 Conference Tables"/>
    <x v="8"/>
    <n v="1612.67"/>
    <n v="5"/>
    <s v="Cash"/>
    <n v="13788.33"/>
  </r>
  <r>
    <s v="ORD1195"/>
    <d v="2025-06-29T00:00:00"/>
    <s v="Julie Herrera"/>
    <s v="West"/>
    <s v="Technology"/>
    <s v="M70"/>
    <x v="7"/>
    <n v="1544.85"/>
    <n v="10"/>
    <s v="Cash"/>
    <n v="1390.36"/>
  </r>
  <r>
    <s v="ORD1196"/>
    <d v="2024-10-02T00:00:00"/>
    <s v="Jessica Khan"/>
    <s v="South"/>
    <s v="Office Supplies"/>
    <s v="Sanyo Counter Height Refrigerator with Crisper, 3.6 Cubic Foot, Stainless Steel/Black"/>
    <x v="2"/>
    <n v="1480.55"/>
    <n v="0"/>
    <s v="Credit Card"/>
    <n v="11844.4"/>
  </r>
  <r>
    <s v="ORD1197"/>
    <d v="2025-03-17T00:00:00"/>
    <s v="Pamela Diaz"/>
    <s v="North"/>
    <s v="Furniture"/>
    <s v="Executive Impressions 13&quot; Clairmont Wall Clock"/>
    <x v="0"/>
    <n v="633.91"/>
    <n v="15"/>
    <s v="Net Banking"/>
    <n v="3771.76"/>
  </r>
  <r>
    <s v="ORD1198"/>
    <d v="2024-03-06T00:00:00"/>
    <s v="Kelly Lee"/>
    <s v="West"/>
    <s v="Technology"/>
    <s v="1726 Digital Answering Machine"/>
    <x v="6"/>
    <n v="388.29"/>
    <n v="15"/>
    <s v="Cash"/>
    <n v="660.09"/>
  </r>
  <r>
    <s v="ORD1199"/>
    <d v="2025-03-30T00:00:00"/>
    <s v="Angel Gordon"/>
    <s v="North"/>
    <s v="Office Supplies"/>
    <s v="3M Organizer Strips"/>
    <x v="2"/>
    <n v="1293.23"/>
    <n v="0"/>
    <s v="Net Banking"/>
    <n v="10345.84"/>
  </r>
  <r>
    <s v="ORD1200"/>
    <d v="2024-12-21T00:00:00"/>
    <s v="Diana Hays"/>
    <s v="North"/>
    <s v="Furniture"/>
    <s v="O'Sullivan Living Dimensions 3-Shelf Bookcases"/>
    <x v="7"/>
    <n v="1017.52"/>
    <n v="5"/>
    <s v="Cash"/>
    <n v="966.64"/>
  </r>
  <r>
    <s v="ORD1201"/>
    <d v="2024-05-02T00:00:00"/>
    <s v="Barbara Hester"/>
    <s v="North"/>
    <s v="Office Supplies"/>
    <s v="Xerox 1971"/>
    <x v="8"/>
    <n v="397.59"/>
    <n v="0"/>
    <s v="UPI"/>
    <n v="3578.31"/>
  </r>
  <r>
    <s v="ORD1202"/>
    <d v="2023-11-06T00:00:00"/>
    <s v="Robert Morgan"/>
    <s v="North"/>
    <s v="Technology"/>
    <s v="Accessory4"/>
    <x v="8"/>
    <n v="1387.53"/>
    <n v="10"/>
    <s v="Credit Card"/>
    <n v="11238.99"/>
  </r>
  <r>
    <s v="ORD1203"/>
    <d v="2024-03-26T00:00:00"/>
    <s v="Nicole Gonzalez"/>
    <s v="South"/>
    <s v="Furniture"/>
    <s v="O'Sullivan Living Dimensions 3-Shelf Bookcases"/>
    <x v="6"/>
    <n v="1982.7"/>
    <n v="0"/>
    <s v="Net Banking"/>
    <n v="3965.4"/>
  </r>
  <r>
    <s v="ORD1204"/>
    <d v="2024-07-14T00:00:00"/>
    <s v="Kathryn Williams"/>
    <s v="South"/>
    <s v="Office Supplies"/>
    <s v="Xerox 1971"/>
    <x v="0"/>
    <n v="1507.08"/>
    <n v="0"/>
    <s v="Credit Card"/>
    <n v="10549.56"/>
  </r>
  <r>
    <s v="ORD1205"/>
    <d v="2023-12-12T00:00:00"/>
    <s v="Gary Wells"/>
    <s v="West"/>
    <s v="Office Supplies"/>
    <s v="3M Office Air Cleaner"/>
    <x v="4"/>
    <n v="1492.97"/>
    <n v="5"/>
    <s v="Credit Card"/>
    <n v="4254.96"/>
  </r>
  <r>
    <s v="ORD1206"/>
    <d v="2024-07-29T00:00:00"/>
    <s v="Larry Robertson"/>
    <s v="West"/>
    <s v="Office Supplies"/>
    <s v="Deluxe Rollaway Locking File with Drawer"/>
    <x v="0"/>
    <n v="1903.11"/>
    <n v="10"/>
    <s v="Net Banking"/>
    <n v="11989.59"/>
  </r>
  <r>
    <s v="ORD1207"/>
    <d v="2023-08-14T00:00:00"/>
    <s v="Louis Martin"/>
    <s v="West"/>
    <s v="Office Supplies"/>
    <s v="Pressboard Data Binder, Crimson, 12&quot; X 8 1/2&quot;"/>
    <x v="8"/>
    <n v="445.73"/>
    <n v="20"/>
    <s v="Net Banking"/>
    <n v="3209.26"/>
  </r>
  <r>
    <s v="ORD1208"/>
    <d v="2025-02-22T00:00:00"/>
    <s v="Nancy Evans MD"/>
    <s v="South"/>
    <s v="Technology"/>
    <s v="8860"/>
    <x v="1"/>
    <n v="1152.82"/>
    <n v="20"/>
    <s v="Cash"/>
    <n v="3689.02"/>
  </r>
  <r>
    <s v="ORD1209"/>
    <d v="2025-06-22T00:00:00"/>
    <s v="Kim Erickson"/>
    <s v="West"/>
    <s v="Office Supplies"/>
    <s v="GBC Instant Index™ System for Binding Systems"/>
    <x v="7"/>
    <n v="1960.31"/>
    <n v="15"/>
    <s v="Net Banking"/>
    <n v="1666.26"/>
  </r>
  <r>
    <s v="ORD1210"/>
    <d v="2025-02-20T00:00:00"/>
    <s v="Robert Richardson"/>
    <s v="North"/>
    <s v="Office Supplies"/>
    <s v="Xerox 4200 Series MultiUse Premium Copy Paper (20Lb. and 84 Bright)"/>
    <x v="6"/>
    <n v="372.32"/>
    <n v="0"/>
    <s v="Credit Card"/>
    <n v="744.64"/>
  </r>
  <r>
    <s v="ORD1211"/>
    <d v="2024-03-03T00:00:00"/>
    <s v="Veronica Silva"/>
    <s v="South"/>
    <s v="Technology"/>
    <s v="T18"/>
    <x v="7"/>
    <n v="1415.49"/>
    <n v="15"/>
    <s v="Credit Card"/>
    <n v="1203.17"/>
  </r>
  <r>
    <s v="ORD1212"/>
    <d v="2024-09-03T00:00:00"/>
    <s v="Molly Watts"/>
    <s v="West"/>
    <s v="Furniture"/>
    <s v="Office Star - Mid Back Dual function Ergonomic High Back Chair with 2-Way Adjustable Arms"/>
    <x v="3"/>
    <n v="1192.33"/>
    <n v="5"/>
    <s v="Net Banking"/>
    <n v="5663.57"/>
  </r>
  <r>
    <s v="ORD1213"/>
    <d v="2025-03-25T00:00:00"/>
    <s v="John Coffey"/>
    <s v="North"/>
    <s v="Technology"/>
    <s v="Fellowes EZ Multi-Media Keyboard"/>
    <x v="3"/>
    <n v="1193.6300000000001"/>
    <n v="20"/>
    <s v="Net Banking"/>
    <n v="4774.5200000000004"/>
  </r>
  <r>
    <s v="ORD1214"/>
    <d v="2023-12-28T00:00:00"/>
    <s v="Paula Lane"/>
    <s v="West"/>
    <s v="Furniture"/>
    <s v="Telescoping Adjustable Floor Lamp"/>
    <x v="0"/>
    <n v="1410.46"/>
    <n v="0"/>
    <s v="Cash"/>
    <n v="9873.2199999999993"/>
  </r>
  <r>
    <s v="ORD1215"/>
    <d v="2024-09-09T00:00:00"/>
    <s v="Lauren Jackson"/>
    <s v="East"/>
    <s v="Office Supplies"/>
    <s v="Filing/Storage Totes and Swivel Casters"/>
    <x v="8"/>
    <n v="1862.75"/>
    <n v="5"/>
    <s v="Cash"/>
    <n v="15926.51"/>
  </r>
  <r>
    <s v="ORD1216"/>
    <d v="2025-07-20T00:00:00"/>
    <s v="Lisa Randall"/>
    <s v="West"/>
    <s v="Technology"/>
    <s v="Logitech Access Keyboard"/>
    <x v="8"/>
    <n v="1576.03"/>
    <n v="5"/>
    <s v="Cash"/>
    <n v="13475.06"/>
  </r>
  <r>
    <s v="ORD1217"/>
    <d v="2023-11-02T00:00:00"/>
    <s v="Michael Johnson"/>
    <s v="East"/>
    <s v="Office Supplies"/>
    <s v="Xerox 1929"/>
    <x v="4"/>
    <n v="159.47"/>
    <n v="0"/>
    <s v="Credit Card"/>
    <n v="478.41"/>
  </r>
  <r>
    <s v="ORD1218"/>
    <d v="2025-06-18T00:00:00"/>
    <s v="Ashley Smith"/>
    <s v="West"/>
    <s v="Furniture"/>
    <s v="Laminate Occasional Tables"/>
    <x v="4"/>
    <n v="1712.82"/>
    <n v="5"/>
    <s v="Net Banking"/>
    <n v="4881.54"/>
  </r>
  <r>
    <s v="ORD1219"/>
    <d v="2024-12-09T00:00:00"/>
    <s v="Christian Vaughn"/>
    <s v="West"/>
    <s v="Furniture"/>
    <s v="Howard Miller 16&quot; Diameter Gallery Wall Clock"/>
    <x v="4"/>
    <n v="489.81"/>
    <n v="0"/>
    <s v="UPI"/>
    <n v="1469.43"/>
  </r>
  <r>
    <s v="ORD1220"/>
    <d v="2024-03-30T00:00:00"/>
    <s v="Reginald Knapp"/>
    <s v="South"/>
    <s v="Office Supplies"/>
    <s v="Rediform S.O.S. Phone Message Books"/>
    <x v="1"/>
    <n v="784.98"/>
    <n v="0"/>
    <s v="Net Banking"/>
    <n v="3139.92"/>
  </r>
  <r>
    <s v="ORD1221"/>
    <d v="2025-05-26T00:00:00"/>
    <s v="Nancy Brown"/>
    <s v="South"/>
    <s v="Office Supplies"/>
    <s v="Binding Machine Supplies"/>
    <x v="2"/>
    <n v="950.38"/>
    <n v="10"/>
    <s v="Net Banking"/>
    <n v="6842.74"/>
  </r>
  <r>
    <s v="ORD1222"/>
    <d v="2024-12-20T00:00:00"/>
    <s v="Daniel Nguyen"/>
    <s v="East"/>
    <s v="Office Supplies"/>
    <s v="Hot File® 7-Pocket, Floor Stand"/>
    <x v="5"/>
    <n v="987.77"/>
    <n v="15"/>
    <s v="Cash"/>
    <n v="5037.63"/>
  </r>
  <r>
    <s v="ORD1223"/>
    <d v="2024-09-09T00:00:00"/>
    <s v="Kelly Edwards"/>
    <s v="South"/>
    <s v="Technology"/>
    <s v="Polycom Soundstation EX Audio-Conferencing Telephone, Black"/>
    <x v="2"/>
    <n v="898.6"/>
    <n v="5"/>
    <s v="UPI"/>
    <n v="6829.36"/>
  </r>
  <r>
    <s v="ORD1224"/>
    <d v="2024-11-27T00:00:00"/>
    <s v="Thomas Peterson"/>
    <s v="North"/>
    <s v="Technology"/>
    <s v="Memorex 4.7GB DVD+R, 3/Pack"/>
    <x v="7"/>
    <n v="1877.84"/>
    <n v="5"/>
    <s v="Net Banking"/>
    <n v="1783.95"/>
  </r>
  <r>
    <s v="ORD1225"/>
    <d v="2024-01-13T00:00:00"/>
    <s v="Raymond Le"/>
    <s v="North"/>
    <s v="Technology"/>
    <s v="Accessory20"/>
    <x v="2"/>
    <n v="1426.74"/>
    <n v="10"/>
    <s v="UPI"/>
    <n v="10272.530000000001"/>
  </r>
  <r>
    <s v="ORD1226"/>
    <d v="2023-12-08T00:00:00"/>
    <s v="Melissa Bishop"/>
    <s v="East"/>
    <s v="Office Supplies"/>
    <s v="Manila Recycled Extra-Heavyweight Clasp Envelopes, 6&quot; x 9&quot;"/>
    <x v="1"/>
    <n v="1280.78"/>
    <n v="10"/>
    <s v="UPI"/>
    <n v="4610.8100000000004"/>
  </r>
  <r>
    <s v="ORD1227"/>
    <d v="2024-05-28T00:00:00"/>
    <s v="David Grant"/>
    <s v="North"/>
    <s v="Technology"/>
    <s v="StarTAC ST7762"/>
    <x v="7"/>
    <n v="147.19"/>
    <n v="10"/>
    <s v="Net Banking"/>
    <n v="132.47"/>
  </r>
  <r>
    <s v="ORD1228"/>
    <d v="2025-03-26T00:00:00"/>
    <s v="William Evans"/>
    <s v="North"/>
    <s v="Furniture"/>
    <s v="Master Giant Foot® Doorstop, Safety Yellow"/>
    <x v="2"/>
    <n v="1812.63"/>
    <n v="20"/>
    <s v="Cash"/>
    <n v="11600.83"/>
  </r>
  <r>
    <s v="ORD1229"/>
    <d v="2023-12-15T00:00:00"/>
    <s v="Daniel Bush"/>
    <s v="West"/>
    <s v="Office Supplies"/>
    <s v="14-7/8 x 11 Blue Bar Computer Printout Paper"/>
    <x v="1"/>
    <n v="1823.31"/>
    <n v="20"/>
    <s v="Cash"/>
    <n v="5834.59"/>
  </r>
  <r>
    <s v="ORD1230"/>
    <d v="2024-10-03T00:00:00"/>
    <s v="Gregory Peck"/>
    <s v="South"/>
    <s v="Furniture"/>
    <s v="O'Sullivan Living Dimensions 3-Shelf Bookcases"/>
    <x v="5"/>
    <n v="1571.42"/>
    <n v="20"/>
    <s v="Net Banking"/>
    <n v="7542.82"/>
  </r>
  <r>
    <s v="ORD1231"/>
    <d v="2025-04-07T00:00:00"/>
    <s v="Denise Martinez"/>
    <s v="North"/>
    <s v="Office Supplies"/>
    <s v="Newell 333"/>
    <x v="2"/>
    <n v="63.71"/>
    <n v="0"/>
    <s v="UPI"/>
    <n v="509.68"/>
  </r>
  <r>
    <s v="ORD1232"/>
    <d v="2025-07-28T00:00:00"/>
    <s v="Jamie Baird"/>
    <s v="North"/>
    <s v="Furniture"/>
    <s v="Office Star - Contemporary Task Swivel chair with 2-way adjustable arms, Plum"/>
    <x v="1"/>
    <n v="161.69999999999999"/>
    <n v="5"/>
    <s v="UPI"/>
    <n v="614.46"/>
  </r>
  <r>
    <s v="ORD1233"/>
    <d v="2024-09-26T00:00:00"/>
    <s v="Tina Ballard"/>
    <s v="South"/>
    <s v="Technology"/>
    <s v="2160i"/>
    <x v="4"/>
    <n v="489.19"/>
    <n v="15"/>
    <s v="Cash"/>
    <n v="1247.43"/>
  </r>
  <r>
    <s v="ORD1234"/>
    <d v="2025-07-25T00:00:00"/>
    <s v="Dwayne Klein"/>
    <s v="North"/>
    <s v="Technology"/>
    <s v="210 Trimline Phone, White"/>
    <x v="8"/>
    <n v="306.13"/>
    <n v="0"/>
    <s v="Cash"/>
    <n v="2755.17"/>
  </r>
  <r>
    <s v="ORD1235"/>
    <d v="2023-08-12T00:00:00"/>
    <s v="Jeremy Scott"/>
    <s v="North"/>
    <s v="Office Supplies"/>
    <s v="Vinyl Sectional Post Binders"/>
    <x v="4"/>
    <n v="827.73"/>
    <n v="5"/>
    <s v="Cash"/>
    <n v="2359.0300000000002"/>
  </r>
  <r>
    <s v="ORD1236"/>
    <d v="2024-11-19T00:00:00"/>
    <s v="Dale Ryan"/>
    <s v="South"/>
    <s v="Office Supplies"/>
    <s v="GBC Instant Index™ System for Binding Systems"/>
    <x v="8"/>
    <n v="1849.11"/>
    <n v="5"/>
    <s v="UPI"/>
    <n v="15809.89"/>
  </r>
  <r>
    <s v="ORD1237"/>
    <d v="2024-04-19T00:00:00"/>
    <s v="Melissa Taylor"/>
    <s v="West"/>
    <s v="Office Supplies"/>
    <s v="Avery 514"/>
    <x v="6"/>
    <n v="970.52"/>
    <n v="10"/>
    <s v="UPI"/>
    <n v="1746.94"/>
  </r>
  <r>
    <s v="ORD1238"/>
    <d v="2024-08-25T00:00:00"/>
    <s v="Laurie Sanchez"/>
    <s v="North"/>
    <s v="Technology"/>
    <s v="Accessory36"/>
    <x v="6"/>
    <n v="76.14"/>
    <n v="10"/>
    <s v="Cash"/>
    <n v="137.05000000000001"/>
  </r>
  <r>
    <s v="ORD1239"/>
    <d v="2023-08-27T00:00:00"/>
    <s v="Kiara Little"/>
    <s v="South"/>
    <s v="Furniture"/>
    <s v="Seth Thomas 14&quot; Putty-Colored Wall Clock"/>
    <x v="6"/>
    <n v="601.35"/>
    <n v="0"/>
    <s v="Cash"/>
    <n v="1202.7"/>
  </r>
  <r>
    <s v="ORD1240"/>
    <d v="2023-11-06T00:00:00"/>
    <s v="Jason Love"/>
    <s v="North"/>
    <s v="Office Supplies"/>
    <s v="Tenex Personal Self-Stacking Standard File Box, Black/Gray"/>
    <x v="5"/>
    <n v="136.96"/>
    <n v="10"/>
    <s v="UPI"/>
    <n v="739.58"/>
  </r>
  <r>
    <s v="ORD1241"/>
    <d v="2025-08-02T00:00:00"/>
    <s v="Randy Smith"/>
    <s v="North"/>
    <s v="Office Supplies"/>
    <s v="Economy Rollaway Files"/>
    <x v="4"/>
    <n v="120.76"/>
    <n v="5"/>
    <s v="Credit Card"/>
    <n v="344.17"/>
  </r>
  <r>
    <s v="ORD1242"/>
    <d v="2024-05-19T00:00:00"/>
    <s v="Tanya Russell"/>
    <s v="West"/>
    <s v="Technology"/>
    <s v="Panasonic KX-P3200 Dot Matrix Printer"/>
    <x v="8"/>
    <n v="587.65"/>
    <n v="10"/>
    <s v="UPI"/>
    <n v="4759.96"/>
  </r>
  <r>
    <s v="ORD1243"/>
    <d v="2025-06-24T00:00:00"/>
    <s v="Sherry Woods"/>
    <s v="East"/>
    <s v="Furniture"/>
    <s v="Tensor &quot;Hersey Kiss&quot; Styled Floor Lamp"/>
    <x v="1"/>
    <n v="587.44000000000005"/>
    <n v="20"/>
    <s v="Net Banking"/>
    <n v="1879.81"/>
  </r>
  <r>
    <s v="ORD1244"/>
    <d v="2025-05-18T00:00:00"/>
    <s v="Victor Morris"/>
    <s v="East"/>
    <s v="Office Supplies"/>
    <s v="Holmes Odor Grabber"/>
    <x v="7"/>
    <n v="1584.9"/>
    <n v="10"/>
    <s v="Net Banking"/>
    <n v="1426.41"/>
  </r>
  <r>
    <s v="ORD1245"/>
    <d v="2025-04-29T00:00:00"/>
    <s v="Susan Davis"/>
    <s v="South"/>
    <s v="Furniture"/>
    <s v="Eldon Image Series Black Desk Accessories"/>
    <x v="1"/>
    <n v="1950.93"/>
    <n v="5"/>
    <s v="UPI"/>
    <n v="7413.53"/>
  </r>
  <r>
    <s v="ORD1246"/>
    <d v="2024-04-06T00:00:00"/>
    <s v="Kimberly Sharp"/>
    <s v="East"/>
    <s v="Office Supplies"/>
    <s v="Xerox 188"/>
    <x v="7"/>
    <n v="773.85"/>
    <n v="0"/>
    <s v="Net Banking"/>
    <n v="773.85"/>
  </r>
  <r>
    <s v="ORD1247"/>
    <d v="2024-02-13T00:00:00"/>
    <s v="Susan Thompson"/>
    <s v="South"/>
    <s v="Technology"/>
    <s v="Motorola SB4200 Cable Modem"/>
    <x v="3"/>
    <n v="886.33"/>
    <n v="15"/>
    <s v="Credit Card"/>
    <n v="3766.9"/>
  </r>
  <r>
    <s v="ORD1248"/>
    <d v="2023-09-25T00:00:00"/>
    <s v="Casey Gillespie"/>
    <s v="East"/>
    <s v="Technology"/>
    <s v="Motorola SB4200 Cable Modem"/>
    <x v="1"/>
    <n v="1697.34"/>
    <n v="10"/>
    <s v="Credit Card"/>
    <n v="6110.42"/>
  </r>
  <r>
    <s v="ORD1249"/>
    <d v="2024-02-15T00:00:00"/>
    <s v="Jennifer Simpson DVM"/>
    <s v="West"/>
    <s v="Office Supplies"/>
    <s v="Staples 6 Outlet Surge"/>
    <x v="2"/>
    <n v="572.87"/>
    <n v="5"/>
    <s v="Credit Card"/>
    <n v="4353.8100000000004"/>
  </r>
  <r>
    <s v="ORD1250"/>
    <d v="2025-06-23T00:00:00"/>
    <s v="Tammy Mcdowell"/>
    <s v="South"/>
    <s v="Office Supplies"/>
    <s v="Cardinal Poly Pocket Divider Pockets for Ring Binders"/>
    <x v="2"/>
    <n v="354.94"/>
    <n v="15"/>
    <s v="Net Banking"/>
    <n v="2413.59"/>
  </r>
  <r>
    <s v="ORD1251"/>
    <d v="2024-10-25T00:00:00"/>
    <s v="Keith Rodriguez"/>
    <s v="East"/>
    <s v="Technology"/>
    <s v="Canon PC1060 Personal Laser Copier"/>
    <x v="0"/>
    <n v="1713.52"/>
    <n v="15"/>
    <s v="Cash"/>
    <n v="10195.44"/>
  </r>
  <r>
    <s v="ORD1252"/>
    <d v="2023-10-12T00:00:00"/>
    <s v="Mrs. Virginia Daniels"/>
    <s v="West"/>
    <s v="Office Supplies"/>
    <s v="Avery 49"/>
    <x v="4"/>
    <n v="140.68"/>
    <n v="20"/>
    <s v="Credit Card"/>
    <n v="337.63"/>
  </r>
  <r>
    <s v="ORD1253"/>
    <d v="2023-10-17T00:00:00"/>
    <s v="Todd Rosales MD"/>
    <s v="East"/>
    <s v="Office Supplies"/>
    <s v="Cardinal Poly Pocket Divider Pockets for Ring Binders"/>
    <x v="7"/>
    <n v="1258.4100000000001"/>
    <n v="15"/>
    <s v="Credit Card"/>
    <n v="1069.6500000000001"/>
  </r>
  <r>
    <s v="ORD1254"/>
    <d v="2025-03-02T00:00:00"/>
    <s v="Brian Martin"/>
    <s v="North"/>
    <s v="Office Supplies"/>
    <s v="Xerox 1933"/>
    <x v="7"/>
    <n v="1145.8900000000001"/>
    <n v="5"/>
    <s v="Cash"/>
    <n v="1088.5999999999999"/>
  </r>
  <r>
    <s v="ORD1255"/>
    <d v="2024-08-23T00:00:00"/>
    <s v="David Lopez"/>
    <s v="North"/>
    <s v="Technology"/>
    <s v="Accessory25"/>
    <x v="4"/>
    <n v="724.54"/>
    <n v="5"/>
    <s v="UPI"/>
    <n v="2064.94"/>
  </r>
  <r>
    <s v="ORD1256"/>
    <d v="2025-05-06T00:00:00"/>
    <s v="Rachel Bradley"/>
    <s v="West"/>
    <s v="Office Supplies"/>
    <s v="Newell 343"/>
    <x v="5"/>
    <n v="664.62"/>
    <n v="10"/>
    <s v="Cash"/>
    <n v="3588.95"/>
  </r>
  <r>
    <s v="ORD1257"/>
    <d v="2023-10-04T00:00:00"/>
    <s v="Casey Chase"/>
    <s v="North"/>
    <s v="Office Supplies"/>
    <s v="Xerox 1897"/>
    <x v="0"/>
    <n v="1555.12"/>
    <n v="10"/>
    <s v="UPI"/>
    <n v="9797.26"/>
  </r>
  <r>
    <s v="ORD1258"/>
    <d v="2025-03-24T00:00:00"/>
    <s v="Samantha Robertson"/>
    <s v="North"/>
    <s v="Technology"/>
    <s v="Okidata ML395C Color Dot Matrix Printer"/>
    <x v="5"/>
    <n v="218.53"/>
    <n v="10"/>
    <s v="UPI"/>
    <n v="1180.06"/>
  </r>
  <r>
    <s v="ORD1259"/>
    <d v="2024-09-28T00:00:00"/>
    <s v="Michael Lopez"/>
    <s v="South"/>
    <s v="Office Supplies"/>
    <s v="Southworth 25% Cotton Linen-Finish Paper &amp; Envelopes"/>
    <x v="5"/>
    <n v="511.73"/>
    <n v="15"/>
    <s v="Cash"/>
    <n v="2609.8200000000002"/>
  </r>
  <r>
    <s v="ORD1260"/>
    <d v="2025-03-28T00:00:00"/>
    <s v="Franklin Wright"/>
    <s v="East"/>
    <s v="Office Supplies"/>
    <s v="Xerox 21"/>
    <x v="5"/>
    <n v="1478.28"/>
    <n v="15"/>
    <s v="Credit Card"/>
    <n v="7539.23"/>
  </r>
  <r>
    <s v="ORD1261"/>
    <d v="2023-11-17T00:00:00"/>
    <s v="David Molina"/>
    <s v="South"/>
    <s v="Office Supplies"/>
    <s v="Advantus Rolling Storage Box"/>
    <x v="4"/>
    <n v="1119.23"/>
    <n v="20"/>
    <s v="UPI"/>
    <n v="2686.15"/>
  </r>
  <r>
    <s v="ORD1262"/>
    <d v="2023-11-19T00:00:00"/>
    <s v="Elizabeth Sharp"/>
    <s v="East"/>
    <s v="Technology"/>
    <s v="Imation 3.5 IBM Formatted Diskettes, 10/Box"/>
    <x v="5"/>
    <n v="299.58"/>
    <n v="10"/>
    <s v="Cash"/>
    <n v="1617.73"/>
  </r>
  <r>
    <s v="ORD1263"/>
    <d v="2025-01-05T00:00:00"/>
    <s v="Matthew Schwartz"/>
    <s v="North"/>
    <s v="Office Supplies"/>
    <s v="Newell 343"/>
    <x v="2"/>
    <n v="1770.16"/>
    <n v="0"/>
    <s v="Credit Card"/>
    <n v="14161.28"/>
  </r>
  <r>
    <s v="ORD1264"/>
    <d v="2024-08-15T00:00:00"/>
    <s v="Bryan Parker"/>
    <s v="South"/>
    <s v="Office Supplies"/>
    <s v="Xerox 1897"/>
    <x v="6"/>
    <n v="817.22"/>
    <n v="20"/>
    <s v="UPI"/>
    <n v="1307.55"/>
  </r>
  <r>
    <s v="ORD1265"/>
    <d v="2024-10-12T00:00:00"/>
    <s v="Jonathan Jacobson"/>
    <s v="East"/>
    <s v="Technology"/>
    <s v="Okidata ML395C Color Dot Matrix Printer"/>
    <x v="3"/>
    <n v="1664.34"/>
    <n v="0"/>
    <s v="Net Banking"/>
    <n v="8321.7000000000007"/>
  </r>
  <r>
    <s v="ORD1266"/>
    <d v="2023-12-18T00:00:00"/>
    <s v="Emily Wilson"/>
    <s v="East"/>
    <s v="Office Supplies"/>
    <s v="Southworth 25% Cotton Linen-Finish Paper &amp; Envelopes"/>
    <x v="7"/>
    <n v="1586.04"/>
    <n v="15"/>
    <s v="Credit Card"/>
    <n v="1348.13"/>
  </r>
  <r>
    <s v="ORD1267"/>
    <d v="2024-03-04T00:00:00"/>
    <s v="Elizabeth Mendez"/>
    <s v="South"/>
    <s v="Technology"/>
    <s v="Adesso Programmable 142-Key Keyboard"/>
    <x v="7"/>
    <n v="1267.6300000000001"/>
    <n v="20"/>
    <s v="Cash"/>
    <n v="1014.1"/>
  </r>
  <r>
    <s v="ORD1268"/>
    <d v="2024-09-24T00:00:00"/>
    <s v="Casey Hernandez"/>
    <s v="West"/>
    <s v="Office Supplies"/>
    <s v="Xerox 1908"/>
    <x v="3"/>
    <n v="1014.24"/>
    <n v="20"/>
    <s v="Net Banking"/>
    <n v="4056.96"/>
  </r>
  <r>
    <s v="ORD1269"/>
    <d v="2025-06-19T00:00:00"/>
    <s v="Lisa Perry"/>
    <s v="East"/>
    <s v="Technology"/>
    <s v="Talkabout T8367"/>
    <x v="4"/>
    <n v="1960.12"/>
    <n v="5"/>
    <s v="Cash"/>
    <n v="5586.34"/>
  </r>
  <r>
    <s v="ORD1270"/>
    <d v="2024-11-25T00:00:00"/>
    <s v="Kaitlin Medina"/>
    <s v="North"/>
    <s v="Office Supplies"/>
    <s v="Tennsco Lockers, Gray"/>
    <x v="1"/>
    <n v="332.68"/>
    <n v="15"/>
    <s v="UPI"/>
    <n v="1131.1099999999999"/>
  </r>
  <r>
    <s v="ORD1271"/>
    <d v="2024-07-05T00:00:00"/>
    <s v="Colleen Wright"/>
    <s v="East"/>
    <s v="Furniture"/>
    <s v="SAFCO Folding Chair Trolley"/>
    <x v="4"/>
    <n v="1464.05"/>
    <n v="15"/>
    <s v="Credit Card"/>
    <n v="3733.33"/>
  </r>
  <r>
    <s v="ORD1272"/>
    <d v="2024-01-23T00:00:00"/>
    <s v="Shelley Miller"/>
    <s v="North"/>
    <s v="Office Supplies"/>
    <s v="Xerox 1910"/>
    <x v="7"/>
    <n v="422.82"/>
    <n v="20"/>
    <s v="Net Banking"/>
    <n v="338.26"/>
  </r>
  <r>
    <s v="ORD1273"/>
    <d v="2025-08-02T00:00:00"/>
    <s v="Michael Miller"/>
    <s v="South"/>
    <s v="Office Supplies"/>
    <s v="C-Line Peel &amp; Stick Add-On Filing Pockets, 8-3/4 x 5-1/8, 10/Pack"/>
    <x v="7"/>
    <n v="709.61"/>
    <n v="15"/>
    <s v="Net Banking"/>
    <n v="603.16999999999996"/>
  </r>
  <r>
    <s v="ORD1274"/>
    <d v="2024-10-03T00:00:00"/>
    <s v="Amy Kelley"/>
    <s v="East"/>
    <s v="Furniture"/>
    <s v="Nu-Dell Executive Frame"/>
    <x v="3"/>
    <n v="651.96"/>
    <n v="20"/>
    <s v="Net Banking"/>
    <n v="2607.84"/>
  </r>
  <r>
    <s v="ORD1275"/>
    <d v="2025-03-20T00:00:00"/>
    <s v="Laura Hernandez"/>
    <s v="North"/>
    <s v="Technology"/>
    <s v="Canon MP41DH Printing Calculator"/>
    <x v="5"/>
    <n v="1896.72"/>
    <n v="5"/>
    <s v="UPI"/>
    <n v="10811.3"/>
  </r>
  <r>
    <s v="ORD1276"/>
    <d v="2025-02-28T00:00:00"/>
    <s v="Joseph Wilson"/>
    <s v="North"/>
    <s v="Office Supplies"/>
    <s v="Wirebound Message Book, 4 per Page"/>
    <x v="4"/>
    <n v="1936.34"/>
    <n v="20"/>
    <s v="Credit Card"/>
    <n v="4647.22"/>
  </r>
  <r>
    <s v="ORD1277"/>
    <d v="2025-01-28T00:00:00"/>
    <s v="Kevin Davis"/>
    <s v="South"/>
    <s v="Furniture"/>
    <s v="Bevis Round Conference Table Top, X-Base"/>
    <x v="8"/>
    <n v="406.88"/>
    <n v="15"/>
    <s v="Credit Card"/>
    <n v="3112.63"/>
  </r>
  <r>
    <s v="ORD1278"/>
    <d v="2024-01-15T00:00:00"/>
    <s v="Rhonda Chavez"/>
    <s v="East"/>
    <s v="Office Supplies"/>
    <s v="Fellowes PB500 Electric Punch Plastic Comb Binding Machine with Manual Bind"/>
    <x v="3"/>
    <n v="92.97"/>
    <n v="15"/>
    <s v="UPI"/>
    <n v="395.12"/>
  </r>
  <r>
    <s v="ORD1279"/>
    <d v="2025-02-15T00:00:00"/>
    <s v="Joyce Brown"/>
    <s v="East"/>
    <s v="Technology"/>
    <s v="Lexmark 4227 Plus Dot Matrix Printer"/>
    <x v="2"/>
    <n v="1454.02"/>
    <n v="20"/>
    <s v="Cash"/>
    <n v="9305.73"/>
  </r>
  <r>
    <s v="ORD1280"/>
    <d v="2024-04-10T00:00:00"/>
    <s v="Robert Cummings"/>
    <s v="South"/>
    <s v="Technology"/>
    <s v="Canon P1-DHIII Palm Printing Calculator"/>
    <x v="7"/>
    <n v="865.08"/>
    <n v="20"/>
    <s v="Net Banking"/>
    <n v="692.06"/>
  </r>
  <r>
    <s v="ORD1281"/>
    <d v="2024-06-16T00:00:00"/>
    <s v="Robert Reese"/>
    <s v="East"/>
    <s v="Office Supplies"/>
    <s v="Staples® General Use 3-Ring Binders"/>
    <x v="3"/>
    <n v="223.24"/>
    <n v="20"/>
    <s v="Cash"/>
    <n v="892.96"/>
  </r>
  <r>
    <s v="ORD1282"/>
    <d v="2025-01-14T00:00:00"/>
    <s v="Amber Cooper"/>
    <s v="South"/>
    <s v="Office Supplies"/>
    <s v="Xerox 1978"/>
    <x v="4"/>
    <n v="1383.32"/>
    <n v="10"/>
    <s v="UPI"/>
    <n v="3734.96"/>
  </r>
  <r>
    <s v="ORD1283"/>
    <d v="2024-12-28T00:00:00"/>
    <s v="Zachary Michael"/>
    <s v="East"/>
    <s v="Office Supplies"/>
    <s v="GBC Pre-Punched Binding Paper, Plastic, White, 8-1/2&quot; x 11&quot;"/>
    <x v="7"/>
    <n v="1112.96"/>
    <n v="15"/>
    <s v="Cash"/>
    <n v="946.02"/>
  </r>
  <r>
    <s v="ORD1284"/>
    <d v="2024-05-28T00:00:00"/>
    <s v="Timothy Johnson"/>
    <s v="West"/>
    <s v="Office Supplies"/>
    <s v="GBC Recycled Regency Composition Covers"/>
    <x v="1"/>
    <n v="1962.01"/>
    <n v="15"/>
    <s v="Cash"/>
    <n v="6670.83"/>
  </r>
  <r>
    <s v="ORD1285"/>
    <d v="2024-07-17T00:00:00"/>
    <s v="Randy Cannon"/>
    <s v="East"/>
    <s v="Technology"/>
    <s v="Accessory29"/>
    <x v="3"/>
    <n v="493.45"/>
    <n v="10"/>
    <s v="UPI"/>
    <n v="2220.52"/>
  </r>
  <r>
    <s v="ORD1286"/>
    <d v="2025-07-10T00:00:00"/>
    <s v="Maria Fisher"/>
    <s v="North"/>
    <s v="Technology"/>
    <s v="Soundgear Copyboard Conference Phone, Optional Battery"/>
    <x v="0"/>
    <n v="837.76"/>
    <n v="20"/>
    <s v="Net Banking"/>
    <n v="4691.46"/>
  </r>
  <r>
    <s v="ORD1287"/>
    <d v="2024-09-17T00:00:00"/>
    <s v="Janet Kane DVM"/>
    <s v="North"/>
    <s v="Furniture"/>
    <s v="DAX Wood Document Frame."/>
    <x v="7"/>
    <n v="1107.96"/>
    <n v="5"/>
    <s v="Cash"/>
    <n v="1052.56"/>
  </r>
  <r>
    <s v="ORD1288"/>
    <d v="2024-07-27T00:00:00"/>
    <s v="Michael Stanley"/>
    <s v="West"/>
    <s v="Office Supplies"/>
    <s v="Wilson Jones Hanging View Binder, White, 1&quot;"/>
    <x v="4"/>
    <n v="1593.81"/>
    <n v="20"/>
    <s v="Credit Card"/>
    <n v="3825.14"/>
  </r>
  <r>
    <s v="ORD1289"/>
    <d v="2023-11-13T00:00:00"/>
    <s v="Martha Bailey"/>
    <s v="East"/>
    <s v="Office Supplies"/>
    <s v="Newell 323"/>
    <x v="6"/>
    <n v="1120.24"/>
    <n v="20"/>
    <s v="Cash"/>
    <n v="1792.38"/>
  </r>
  <r>
    <s v="ORD1290"/>
    <d v="2024-02-20T00:00:00"/>
    <s v="Joshua Rice"/>
    <s v="North"/>
    <s v="Furniture"/>
    <s v="BoxOffice By Design Rectangular and Half-Moon Meeting Room Tables"/>
    <x v="8"/>
    <n v="1245.1600000000001"/>
    <n v="10"/>
    <s v="Cash"/>
    <n v="10085.799999999999"/>
  </r>
  <r>
    <s v="ORD1291"/>
    <d v="2024-02-02T00:00:00"/>
    <s v="Courtney Smith"/>
    <s v="North"/>
    <s v="Technology"/>
    <s v="Sharp 1540cs Digital Laser Copier"/>
    <x v="5"/>
    <n v="490.99"/>
    <n v="15"/>
    <s v="Credit Card"/>
    <n v="2504.0500000000002"/>
  </r>
  <r>
    <s v="ORD1292"/>
    <d v="2023-09-30T00:00:00"/>
    <s v="Edwin Nunez"/>
    <s v="East"/>
    <s v="Technology"/>
    <s v="2160"/>
    <x v="4"/>
    <n v="1701.49"/>
    <n v="20"/>
    <s v="Net Banking"/>
    <n v="4083.58"/>
  </r>
  <r>
    <s v="ORD1293"/>
    <d v="2024-04-30T00:00:00"/>
    <s v="Kim Morrow"/>
    <s v="South"/>
    <s v="Office Supplies"/>
    <s v="White GlueTop Scratch Pads"/>
    <x v="2"/>
    <n v="885.83"/>
    <n v="15"/>
    <s v="Credit Card"/>
    <n v="6023.64"/>
  </r>
  <r>
    <s v="ORD1294"/>
    <d v="2023-08-28T00:00:00"/>
    <s v="Gregory Hill"/>
    <s v="East"/>
    <s v="Office Supplies"/>
    <s v="Adams Phone Message Book, 200 Message Capacity, 8 1/16” x 11”"/>
    <x v="2"/>
    <n v="324.87"/>
    <n v="0"/>
    <s v="Net Banking"/>
    <n v="2598.96"/>
  </r>
  <r>
    <s v="ORD1295"/>
    <d v="2024-11-10T00:00:00"/>
    <s v="Molly Rodriguez"/>
    <s v="South"/>
    <s v="Technology"/>
    <s v="Lexmark 4227 Plus Dot Matrix Printer"/>
    <x v="6"/>
    <n v="1345.17"/>
    <n v="15"/>
    <s v="UPI"/>
    <n v="2286.79"/>
  </r>
  <r>
    <s v="ORD1296"/>
    <d v="2024-10-15T00:00:00"/>
    <s v="Jennifer Miranda"/>
    <s v="West"/>
    <s v="Office Supplies"/>
    <s v="Xerox 1922"/>
    <x v="5"/>
    <n v="471.38"/>
    <n v="5"/>
    <s v="UPI"/>
    <n v="2686.87"/>
  </r>
  <r>
    <s v="ORD1297"/>
    <d v="2024-02-06T00:00:00"/>
    <s v="Alexis Harris"/>
    <s v="West"/>
    <s v="Furniture"/>
    <s v="Bevis 36 x 72 Conference Tables"/>
    <x v="0"/>
    <n v="240.25"/>
    <n v="5"/>
    <s v="Cash"/>
    <n v="1597.66"/>
  </r>
  <r>
    <s v="ORD1298"/>
    <d v="2024-11-11T00:00:00"/>
    <s v="Andrew Harper"/>
    <s v="North"/>
    <s v="Technology"/>
    <s v="Lexmark 4227 Plus Dot Matrix Printer"/>
    <x v="6"/>
    <n v="1730.87"/>
    <n v="20"/>
    <s v="Cash"/>
    <n v="2769.39"/>
  </r>
  <r>
    <s v="ORD1299"/>
    <d v="2024-01-30T00:00:00"/>
    <s v="Amber Yang"/>
    <s v="North"/>
    <s v="Office Supplies"/>
    <s v="Xerox 1922"/>
    <x v="6"/>
    <n v="947.32"/>
    <n v="15"/>
    <s v="UPI"/>
    <n v="1610.44"/>
  </r>
  <r>
    <s v="ORD1300"/>
    <d v="2023-08-17T00:00:00"/>
    <s v="David Robinson"/>
    <s v="North"/>
    <s v="Furniture"/>
    <s v="Bevis 36 x 72 Conference Tables"/>
    <x v="7"/>
    <n v="1511.1"/>
    <n v="20"/>
    <s v="Credit Card"/>
    <n v="1208.8800000000001"/>
  </r>
  <r>
    <s v="ORD1301"/>
    <d v="2023-10-06T00:00:00"/>
    <s v="Amy Gordon"/>
    <s v="South"/>
    <s v="Office Supplies"/>
    <s v="Adams Phone Message Book, 200 Message Capacity, 8 1/16” x 11”"/>
    <x v="2"/>
    <n v="616.65"/>
    <n v="10"/>
    <s v="UPI"/>
    <n v="4439.88"/>
  </r>
  <r>
    <s v="ORD1302"/>
    <d v="2025-02-11T00:00:00"/>
    <s v="Robert Dennis"/>
    <s v="North"/>
    <s v="Office Supplies"/>
    <s v="Fellowes Neat Ideas® Storage Cubes"/>
    <x v="7"/>
    <n v="1584.59"/>
    <n v="5"/>
    <s v="Net Banking"/>
    <n v="1505.36"/>
  </r>
  <r>
    <s v="ORD1303"/>
    <d v="2024-12-14T00:00:00"/>
    <s v="Kyle Chambers"/>
    <s v="East"/>
    <s v="Furniture"/>
    <s v="Hon 2090 “Pillow Soft” Series Mid Back Swivel/Tilt Chairs"/>
    <x v="8"/>
    <n v="268.27999999999997"/>
    <n v="20"/>
    <s v="Cash"/>
    <n v="1931.62"/>
  </r>
  <r>
    <s v="ORD1304"/>
    <d v="2023-09-26T00:00:00"/>
    <s v="Eric Thomas"/>
    <s v="South"/>
    <s v="Office Supplies"/>
    <s v="Tripp Lite Isotel 8 Ultra 8 Outlet Metal Surge"/>
    <x v="5"/>
    <n v="744.15"/>
    <n v="10"/>
    <s v="Credit Card"/>
    <n v="4018.41"/>
  </r>
  <r>
    <s v="ORD1305"/>
    <d v="2024-02-05T00:00:00"/>
    <s v="Connie Turner"/>
    <s v="West"/>
    <s v="Office Supplies"/>
    <s v="Catalog Binders with Expanding Posts"/>
    <x v="0"/>
    <n v="1957.22"/>
    <n v="20"/>
    <s v="Cash"/>
    <n v="10960.43"/>
  </r>
  <r>
    <s v="ORD1306"/>
    <d v="2023-10-03T00:00:00"/>
    <s v="Travis Hobbs"/>
    <s v="South"/>
    <s v="Technology"/>
    <s v="Bell Sonecor JB700 Caller ID"/>
    <x v="0"/>
    <n v="1598.28"/>
    <n v="15"/>
    <s v="UPI"/>
    <n v="9509.77"/>
  </r>
  <r>
    <s v="ORD1307"/>
    <d v="2025-07-15T00:00:00"/>
    <s v="Lori Simmons"/>
    <s v="North"/>
    <s v="Office Supplies"/>
    <s v="ACCOHIDE® 3-Ring Binder, Blue, 1&quot;"/>
    <x v="4"/>
    <n v="1019.65"/>
    <n v="15"/>
    <s v="Credit Card"/>
    <n v="2600.11"/>
  </r>
  <r>
    <s v="ORD1308"/>
    <d v="2023-09-05T00:00:00"/>
    <s v="William David DDS"/>
    <s v="East"/>
    <s v="Office Supplies"/>
    <s v="Deluxe Rollaway Locking File with Drawer"/>
    <x v="6"/>
    <n v="712.57"/>
    <n v="15"/>
    <s v="UPI"/>
    <n v="1211.3699999999999"/>
  </r>
  <r>
    <s v="ORD1309"/>
    <d v="2025-06-09T00:00:00"/>
    <s v="Emma Butler"/>
    <s v="East"/>
    <s v="Office Supplies"/>
    <s v="Hoover Portapower™ Portable Vacuum"/>
    <x v="8"/>
    <n v="1750.66"/>
    <n v="15"/>
    <s v="Net Banking"/>
    <n v="13392.55"/>
  </r>
  <r>
    <s v="ORD1310"/>
    <d v="2024-04-24T00:00:00"/>
    <s v="James Webster"/>
    <s v="North"/>
    <s v="Office Supplies"/>
    <s v="Multimedia Mailers"/>
    <x v="2"/>
    <n v="1112.45"/>
    <n v="0"/>
    <s v="UPI"/>
    <n v="8899.6"/>
  </r>
  <r>
    <s v="ORD1311"/>
    <d v="2023-10-06T00:00:00"/>
    <s v="Samuel Turner"/>
    <s v="East"/>
    <s v="Office Supplies"/>
    <s v="Peel &amp; Seel® Recycled Catalog Envelopes, Brown"/>
    <x v="0"/>
    <n v="1528.93"/>
    <n v="10"/>
    <s v="Credit Card"/>
    <n v="9632.26"/>
  </r>
  <r>
    <s v="ORD1312"/>
    <d v="2024-09-14T00:00:00"/>
    <s v="Renee Melendez"/>
    <s v="South"/>
    <s v="Technology"/>
    <s v="Accessory6"/>
    <x v="8"/>
    <n v="1520.51"/>
    <n v="10"/>
    <s v="UPI"/>
    <n v="12316.13"/>
  </r>
  <r>
    <s v="ORD1313"/>
    <d v="2024-02-12T00:00:00"/>
    <s v="Tracy Grant"/>
    <s v="South"/>
    <s v="Office Supplies"/>
    <s v="Tenex File Box, Personal Filing Tote with Lid, Black"/>
    <x v="1"/>
    <n v="84.99"/>
    <n v="15"/>
    <s v="Cash"/>
    <n v="288.97000000000003"/>
  </r>
  <r>
    <s v="ORD1314"/>
    <d v="2024-03-15T00:00:00"/>
    <s v="David Harris"/>
    <s v="North"/>
    <s v="Office Supplies"/>
    <s v="Acme Hot Forged Carbon Steel Scissors with Nickel-Plated Handles, 3 7/8&quot; Cut, 8&quot;L"/>
    <x v="1"/>
    <n v="296.19"/>
    <n v="0"/>
    <s v="Cash"/>
    <n v="1184.76"/>
  </r>
  <r>
    <s v="ORD1315"/>
    <d v="2025-01-12T00:00:00"/>
    <s v="Tammy Boone"/>
    <s v="East"/>
    <s v="Office Supplies"/>
    <s v="Avery 4027 File Folder Labels for Dot Matrix Printers, 5000 Labels per Box, White"/>
    <x v="7"/>
    <n v="1336.28"/>
    <n v="15"/>
    <s v="Credit Card"/>
    <n v="1135.8399999999999"/>
  </r>
  <r>
    <s v="ORD1316"/>
    <d v="2024-08-23T00:00:00"/>
    <s v="Nathaniel Lee"/>
    <s v="West"/>
    <s v="Office Supplies"/>
    <s v="Newell 323"/>
    <x v="2"/>
    <n v="365.16"/>
    <n v="0"/>
    <s v="Cash"/>
    <n v="2921.28"/>
  </r>
  <r>
    <s v="ORD1317"/>
    <d v="2024-01-25T00:00:00"/>
    <s v="Michael Morrison"/>
    <s v="South"/>
    <s v="Furniture"/>
    <s v="9-3/4 Diameter Round Wall Clock"/>
    <x v="4"/>
    <n v="548.21"/>
    <n v="15"/>
    <s v="Net Banking"/>
    <n v="1397.94"/>
  </r>
  <r>
    <s v="ORD1318"/>
    <d v="2024-10-03T00:00:00"/>
    <s v="Chelsea Gill"/>
    <s v="South"/>
    <s v="Technology"/>
    <s v="80 Minute CD-R Spindle, 100/Pack - Staples"/>
    <x v="0"/>
    <n v="1895.94"/>
    <n v="5"/>
    <s v="Net Banking"/>
    <n v="12608"/>
  </r>
  <r>
    <s v="ORD1319"/>
    <d v="2023-11-22T00:00:00"/>
    <s v="Kristin Mendoza"/>
    <s v="South"/>
    <s v="Furniture"/>
    <s v="3M Hangers With Command Adhesive"/>
    <x v="6"/>
    <n v="1142.3599999999999"/>
    <n v="5"/>
    <s v="Credit Card"/>
    <n v="2170.48"/>
  </r>
  <r>
    <s v="ORD1320"/>
    <d v="2025-02-23T00:00:00"/>
    <s v="Felicia Krueger"/>
    <s v="South"/>
    <s v="Office Supplies"/>
    <s v="Durable Pressboard Binders"/>
    <x v="6"/>
    <n v="1513.92"/>
    <n v="20"/>
    <s v="UPI"/>
    <n v="2422.27"/>
  </r>
  <r>
    <s v="ORD1321"/>
    <d v="2025-08-07T00:00:00"/>
    <s v="Timothy Hayden"/>
    <s v="West"/>
    <s v="Office Supplies"/>
    <s v="Adams Telephone Message Book w/Frequently-Called Numbers Space, 400 Messages per Book"/>
    <x v="0"/>
    <n v="1138.06"/>
    <n v="15"/>
    <s v="Cash"/>
    <n v="6771.46"/>
  </r>
  <r>
    <s v="ORD1322"/>
    <d v="2025-06-27T00:00:00"/>
    <s v="Zachary Mendoza"/>
    <s v="North"/>
    <s v="Furniture"/>
    <s v="Bretford “Just In Time” Height-Adjustable Multi-Task Work Tables"/>
    <x v="5"/>
    <n v="1127.4000000000001"/>
    <n v="10"/>
    <s v="Cash"/>
    <n v="6087.96"/>
  </r>
  <r>
    <s v="ORD1323"/>
    <d v="2024-10-28T00:00:00"/>
    <s v="Larry Harris"/>
    <s v="South"/>
    <s v="Office Supplies"/>
    <s v="Xerox 1976"/>
    <x v="4"/>
    <n v="233.6"/>
    <n v="20"/>
    <s v="UPI"/>
    <n v="560.64"/>
  </r>
  <r>
    <s v="ORD1324"/>
    <d v="2024-11-01T00:00:00"/>
    <s v="Kristen Rowe"/>
    <s v="East"/>
    <s v="Office Supplies"/>
    <s v="Xerox 210"/>
    <x v="8"/>
    <n v="720.14"/>
    <n v="5"/>
    <s v="UPI"/>
    <n v="6157.2"/>
  </r>
  <r>
    <s v="ORD1325"/>
    <d v="2024-08-13T00:00:00"/>
    <s v="Joseph Howard"/>
    <s v="West"/>
    <s v="Technology"/>
    <s v="Accessory27"/>
    <x v="5"/>
    <n v="600.74"/>
    <n v="15"/>
    <s v="UPI"/>
    <n v="3063.77"/>
  </r>
  <r>
    <s v="ORD1326"/>
    <d v="2024-02-16T00:00:00"/>
    <s v="Jose Crawford"/>
    <s v="South"/>
    <s v="Furniture"/>
    <s v="Laminate Occasional Tables"/>
    <x v="5"/>
    <n v="811.92"/>
    <n v="20"/>
    <s v="UPI"/>
    <n v="3897.22"/>
  </r>
  <r>
    <s v="ORD1327"/>
    <d v="2025-04-12T00:00:00"/>
    <s v="William Harrison"/>
    <s v="East"/>
    <s v="Office Supplies"/>
    <s v="Staples® General Use 3-Ring Binders"/>
    <x v="7"/>
    <n v="1606.77"/>
    <n v="15"/>
    <s v="Cash"/>
    <n v="1365.75"/>
  </r>
  <r>
    <s v="ORD1328"/>
    <d v="2024-08-13T00:00:00"/>
    <s v="Suzanne Wood"/>
    <s v="South"/>
    <s v="Furniture"/>
    <s v="Laminate Occasional Tables"/>
    <x v="1"/>
    <n v="775.27"/>
    <n v="5"/>
    <s v="Net Banking"/>
    <n v="2946.03"/>
  </r>
  <r>
    <s v="ORD1329"/>
    <d v="2025-04-30T00:00:00"/>
    <s v="Justin Walker"/>
    <s v="North"/>
    <s v="Office Supplies"/>
    <s v="Park Ridge™ Embossed Executive Business Envelopes"/>
    <x v="5"/>
    <n v="930.81"/>
    <n v="20"/>
    <s v="Credit Card"/>
    <n v="4467.8900000000003"/>
  </r>
  <r>
    <s v="ORD1330"/>
    <d v="2024-06-23T00:00:00"/>
    <s v="Dean Donovan"/>
    <s v="West"/>
    <s v="Office Supplies"/>
    <s v="Iris® 3-Drawer Stacking Bin, Black"/>
    <x v="5"/>
    <n v="824.89"/>
    <n v="5"/>
    <s v="Credit Card"/>
    <n v="4701.87"/>
  </r>
  <r>
    <s v="ORD1331"/>
    <d v="2024-01-06T00:00:00"/>
    <s v="Jennifer Hernandez"/>
    <s v="North"/>
    <s v="Technology"/>
    <s v="Belkin 107-key enhanced keyboard, USB/PS/2 interface"/>
    <x v="3"/>
    <n v="232.15"/>
    <n v="0"/>
    <s v="UPI"/>
    <n v="1160.75"/>
  </r>
  <r>
    <s v="ORD1332"/>
    <d v="2023-10-24T00:00:00"/>
    <s v="James Whitaker"/>
    <s v="West"/>
    <s v="Office Supplies"/>
    <s v="Acco PRESSTEX® Data Binder with Storage Hooks, Dark Blue, 14 7/8&quot; X 11&quot;"/>
    <x v="7"/>
    <n v="910.09"/>
    <n v="5"/>
    <s v="Net Banking"/>
    <n v="864.59"/>
  </r>
  <r>
    <s v="ORD1333"/>
    <d v="2023-10-26T00:00:00"/>
    <s v="Mr. Michael Scott PhD"/>
    <s v="South"/>
    <s v="Office Supplies"/>
    <s v="1/4 Fold Party Design Invitations &amp; White Envelopes, 24 8-1/2&quot; X 11&quot; Cards, 25 Env./Pack"/>
    <x v="2"/>
    <n v="431.44"/>
    <n v="15"/>
    <s v="Cash"/>
    <n v="2933.79"/>
  </r>
  <r>
    <s v="ORD1334"/>
    <d v="2025-01-04T00:00:00"/>
    <s v="Maria Henry"/>
    <s v="South"/>
    <s v="Furniture"/>
    <s v="Coloredge Poster Frame"/>
    <x v="3"/>
    <n v="414.11"/>
    <n v="10"/>
    <s v="Cash"/>
    <n v="1863.5"/>
  </r>
  <r>
    <s v="ORD1335"/>
    <d v="2024-07-11T00:00:00"/>
    <s v="Robert Jackson"/>
    <s v="West"/>
    <s v="Office Supplies"/>
    <s v="Adams Phone Message Book, 200 Message Capacity, 8 1/16” x 11”"/>
    <x v="3"/>
    <n v="233.37"/>
    <n v="5"/>
    <s v="Credit Card"/>
    <n v="1108.51"/>
  </r>
  <r>
    <s v="ORD1336"/>
    <d v="2024-05-13T00:00:00"/>
    <s v="Katherine Stark"/>
    <s v="East"/>
    <s v="Technology"/>
    <s v="T28 WORLD"/>
    <x v="0"/>
    <n v="745.51"/>
    <n v="10"/>
    <s v="UPI"/>
    <n v="4696.71"/>
  </r>
  <r>
    <s v="ORD1337"/>
    <d v="2024-07-06T00:00:00"/>
    <s v="Maria Brown"/>
    <s v="East"/>
    <s v="Office Supplies"/>
    <s v="Xerox 212"/>
    <x v="1"/>
    <n v="1527.09"/>
    <n v="0"/>
    <s v="Net Banking"/>
    <n v="6108.36"/>
  </r>
  <r>
    <s v="ORD1338"/>
    <d v="2024-06-26T00:00:00"/>
    <s v="Ryan Landry"/>
    <s v="South"/>
    <s v="Technology"/>
    <s v="Accessory6"/>
    <x v="5"/>
    <n v="589.05999999999995"/>
    <n v="20"/>
    <s v="Credit Card"/>
    <n v="2827.49"/>
  </r>
  <r>
    <s v="ORD1339"/>
    <d v="2024-08-08T00:00:00"/>
    <s v="Pamela Gutierrez"/>
    <s v="South"/>
    <s v="Office Supplies"/>
    <s v="Smead Adjustable Mobile File Trolley with Lockable Top"/>
    <x v="1"/>
    <n v="659.08"/>
    <n v="20"/>
    <s v="Net Banking"/>
    <n v="2109.06"/>
  </r>
  <r>
    <s v="ORD1340"/>
    <d v="2025-06-12T00:00:00"/>
    <s v="Crystal Mann"/>
    <s v="North"/>
    <s v="Furniture"/>
    <s v="Eldon® Wave Desk Accessories"/>
    <x v="4"/>
    <n v="1303.22"/>
    <n v="10"/>
    <s v="UPI"/>
    <n v="3518.69"/>
  </r>
  <r>
    <s v="ORD1341"/>
    <d v="2025-02-28T00:00:00"/>
    <s v="Jonathan Brooks"/>
    <s v="South"/>
    <s v="Office Supplies"/>
    <s v="Sauder Facets Collection Locker/File Cabinet, Sky Alder Finish"/>
    <x v="0"/>
    <n v="431.89"/>
    <n v="20"/>
    <s v="UPI"/>
    <n v="2418.58"/>
  </r>
  <r>
    <s v="ORD1342"/>
    <d v="2023-09-23T00:00:00"/>
    <s v="Mary Jensen"/>
    <s v="West"/>
    <s v="Furniture"/>
    <s v="Rush Hierlooms Collection Rich Wood Bookcases"/>
    <x v="2"/>
    <n v="1799.07"/>
    <n v="5"/>
    <s v="Credit Card"/>
    <n v="13672.93"/>
  </r>
  <r>
    <s v="ORD1343"/>
    <d v="2025-01-16T00:00:00"/>
    <s v="Mr. Aaron Arnold"/>
    <s v="East"/>
    <s v="Technology"/>
    <s v="6120"/>
    <x v="1"/>
    <n v="1064.3699999999999"/>
    <n v="10"/>
    <s v="UPI"/>
    <n v="3831.73"/>
  </r>
  <r>
    <s v="ORD1344"/>
    <d v="2024-12-31T00:00:00"/>
    <s v="Joseph Hill"/>
    <s v="East"/>
    <s v="Technology"/>
    <s v="KH 688"/>
    <x v="6"/>
    <n v="922.83"/>
    <n v="15"/>
    <s v="Net Banking"/>
    <n v="1568.81"/>
  </r>
  <r>
    <s v="ORD1345"/>
    <d v="2024-12-25T00:00:00"/>
    <s v="Alicia Li"/>
    <s v="North"/>
    <s v="Furniture"/>
    <s v="Chromcraft Rectangular Conference Tables"/>
    <x v="4"/>
    <n v="1137.75"/>
    <n v="5"/>
    <s v="Net Banking"/>
    <n v="3242.59"/>
  </r>
  <r>
    <s v="ORD1346"/>
    <d v="2023-10-27T00:00:00"/>
    <s v="Renee Browning"/>
    <s v="East"/>
    <s v="Furniture"/>
    <s v="Chromcraft Rectangular Conference Tables"/>
    <x v="7"/>
    <n v="373.77"/>
    <n v="5"/>
    <s v="Credit Card"/>
    <n v="355.08"/>
  </r>
  <r>
    <s v="ORD1347"/>
    <d v="2023-09-28T00:00:00"/>
    <s v="Brent Hernandez"/>
    <s v="East"/>
    <s v="Furniture"/>
    <s v="Rush Hierlooms Collection Rich Wood Bookcases"/>
    <x v="2"/>
    <n v="1246.27"/>
    <n v="5"/>
    <s v="UPI"/>
    <n v="9471.65"/>
  </r>
  <r>
    <s v="ORD1348"/>
    <d v="2024-06-19T00:00:00"/>
    <s v="Joseph Ochoa"/>
    <s v="West"/>
    <s v="Technology"/>
    <s v="6120"/>
    <x v="4"/>
    <n v="758.05"/>
    <n v="15"/>
    <s v="Cash"/>
    <n v="1933.03"/>
  </r>
  <r>
    <s v="ORD1349"/>
    <d v="2025-02-27T00:00:00"/>
    <s v="James Watson"/>
    <s v="East"/>
    <s v="Technology"/>
    <s v="KH 688"/>
    <x v="0"/>
    <n v="1799.51"/>
    <n v="0"/>
    <s v="UPI"/>
    <n v="12596.57"/>
  </r>
  <r>
    <s v="ORD1350"/>
    <d v="2024-05-01T00:00:00"/>
    <s v="Karl Branch"/>
    <s v="North"/>
    <s v="Furniture"/>
    <s v="Howard Miller 13-3/4&quot; Diameter Brushed Chrome Round Wall Clock"/>
    <x v="3"/>
    <n v="379.27"/>
    <n v="20"/>
    <s v="Credit Card"/>
    <n v="1517.08"/>
  </r>
  <r>
    <s v="ORD1351"/>
    <d v="2025-04-24T00:00:00"/>
    <s v="Michael Abbott"/>
    <s v="North"/>
    <s v="Furniture"/>
    <s v="Executive Impressions 13&quot; Chairman Wall Clock"/>
    <x v="3"/>
    <n v="1038.75"/>
    <n v="10"/>
    <s v="Credit Card"/>
    <n v="4674.38"/>
  </r>
  <r>
    <s v="ORD1352"/>
    <d v="2025-06-11T00:00:00"/>
    <s v="Shannon Malone"/>
    <s v="East"/>
    <s v="Office Supplies"/>
    <s v="Staples Bulldog Clip"/>
    <x v="0"/>
    <n v="1216.32"/>
    <n v="0"/>
    <s v="Cash"/>
    <n v="8514.24"/>
  </r>
  <r>
    <s v="ORD1353"/>
    <d v="2023-11-04T00:00:00"/>
    <s v="James Tran"/>
    <s v="South"/>
    <s v="Office Supplies"/>
    <s v="GBC Pre-Punched Binding Paper, Plastic, White, 8-1/2&quot; x 11&quot;"/>
    <x v="8"/>
    <n v="115.1"/>
    <n v="10"/>
    <s v="Credit Card"/>
    <n v="932.31"/>
  </r>
  <r>
    <s v="ORD1354"/>
    <d v="2024-02-21T00:00:00"/>
    <s v="Adam Jackson"/>
    <s v="East"/>
    <s v="Furniture"/>
    <s v="Riverside Palais Royal Lawyers Bookcase, Royale Cherry Finish"/>
    <x v="3"/>
    <n v="759.2"/>
    <n v="20"/>
    <s v="Credit Card"/>
    <n v="3036.8"/>
  </r>
  <r>
    <s v="ORD1355"/>
    <d v="2024-01-07T00:00:00"/>
    <s v="Mr. Richard Knight PhD"/>
    <s v="North"/>
    <s v="Furniture"/>
    <s v="Electrix 20W Halogen Replacement Bulb for Zoom-In Desk Lamp"/>
    <x v="7"/>
    <n v="1478.64"/>
    <n v="15"/>
    <s v="Cash"/>
    <n v="1256.8399999999999"/>
  </r>
  <r>
    <s v="ORD1356"/>
    <d v="2024-01-06T00:00:00"/>
    <s v="Joseph Williams"/>
    <s v="North"/>
    <s v="Technology"/>
    <s v="210 Trimline Phone, White"/>
    <x v="7"/>
    <n v="1649.74"/>
    <n v="5"/>
    <s v="Cash"/>
    <n v="1567.25"/>
  </r>
  <r>
    <s v="ORD1357"/>
    <d v="2024-10-01T00:00:00"/>
    <s v="Sean Clay"/>
    <s v="West"/>
    <s v="Office Supplies"/>
    <s v="Wilson Jones Suede Grain Vinyl Binders"/>
    <x v="6"/>
    <n v="660.67"/>
    <n v="5"/>
    <s v="Net Banking"/>
    <n v="1255.27"/>
  </r>
  <r>
    <s v="ORD1358"/>
    <d v="2024-07-25T00:00:00"/>
    <s v="Anthony Jones"/>
    <s v="East"/>
    <s v="Office Supplies"/>
    <s v="Computer Printout Paper with Letter-Trim Perforations"/>
    <x v="5"/>
    <n v="1607.26"/>
    <n v="15"/>
    <s v="Credit Card"/>
    <n v="8197.0300000000007"/>
  </r>
  <r>
    <s v="ORD1359"/>
    <d v="2023-11-28T00:00:00"/>
    <s v="Stephanie Elliott"/>
    <s v="East"/>
    <s v="Technology"/>
    <s v="Hewlett-Packard 2600DN Business Color Inkjet Printer"/>
    <x v="8"/>
    <n v="1937.12"/>
    <n v="0"/>
    <s v="Cash"/>
    <n v="17434.080000000002"/>
  </r>
  <r>
    <s v="ORD1360"/>
    <d v="2024-07-04T00:00:00"/>
    <s v="Timothy Edwards"/>
    <s v="West"/>
    <s v="Furniture"/>
    <s v="DAX Clear Channel Poster Frame"/>
    <x v="2"/>
    <n v="1720.9"/>
    <n v="0"/>
    <s v="Net Banking"/>
    <n v="13767.2"/>
  </r>
  <r>
    <s v="ORD1361"/>
    <d v="2024-01-01T00:00:00"/>
    <s v="Laurie Goodwin"/>
    <s v="North"/>
    <s v="Furniture"/>
    <s v="Executive Impressions 14&quot; Two-Color Numerals Wall Clock"/>
    <x v="3"/>
    <n v="279.41000000000003"/>
    <n v="10"/>
    <s v="Credit Card"/>
    <n v="1257.3499999999999"/>
  </r>
  <r>
    <s v="ORD1362"/>
    <d v="2024-03-15T00:00:00"/>
    <s v="Jennifer Jones"/>
    <s v="West"/>
    <s v="Furniture"/>
    <s v="Office Star - Contemporary Task Swivel chair with 2-way adjustable arms, Plum"/>
    <x v="7"/>
    <n v="1492.47"/>
    <n v="15"/>
    <s v="Cash"/>
    <n v="1268.5999999999999"/>
  </r>
  <r>
    <s v="ORD1363"/>
    <d v="2024-08-05T00:00:00"/>
    <s v="David Davenport"/>
    <s v="South"/>
    <s v="Office Supplies"/>
    <s v="Newell® 3-Hole Punched Plastic Slotted Magazine Holders for Binders"/>
    <x v="0"/>
    <n v="673.35"/>
    <n v="0"/>
    <s v="Credit Card"/>
    <n v="4713.45"/>
  </r>
  <r>
    <s v="ORD1364"/>
    <d v="2024-02-22T00:00:00"/>
    <s v="Steven Rivera"/>
    <s v="East"/>
    <s v="Furniture"/>
    <s v="Executive Impressions 14&quot; Two-Color Numerals Wall Clock"/>
    <x v="3"/>
    <n v="1977.41"/>
    <n v="15"/>
    <s v="Net Banking"/>
    <n v="8403.99"/>
  </r>
  <r>
    <s v="ORD1365"/>
    <d v="2025-06-21T00:00:00"/>
    <s v="Brenda Hinton"/>
    <s v="North"/>
    <s v="Office Supplies"/>
    <s v="Newell® 3-Hole Punched Plastic Slotted Magazine Holders for Binders"/>
    <x v="5"/>
    <n v="996.45"/>
    <n v="20"/>
    <s v="UPI"/>
    <n v="4782.96"/>
  </r>
  <r>
    <s v="ORD1366"/>
    <d v="2025-07-29T00:00:00"/>
    <s v="Kathryn Mccann"/>
    <s v="West"/>
    <s v="Office Supplies"/>
    <s v="Avery 498"/>
    <x v="0"/>
    <n v="288.75"/>
    <n v="5"/>
    <s v="Credit Card"/>
    <n v="1920.19"/>
  </r>
  <r>
    <s v="ORD1367"/>
    <d v="2023-10-09T00:00:00"/>
    <s v="Jeffrey Roberson"/>
    <s v="North"/>
    <s v="Office Supplies"/>
    <s v="Xerox 1891"/>
    <x v="4"/>
    <n v="1464.11"/>
    <n v="5"/>
    <s v="Credit Card"/>
    <n v="4172.71"/>
  </r>
  <r>
    <s v="ORD1368"/>
    <d v="2024-07-21T00:00:00"/>
    <s v="Randy Friedman"/>
    <s v="South"/>
    <s v="Furniture"/>
    <s v="Hon 94000 Series Round Tables"/>
    <x v="4"/>
    <n v="679.87"/>
    <n v="5"/>
    <s v="Credit Card"/>
    <n v="1937.63"/>
  </r>
  <r>
    <s v="ORD1369"/>
    <d v="2025-04-30T00:00:00"/>
    <s v="Raymond Johnson"/>
    <s v="East"/>
    <s v="Office Supplies"/>
    <s v="Sanford Colorific Colored Pencils, 12/Box"/>
    <x v="3"/>
    <n v="1994.3"/>
    <n v="15"/>
    <s v="Credit Card"/>
    <n v="8475.7800000000007"/>
  </r>
  <r>
    <s v="ORD1370"/>
    <d v="2025-06-11T00:00:00"/>
    <s v="Willie Henry"/>
    <s v="West"/>
    <s v="Technology"/>
    <s v="R380"/>
    <x v="5"/>
    <n v="1960.58"/>
    <n v="15"/>
    <s v="Cash"/>
    <n v="9998.9599999999991"/>
  </r>
  <r>
    <s v="ORD1371"/>
    <d v="2025-06-06T00:00:00"/>
    <s v="Todd Reynolds"/>
    <s v="North"/>
    <s v="Office Supplies"/>
    <s v="Fellowes Super Stor/Drawer® Files"/>
    <x v="8"/>
    <n v="1329.46"/>
    <n v="10"/>
    <s v="UPI"/>
    <n v="10768.63"/>
  </r>
  <r>
    <s v="ORD1372"/>
    <d v="2024-10-12T00:00:00"/>
    <s v="Mary Miller"/>
    <s v="East"/>
    <s v="Office Supplies"/>
    <s v="Decoflex Hanging Personal Folder File, Blue"/>
    <x v="3"/>
    <n v="303.16000000000003"/>
    <n v="5"/>
    <s v="Credit Card"/>
    <n v="1440.01"/>
  </r>
  <r>
    <s v="ORD1373"/>
    <d v="2023-10-27T00:00:00"/>
    <s v="Rebecca Marquez"/>
    <s v="East"/>
    <s v="Office Supplies"/>
    <s v="Hoover Replacement Belts For Soft Guard™ &amp; Commercial Ltweight Upright Vacs, 2/Pk"/>
    <x v="7"/>
    <n v="1389.38"/>
    <n v="10"/>
    <s v="Cash"/>
    <n v="1250.44"/>
  </r>
  <r>
    <s v="ORD1374"/>
    <d v="2023-09-20T00:00:00"/>
    <s v="Christian Dawson"/>
    <s v="North"/>
    <s v="Office Supplies"/>
    <s v="Ibico Ibimaster 300 Manual Binding System"/>
    <x v="1"/>
    <n v="231.41"/>
    <n v="5"/>
    <s v="UPI"/>
    <n v="879.36"/>
  </r>
  <r>
    <s v="ORD1375"/>
    <d v="2024-12-30T00:00:00"/>
    <s v="Nancy Stewart"/>
    <s v="East"/>
    <s v="Technology"/>
    <s v="T60"/>
    <x v="3"/>
    <n v="107.26"/>
    <n v="10"/>
    <s v="Net Banking"/>
    <n v="482.67"/>
  </r>
  <r>
    <s v="ORD1376"/>
    <d v="2024-10-04T00:00:00"/>
    <s v="Aaron Parker"/>
    <s v="East"/>
    <s v="Furniture"/>
    <s v="Executive Impressions 12&quot; Wall Clock"/>
    <x v="3"/>
    <n v="1654.77"/>
    <n v="10"/>
    <s v="Net Banking"/>
    <n v="7446.46"/>
  </r>
  <r>
    <s v="ORD1377"/>
    <d v="2025-05-22T00:00:00"/>
    <s v="Derrick Anderson"/>
    <s v="West"/>
    <s v="Office Supplies"/>
    <s v="Tennsco Snap-Together Open Shelving Units, Starter Sets and Add-On Units"/>
    <x v="0"/>
    <n v="459.02"/>
    <n v="20"/>
    <s v="Net Banking"/>
    <n v="2570.5100000000002"/>
  </r>
  <r>
    <s v="ORD1378"/>
    <d v="2023-08-23T00:00:00"/>
    <s v="Jerry Peters"/>
    <s v="East"/>
    <s v="Office Supplies"/>
    <s v="Avery® Durable Slant Ring Binders With Label Holder"/>
    <x v="1"/>
    <n v="789.1"/>
    <n v="10"/>
    <s v="Net Banking"/>
    <n v="2840.76"/>
  </r>
  <r>
    <s v="ORD1379"/>
    <d v="2023-10-23T00:00:00"/>
    <s v="Alexander Gomez"/>
    <s v="West"/>
    <s v="Technology"/>
    <s v="BASF Silver 74 Minute CD-R"/>
    <x v="7"/>
    <n v="1948.24"/>
    <n v="15"/>
    <s v="Net Banking"/>
    <n v="1656"/>
  </r>
  <r>
    <s v="ORD1380"/>
    <d v="2025-07-31T00:00:00"/>
    <s v="Kyle Nguyen"/>
    <s v="East"/>
    <s v="Office Supplies"/>
    <s v="Xerox 200"/>
    <x v="3"/>
    <n v="706.84"/>
    <n v="10"/>
    <s v="UPI"/>
    <n v="3180.78"/>
  </r>
  <r>
    <s v="ORD1381"/>
    <d v="2025-03-19T00:00:00"/>
    <s v="Edgar Hughes"/>
    <s v="South"/>
    <s v="Furniture"/>
    <s v="DMI Eclipse Executive Suite Bookcases"/>
    <x v="0"/>
    <n v="628.16"/>
    <n v="5"/>
    <s v="Credit Card"/>
    <n v="4177.26"/>
  </r>
  <r>
    <s v="ORD1382"/>
    <d v="2025-06-01T00:00:00"/>
    <s v="Steven Stein"/>
    <s v="South"/>
    <s v="Office Supplies"/>
    <s v="Wilson Jones 14 Line Acrylic Coated Pressboard Data Binders"/>
    <x v="5"/>
    <n v="1840.51"/>
    <n v="10"/>
    <s v="Net Banking"/>
    <n v="9938.75"/>
  </r>
  <r>
    <s v="ORD1383"/>
    <d v="2024-02-11T00:00:00"/>
    <s v="Laura Jackson"/>
    <s v="West"/>
    <s v="Furniture"/>
    <s v="Bush Heritage Pine Collection 5-Shelf Bookcase, Albany Pine Finish, *Special Order"/>
    <x v="3"/>
    <n v="265.95999999999998"/>
    <n v="0"/>
    <s v="Credit Card"/>
    <n v="1329.8"/>
  </r>
  <r>
    <s v="ORD1384"/>
    <d v="2023-12-19T00:00:00"/>
    <s v="Charles Turner"/>
    <s v="West"/>
    <s v="Technology"/>
    <s v="i470"/>
    <x v="1"/>
    <n v="1531.19"/>
    <n v="5"/>
    <s v="Credit Card"/>
    <n v="5818.52"/>
  </r>
  <r>
    <s v="ORD1385"/>
    <d v="2024-06-22T00:00:00"/>
    <s v="Arthur Hamilton MD"/>
    <s v="South"/>
    <s v="Furniture"/>
    <s v="Bush® Cubix Conference Tables, Fully Assembled"/>
    <x v="6"/>
    <n v="1976.73"/>
    <n v="0"/>
    <s v="Credit Card"/>
    <n v="3953.46"/>
  </r>
  <r>
    <s v="ORD1386"/>
    <d v="2024-08-23T00:00:00"/>
    <s v="Mr. David Wright"/>
    <s v="East"/>
    <s v="Technology"/>
    <s v="Imation Neon Mac Format Diskettes, 10/Pack"/>
    <x v="1"/>
    <n v="1807.53"/>
    <n v="5"/>
    <s v="Credit Card"/>
    <n v="6868.61"/>
  </r>
  <r>
    <s v="ORD1387"/>
    <d v="2024-08-19T00:00:00"/>
    <s v="Linda Gonzalez"/>
    <s v="West"/>
    <s v="Furniture"/>
    <s v="Deflect-o EconoMat Nonstudded, No Bevel Mat"/>
    <x v="4"/>
    <n v="1320.75"/>
    <n v="15"/>
    <s v="Credit Card"/>
    <n v="3367.91"/>
  </r>
  <r>
    <s v="ORD1388"/>
    <d v="2024-01-25T00:00:00"/>
    <s v="Eric Rush"/>
    <s v="North"/>
    <s v="Technology"/>
    <s v="Keytronic Designer 104- Key Black Keyboard"/>
    <x v="7"/>
    <n v="662.42"/>
    <n v="15"/>
    <s v="UPI"/>
    <n v="563.05999999999995"/>
  </r>
  <r>
    <s v="ORD1389"/>
    <d v="2025-06-13T00:00:00"/>
    <s v="Manuel Brock"/>
    <s v="East"/>
    <s v="Technology"/>
    <s v="2180"/>
    <x v="2"/>
    <n v="545.92999999999995"/>
    <n v="15"/>
    <s v="Credit Card"/>
    <n v="3712.32"/>
  </r>
  <r>
    <s v="ORD1390"/>
    <d v="2024-06-18T00:00:00"/>
    <s v="George Ochoa"/>
    <s v="East"/>
    <s v="Office Supplies"/>
    <s v="Holmes Replacement Filter for HEPA Air Cleaner, Large Room"/>
    <x v="3"/>
    <n v="1647.55"/>
    <n v="0"/>
    <s v="UPI"/>
    <n v="8237.75"/>
  </r>
  <r>
    <s v="ORD1391"/>
    <d v="2025-07-12T00:00:00"/>
    <s v="Valerie Taylor"/>
    <s v="South"/>
    <s v="Technology"/>
    <s v="Imation Neon Mac Format Diskettes, 10/Pack"/>
    <x v="1"/>
    <n v="1765.65"/>
    <n v="20"/>
    <s v="UPI"/>
    <n v="5650.08"/>
  </r>
  <r>
    <s v="ORD1392"/>
    <d v="2023-09-26T00:00:00"/>
    <s v="Travis Harris"/>
    <s v="West"/>
    <s v="Furniture"/>
    <s v="Deflect-o EconoMat Nonstudded, No Bevel Mat"/>
    <x v="2"/>
    <n v="1074.5999999999999"/>
    <n v="5"/>
    <s v="Credit Card"/>
    <n v="8166.96"/>
  </r>
  <r>
    <s v="ORD1393"/>
    <d v="2023-12-17T00:00:00"/>
    <s v="Vincent Novak"/>
    <s v="East"/>
    <s v="Technology"/>
    <s v="2180"/>
    <x v="0"/>
    <n v="526.46"/>
    <n v="15"/>
    <s v="UPI"/>
    <n v="3132.44"/>
  </r>
  <r>
    <s v="ORD1394"/>
    <d v="2024-06-01T00:00:00"/>
    <s v="Michael Henry"/>
    <s v="West"/>
    <s v="Technology"/>
    <s v="Keytronic Designer 104- Key Black Keyboard"/>
    <x v="6"/>
    <n v="270.24"/>
    <n v="5"/>
    <s v="Net Banking"/>
    <n v="513.46"/>
  </r>
  <r>
    <s v="ORD1395"/>
    <d v="2023-08-13T00:00:00"/>
    <s v="Dana Bennett"/>
    <s v="West"/>
    <s v="Office Supplies"/>
    <s v="Holmes Replacement Filter for HEPA Air Cleaner, Large Room"/>
    <x v="7"/>
    <n v="220"/>
    <n v="0"/>
    <s v="Net Banking"/>
    <n v="220"/>
  </r>
  <r>
    <s v="ORD1396"/>
    <d v="2024-06-10T00:00:00"/>
    <s v="Jenna Wilson"/>
    <s v="West"/>
    <s v="Office Supplies"/>
    <s v="Xerox 1954"/>
    <x v="1"/>
    <n v="1452.2"/>
    <n v="20"/>
    <s v="Net Banking"/>
    <n v="4647.04"/>
  </r>
  <r>
    <s v="ORD1397"/>
    <d v="2024-03-04T00:00:00"/>
    <s v="Leslie Gardner"/>
    <s v="South"/>
    <s v="Office Supplies"/>
    <s v="Staples Pen Style Liquid Stix; Assorted (yellow, pink, green, blue, orange), 5/Pack"/>
    <x v="2"/>
    <n v="869.23"/>
    <n v="0"/>
    <s v="Credit Card"/>
    <n v="6953.84"/>
  </r>
  <r>
    <s v="ORD1398"/>
    <d v="2025-07-31T00:00:00"/>
    <s v="Krista Benton"/>
    <s v="West"/>
    <s v="Office Supplies"/>
    <s v="SANFORD Liquid Accent™ Tank-Style Highlighters"/>
    <x v="6"/>
    <n v="1815.45"/>
    <n v="5"/>
    <s v="Net Banking"/>
    <n v="3449.36"/>
  </r>
  <r>
    <s v="ORD1399"/>
    <d v="2025-04-12T00:00:00"/>
    <s v="Michael Gonzales"/>
    <s v="South"/>
    <s v="Office Supplies"/>
    <s v="Staples Vinyl Coated Paper Clips, 800/Box"/>
    <x v="4"/>
    <n v="1492.36"/>
    <n v="20"/>
    <s v="Cash"/>
    <n v="3581.66"/>
  </r>
  <r>
    <s v="ORD1400"/>
    <d v="2025-04-12T00:00:00"/>
    <s v="Michael Fuentes"/>
    <s v="North"/>
    <s v="Office Supplies"/>
    <s v="*Staples* vLetter Openers, 2/Pack"/>
    <x v="7"/>
    <n v="422.96"/>
    <n v="20"/>
    <s v="Cash"/>
    <n v="338.37"/>
  </r>
  <r>
    <s v="ORD1401"/>
    <d v="2024-07-30T00:00:00"/>
    <s v="Jennifer Porter"/>
    <s v="East"/>
    <s v="Office Supplies"/>
    <s v="Filing/Storage Totes and Swivel Casters"/>
    <x v="7"/>
    <n v="1246.8699999999999"/>
    <n v="0"/>
    <s v="Cash"/>
    <n v="1246.8699999999999"/>
  </r>
  <r>
    <s v="ORD1402"/>
    <d v="2024-03-20T00:00:00"/>
    <s v="Dana Hopkins"/>
    <s v="East"/>
    <s v="Technology"/>
    <s v="Imation 3.5, DISKETTE 44766 HGHLD3.52HD/FM, 10/Pack"/>
    <x v="4"/>
    <n v="899.24"/>
    <n v="15"/>
    <s v="Net Banking"/>
    <n v="2293.06"/>
  </r>
  <r>
    <s v="ORD1403"/>
    <d v="2024-07-05T00:00:00"/>
    <s v="Rachel Jones"/>
    <s v="North"/>
    <s v="Furniture"/>
    <s v="Hon 2090 “Pillow Soft” Series Mid Back Swivel/Tilt Chairs"/>
    <x v="3"/>
    <n v="1175.6400000000001"/>
    <n v="5"/>
    <s v="UPI"/>
    <n v="5584.29"/>
  </r>
  <r>
    <s v="ORD1404"/>
    <d v="2025-02-03T00:00:00"/>
    <s v="Karen Morales DDS"/>
    <s v="South"/>
    <s v="Office Supplies"/>
    <s v="Dixon Prang® Watercolor Pencils, 10-Color Set with Brush"/>
    <x v="4"/>
    <n v="1489.23"/>
    <n v="10"/>
    <s v="Cash"/>
    <n v="4020.92"/>
  </r>
  <r>
    <s v="ORD1405"/>
    <d v="2025-03-01T00:00:00"/>
    <s v="Melissa Stephens"/>
    <s v="East"/>
    <s v="Office Supplies"/>
    <s v="Dixon Prang® Watercolor Pencils, 10-Color Set with Brush"/>
    <x v="7"/>
    <n v="1622.08"/>
    <n v="10"/>
    <s v="UPI"/>
    <n v="1459.87"/>
  </r>
  <r>
    <s v="ORD1406"/>
    <d v="2025-04-11T00:00:00"/>
    <s v="Heather Woodard"/>
    <s v="South"/>
    <s v="Office Supplies"/>
    <s v="Xerox 1954"/>
    <x v="7"/>
    <n v="1695.29"/>
    <n v="0"/>
    <s v="UPI"/>
    <n v="1695.29"/>
  </r>
  <r>
    <s v="ORD1407"/>
    <d v="2024-10-16T00:00:00"/>
    <s v="Margaret Miller"/>
    <s v="South"/>
    <s v="Office Supplies"/>
    <s v="Staples Vinyl Coated Paper Clips, 800/Box"/>
    <x v="2"/>
    <n v="545.25"/>
    <n v="5"/>
    <s v="Credit Card"/>
    <n v="4143.8999999999996"/>
  </r>
  <r>
    <s v="ORD1408"/>
    <d v="2025-01-07T00:00:00"/>
    <s v="Mary Kelly"/>
    <s v="South"/>
    <s v="Office Supplies"/>
    <s v="*Staples* vLetter Openers, 2/Pack"/>
    <x v="6"/>
    <n v="110.68"/>
    <n v="5"/>
    <s v="Cash"/>
    <n v="210.29"/>
  </r>
  <r>
    <s v="ORD1409"/>
    <d v="2025-02-20T00:00:00"/>
    <s v="Amanda Terrell"/>
    <s v="North"/>
    <s v="Office Supplies"/>
    <s v="Filing/Storage Totes and Swivel Casters"/>
    <x v="4"/>
    <n v="1491.62"/>
    <n v="0"/>
    <s v="Credit Card"/>
    <n v="4474.8599999999997"/>
  </r>
  <r>
    <s v="ORD1410"/>
    <d v="2024-08-24T00:00:00"/>
    <s v="Jennifer Goodwin"/>
    <s v="North"/>
    <s v="Office Supplies"/>
    <s v="SANFORD Liquid Accent™ Tank-Style Highlighters"/>
    <x v="6"/>
    <n v="257.37"/>
    <n v="5"/>
    <s v="Credit Card"/>
    <n v="489"/>
  </r>
  <r>
    <s v="ORD1411"/>
    <d v="2023-12-10T00:00:00"/>
    <s v="Jessica Smith"/>
    <s v="South"/>
    <s v="Technology"/>
    <s v="Hewlett-Packard 4.7GB DVD+R Discs"/>
    <x v="4"/>
    <n v="664.09"/>
    <n v="15"/>
    <s v="Credit Card"/>
    <n v="1693.43"/>
  </r>
  <r>
    <s v="ORD1412"/>
    <d v="2024-01-06T00:00:00"/>
    <s v="Jorge Stone"/>
    <s v="West"/>
    <s v="Office Supplies"/>
    <s v="Fellowes Stor/Drawer® Steel Plus™ Storage Drawers"/>
    <x v="0"/>
    <n v="57.44"/>
    <n v="0"/>
    <s v="Net Banking"/>
    <n v="402.08"/>
  </r>
  <r>
    <s v="ORD1413"/>
    <d v="2024-03-29T00:00:00"/>
    <s v="Laura Griffin"/>
    <s v="North"/>
    <s v="Furniture"/>
    <s v="Eldon Expressions Punched Metal &amp; Wood Desk Accessories, Pewter &amp; Cherry"/>
    <x v="7"/>
    <n v="1379.26"/>
    <n v="15"/>
    <s v="Credit Card"/>
    <n v="1172.3699999999999"/>
  </r>
  <r>
    <s v="ORD1414"/>
    <d v="2024-01-28T00:00:00"/>
    <s v="Raymond Chapman"/>
    <s v="West"/>
    <s v="Office Supplies"/>
    <s v="Prang Drawing Pencil Set"/>
    <x v="2"/>
    <n v="375.91"/>
    <n v="5"/>
    <s v="UPI"/>
    <n v="2856.92"/>
  </r>
  <r>
    <s v="ORD1415"/>
    <d v="2023-09-26T00:00:00"/>
    <s v="Haley Johnson"/>
    <s v="West"/>
    <s v="Office Supplies"/>
    <s v="Array® Parchment Paper, Assorted Colors"/>
    <x v="6"/>
    <n v="1327.8"/>
    <n v="0"/>
    <s v="Cash"/>
    <n v="2655.6"/>
  </r>
  <r>
    <s v="ORD1416"/>
    <d v="2024-11-03T00:00:00"/>
    <s v="Jason Nixon"/>
    <s v="South"/>
    <s v="Technology"/>
    <s v="SC7868i"/>
    <x v="4"/>
    <n v="1983.9"/>
    <n v="5"/>
    <s v="UPI"/>
    <n v="5654.12"/>
  </r>
  <r>
    <s v="ORD1417"/>
    <d v="2025-03-05T00:00:00"/>
    <s v="Todd Thomas"/>
    <s v="West"/>
    <s v="Technology"/>
    <s v="Belkin 107-key enhanced keyboard, USB/PS/2 interface"/>
    <x v="8"/>
    <n v="191.71"/>
    <n v="0"/>
    <s v="Cash"/>
    <n v="1725.39"/>
  </r>
  <r>
    <s v="ORD1418"/>
    <d v="2024-10-06T00:00:00"/>
    <s v="Jesse Clark"/>
    <s v="West"/>
    <s v="Office Supplies"/>
    <s v="Tennsco Regal Shelving Units"/>
    <x v="0"/>
    <n v="200.3"/>
    <n v="5"/>
    <s v="Net Banking"/>
    <n v="1332"/>
  </r>
  <r>
    <s v="ORD1419"/>
    <d v="2023-09-28T00:00:00"/>
    <s v="Mr. Jeffrey Horton"/>
    <s v="West"/>
    <s v="Furniture"/>
    <s v="Office Star - Professional Matrix Back Chair with 2-to-1 Synchro Tilt and Mesh Fabric Seat"/>
    <x v="1"/>
    <n v="713.74"/>
    <n v="15"/>
    <s v="Cash"/>
    <n v="2426.7199999999998"/>
  </r>
  <r>
    <s v="ORD1420"/>
    <d v="2025-03-14T00:00:00"/>
    <s v="Eric Patrick"/>
    <s v="South"/>
    <s v="Office Supplies"/>
    <s v="Xerox 1937"/>
    <x v="3"/>
    <n v="1739.45"/>
    <n v="15"/>
    <s v="Cash"/>
    <n v="7392.66"/>
  </r>
  <r>
    <s v="ORD1421"/>
    <d v="2024-04-11T00:00:00"/>
    <s v="Samuel Wong"/>
    <s v="South"/>
    <s v="Furniture"/>
    <s v="Hon Metal Bookcases, Putty"/>
    <x v="6"/>
    <n v="470.28"/>
    <n v="5"/>
    <s v="Cash"/>
    <n v="893.53"/>
  </r>
  <r>
    <s v="ORD1422"/>
    <d v="2023-09-25T00:00:00"/>
    <s v="Carly Riggs"/>
    <s v="North"/>
    <s v="Technology"/>
    <s v="Belkin MediaBoard 104- Keyboard"/>
    <x v="2"/>
    <n v="752.74"/>
    <n v="0"/>
    <s v="Cash"/>
    <n v="6021.92"/>
  </r>
  <r>
    <s v="ORD1423"/>
    <d v="2023-09-19T00:00:00"/>
    <s v="Christopher Moore"/>
    <s v="North"/>
    <s v="Office Supplies"/>
    <s v="Belkin 8 Outlet SurgeMaster II Gold Surge Protector"/>
    <x v="1"/>
    <n v="183.59"/>
    <n v="10"/>
    <s v="UPI"/>
    <n v="660.92"/>
  </r>
  <r>
    <s v="ORD1424"/>
    <d v="2024-11-07T00:00:00"/>
    <s v="Tina Hall"/>
    <s v="West"/>
    <s v="Office Supplies"/>
    <s v="Wilson Jones Impact Binders"/>
    <x v="8"/>
    <n v="1538.15"/>
    <n v="15"/>
    <s v="Cash"/>
    <n v="11766.85"/>
  </r>
  <r>
    <s v="ORD1425"/>
    <d v="2024-08-16T00:00:00"/>
    <s v="Cody Davidson"/>
    <s v="South"/>
    <s v="Technology"/>
    <s v="Hewlett-Packard 2600DN Business Color Inkjet Printer"/>
    <x v="3"/>
    <n v="846.2"/>
    <n v="15"/>
    <s v="Credit Card"/>
    <n v="3596.35"/>
  </r>
  <r>
    <s v="ORD1426"/>
    <d v="2024-09-05T00:00:00"/>
    <s v="Allen Mendez"/>
    <s v="South"/>
    <s v="Technology"/>
    <s v="SC7868i"/>
    <x v="8"/>
    <n v="1530.54"/>
    <n v="10"/>
    <s v="Cash"/>
    <n v="12397.37"/>
  </r>
  <r>
    <s v="ORD1427"/>
    <d v="2025-07-26T00:00:00"/>
    <s v="Kevin Price"/>
    <s v="West"/>
    <s v="Technology"/>
    <s v="Verbatim DVD-R, 4.7GB, Spindle, WE, Blank, Ink Jet/Thermal, 20/Spindle"/>
    <x v="1"/>
    <n v="1812.04"/>
    <n v="5"/>
    <s v="Credit Card"/>
    <n v="6885.75"/>
  </r>
  <r>
    <s v="ORD1428"/>
    <d v="2025-06-04T00:00:00"/>
    <s v="Christine Goodwin"/>
    <s v="North"/>
    <s v="Office Supplies"/>
    <s v="Fellowes Super Stor/Drawer®"/>
    <x v="3"/>
    <n v="503.89"/>
    <n v="0"/>
    <s v="Net Banking"/>
    <n v="2519.4499999999998"/>
  </r>
  <r>
    <s v="ORD1429"/>
    <d v="2024-09-27T00:00:00"/>
    <s v="Amy Garcia"/>
    <s v="South"/>
    <s v="Furniture"/>
    <s v="O'Sullivan Elevations Bookcase, Cherry Finish"/>
    <x v="8"/>
    <n v="1624.42"/>
    <n v="5"/>
    <s v="Credit Card"/>
    <n v="13888.79"/>
  </r>
  <r>
    <s v="ORD1430"/>
    <d v="2023-12-12T00:00:00"/>
    <s v="Chelsea Nguyen"/>
    <s v="North"/>
    <s v="Office Supplies"/>
    <s v="Avery 479"/>
    <x v="2"/>
    <n v="165.23"/>
    <n v="20"/>
    <s v="UPI"/>
    <n v="1057.47"/>
  </r>
  <r>
    <s v="ORD1431"/>
    <d v="2023-09-25T00:00:00"/>
    <s v="Dennis Huffman"/>
    <s v="West"/>
    <s v="Office Supplies"/>
    <s v="Telephone Message Books with Fax/Mobile Section, 5 1/2&quot; x 3 3/16&quot;"/>
    <x v="4"/>
    <n v="1802.75"/>
    <n v="15"/>
    <s v="Credit Card"/>
    <n v="4597.01"/>
  </r>
  <r>
    <s v="ORD1432"/>
    <d v="2024-09-09T00:00:00"/>
    <s v="Margaret Harper"/>
    <s v="South"/>
    <s v="Furniture"/>
    <s v="BoxOffice By Design Rectangular and Half-Moon Meeting Room Tables"/>
    <x v="7"/>
    <n v="1319"/>
    <n v="20"/>
    <s v="UPI"/>
    <n v="1055.2"/>
  </r>
  <r>
    <s v="ORD1433"/>
    <d v="2023-10-13T00:00:00"/>
    <s v="Laurie Bailey"/>
    <s v="West"/>
    <s v="Technology"/>
    <s v="Epson C82 Color Inkjet Printer"/>
    <x v="4"/>
    <n v="1754.74"/>
    <n v="15"/>
    <s v="Credit Card"/>
    <n v="4474.59"/>
  </r>
  <r>
    <s v="ORD1434"/>
    <d v="2025-06-03T00:00:00"/>
    <s v="Lisa Cervantes"/>
    <s v="East"/>
    <s v="Office Supplies"/>
    <s v="Snap-A-Way® Black Print Carbonless Ruled Speed Letter, Triplicate"/>
    <x v="1"/>
    <n v="50.37"/>
    <n v="15"/>
    <s v="Cash"/>
    <n v="171.26"/>
  </r>
  <r>
    <s v="ORD1435"/>
    <d v="2024-01-03T00:00:00"/>
    <s v="Elizabeth Mendez"/>
    <s v="West"/>
    <s v="Technology"/>
    <s v="Accessory39"/>
    <x v="6"/>
    <n v="379.71"/>
    <n v="20"/>
    <s v="Net Banking"/>
    <n v="607.54"/>
  </r>
  <r>
    <s v="ORD1436"/>
    <d v="2023-10-04T00:00:00"/>
    <s v="Cesar Wilson"/>
    <s v="West"/>
    <s v="Technology"/>
    <s v="5170i"/>
    <x v="7"/>
    <n v="810.03"/>
    <n v="20"/>
    <s v="UPI"/>
    <n v="648.02"/>
  </r>
  <r>
    <s v="ORD1437"/>
    <d v="2024-11-16T00:00:00"/>
    <s v="Clayton Steele"/>
    <s v="West"/>
    <s v="Technology"/>
    <s v="Memorex 4.7GB DVD-RAM, 3/Pack"/>
    <x v="0"/>
    <n v="790.03"/>
    <n v="5"/>
    <s v="UPI"/>
    <n v="5253.7"/>
  </r>
  <r>
    <s v="ORD1438"/>
    <d v="2023-10-03T00:00:00"/>
    <s v="Jennifer Taylor"/>
    <s v="South"/>
    <s v="Technology"/>
    <s v="Fellowes 17-key keypad for PS/2 interface"/>
    <x v="2"/>
    <n v="492.12"/>
    <n v="20"/>
    <s v="Cash"/>
    <n v="3149.57"/>
  </r>
  <r>
    <s v="ORD1439"/>
    <d v="2025-01-17T00:00:00"/>
    <s v="Cody Reid"/>
    <s v="West"/>
    <s v="Office Supplies"/>
    <s v="Acco 6 Outlet Guardian Premium Surge Suppressor"/>
    <x v="0"/>
    <n v="794.14"/>
    <n v="5"/>
    <s v="Cash"/>
    <n v="5281.03"/>
  </r>
  <r>
    <s v="ORD1440"/>
    <d v="2025-06-11T00:00:00"/>
    <s v="Maria Cooke"/>
    <s v="West"/>
    <s v="Technology"/>
    <s v="Brother DCP1000 Digital 3 in 1 Multifunction Machine"/>
    <x v="3"/>
    <n v="301.25"/>
    <n v="5"/>
    <s v="Credit Card"/>
    <n v="1430.94"/>
  </r>
  <r>
    <s v="ORD1441"/>
    <d v="2024-02-10T00:00:00"/>
    <s v="Katherine Taylor"/>
    <s v="East"/>
    <s v="Office Supplies"/>
    <s v="Hoover Commercial Soft Guard Upright Vacuum And Disposable Filtration Bags"/>
    <x v="7"/>
    <n v="854.88"/>
    <n v="5"/>
    <s v="UPI"/>
    <n v="812.14"/>
  </r>
  <r>
    <s v="ORD1442"/>
    <d v="2024-06-20T00:00:00"/>
    <s v="Jerry Brown"/>
    <s v="South"/>
    <s v="Office Supplies"/>
    <s v="Xerox 1939"/>
    <x v="0"/>
    <n v="1614.59"/>
    <n v="15"/>
    <s v="Credit Card"/>
    <n v="9606.81"/>
  </r>
  <r>
    <s v="ORD1443"/>
    <d v="2023-11-13T00:00:00"/>
    <s v="Adam Taylor"/>
    <s v="East"/>
    <s v="Office Supplies"/>
    <s v="Eureka Disposable Bags for Sanitaire® Vibra Groomer I® Upright Vac"/>
    <x v="0"/>
    <n v="984.19"/>
    <n v="15"/>
    <s v="Cash"/>
    <n v="5855.93"/>
  </r>
  <r>
    <s v="ORD1444"/>
    <d v="2025-07-03T00:00:00"/>
    <s v="Tracey Wagner"/>
    <s v="West"/>
    <s v="Technology"/>
    <s v="Sharp EL501VB Scientific Calculator, Battery Operated, 10-Digit Display, Hard Case"/>
    <x v="8"/>
    <n v="85.1"/>
    <n v="20"/>
    <s v="UPI"/>
    <n v="612.72"/>
  </r>
  <r>
    <s v="ORD1445"/>
    <d v="2024-10-27T00:00:00"/>
    <s v="Michael Perry PhD"/>
    <s v="South"/>
    <s v="Office Supplies"/>
    <s v="Home/Office Personal File Carts"/>
    <x v="4"/>
    <n v="871.82"/>
    <n v="15"/>
    <s v="Net Banking"/>
    <n v="2223.14"/>
  </r>
  <r>
    <s v="ORD1446"/>
    <d v="2024-02-19T00:00:00"/>
    <s v="Bradley Johnson DDS"/>
    <s v="East"/>
    <s v="Furniture"/>
    <s v="Bush Westfield Collection Bookcases, Fully Assembled"/>
    <x v="8"/>
    <n v="102.99"/>
    <n v="20"/>
    <s v="Net Banking"/>
    <n v="741.53"/>
  </r>
  <r>
    <s v="ORD1447"/>
    <d v="2024-11-03T00:00:00"/>
    <s v="Donald Medina"/>
    <s v="West"/>
    <s v="Office Supplies"/>
    <s v="Southworth 25% Cotton Antique Laid Paper &amp; Envelopes"/>
    <x v="7"/>
    <n v="1934.17"/>
    <n v="15"/>
    <s v="UPI"/>
    <n v="1644.04"/>
  </r>
  <r>
    <s v="ORD1448"/>
    <d v="2024-11-15T00:00:00"/>
    <s v="Jim Newton"/>
    <s v="North"/>
    <s v="Office Supplies"/>
    <s v="Xerox 1993"/>
    <x v="7"/>
    <n v="298.54000000000002"/>
    <n v="0"/>
    <s v="UPI"/>
    <n v="298.54000000000002"/>
  </r>
  <r>
    <s v="ORD1449"/>
    <d v="2023-09-11T00:00:00"/>
    <s v="Krista Wilson"/>
    <s v="East"/>
    <s v="Office Supplies"/>
    <s v="Avery Printable Repositionable Plastic Tabs"/>
    <x v="1"/>
    <n v="1429.99"/>
    <n v="0"/>
    <s v="Cash"/>
    <n v="5719.96"/>
  </r>
  <r>
    <s v="ORD1450"/>
    <d v="2024-12-05T00:00:00"/>
    <s v="Reginald Morrow"/>
    <s v="South"/>
    <s v="Office Supplies"/>
    <s v="Holmes Odor Grabber"/>
    <x v="8"/>
    <n v="1946.91"/>
    <n v="20"/>
    <s v="UPI"/>
    <n v="14017.75"/>
  </r>
  <r>
    <s v="ORD1451"/>
    <d v="2023-10-14T00:00:00"/>
    <s v="Rodney Williams"/>
    <s v="East"/>
    <s v="Office Supplies"/>
    <s v="Dixon Ticonderoga Core-Lock Colored Pencils"/>
    <x v="5"/>
    <n v="1660.78"/>
    <n v="15"/>
    <s v="UPI"/>
    <n v="8469.98"/>
  </r>
  <r>
    <s v="ORD1452"/>
    <d v="2024-07-02T00:00:00"/>
    <s v="Kimberly Fritz"/>
    <s v="East"/>
    <s v="Office Supplies"/>
    <s v="Space Solutions Commercial Steel Shelving"/>
    <x v="4"/>
    <n v="1413.66"/>
    <n v="15"/>
    <s v="Net Banking"/>
    <n v="3604.83"/>
  </r>
  <r>
    <s v="ORD1453"/>
    <d v="2025-01-03T00:00:00"/>
    <s v="Ronald Potter"/>
    <s v="East"/>
    <s v="Office Supplies"/>
    <s v="Xerox 204"/>
    <x v="7"/>
    <n v="1686.95"/>
    <n v="5"/>
    <s v="Cash"/>
    <n v="1602.6"/>
  </r>
  <r>
    <s v="ORD1454"/>
    <d v="2024-11-07T00:00:00"/>
    <s v="Zachary Cole"/>
    <s v="North"/>
    <s v="Furniture"/>
    <s v="Novimex Swivel Fabric Task Chair"/>
    <x v="1"/>
    <n v="1964.51"/>
    <n v="10"/>
    <s v="Credit Card"/>
    <n v="7072.24"/>
  </r>
  <r>
    <s v="ORD1455"/>
    <d v="2024-10-24T00:00:00"/>
    <s v="Robert Gonzales"/>
    <s v="South"/>
    <s v="Office Supplies"/>
    <s v="Eldon Portable Mobile Manager"/>
    <x v="8"/>
    <n v="1261.6199999999999"/>
    <n v="20"/>
    <s v="UPI"/>
    <n v="9083.66"/>
  </r>
  <r>
    <s v="ORD1456"/>
    <d v="2024-09-21T00:00:00"/>
    <s v="Patricia Young PhD"/>
    <s v="South"/>
    <s v="Technology"/>
    <s v="Accessory35"/>
    <x v="4"/>
    <n v="1140.4100000000001"/>
    <n v="10"/>
    <s v="Cash"/>
    <n v="3079.11"/>
  </r>
  <r>
    <s v="ORD1457"/>
    <d v="2024-04-13T00:00:00"/>
    <s v="Heather Page"/>
    <s v="South"/>
    <s v="Technology"/>
    <s v="Microsoft Natural Multimedia Keyboard"/>
    <x v="8"/>
    <n v="1275.06"/>
    <n v="10"/>
    <s v="Cash"/>
    <n v="10327.99"/>
  </r>
  <r>
    <s v="ORD1458"/>
    <d v="2025-08-07T00:00:00"/>
    <s v="Carol Taylor"/>
    <s v="West"/>
    <s v="Office Supplies"/>
    <s v="Xerox 23"/>
    <x v="0"/>
    <n v="1088.72"/>
    <n v="20"/>
    <s v="Net Banking"/>
    <n v="6096.83"/>
  </r>
  <r>
    <s v="ORD1459"/>
    <d v="2024-03-01T00:00:00"/>
    <s v="Daniel Brown"/>
    <s v="South"/>
    <s v="Technology"/>
    <s v="Accessory27"/>
    <x v="1"/>
    <n v="1288.42"/>
    <n v="15"/>
    <s v="UPI"/>
    <n v="4380.63"/>
  </r>
  <r>
    <s v="ORD1460"/>
    <d v="2024-01-17T00:00:00"/>
    <s v="Douglas Ryan"/>
    <s v="South"/>
    <s v="Technology"/>
    <s v="VTech VT20-2481 2.4GHz Two-Line Phone System w/Answering Machine"/>
    <x v="4"/>
    <n v="927.19"/>
    <n v="20"/>
    <s v="UPI"/>
    <n v="2225.2600000000002"/>
  </r>
  <r>
    <s v="ORD1461"/>
    <d v="2025-01-13T00:00:00"/>
    <s v="Michael Roberts"/>
    <s v="North"/>
    <s v="Office Supplies"/>
    <s v="Avery Hi-Liter® Smear-Safe Highlighters"/>
    <x v="3"/>
    <n v="475.96"/>
    <n v="10"/>
    <s v="Cash"/>
    <n v="2141.8200000000002"/>
  </r>
  <r>
    <s v="ORD1462"/>
    <d v="2025-02-18T00:00:00"/>
    <s v="Scott Duke"/>
    <s v="West"/>
    <s v="Furniture"/>
    <s v="Eldon Expressions Mahogany Wood Desk Collection"/>
    <x v="3"/>
    <n v="284.48"/>
    <n v="15"/>
    <s v="UPI"/>
    <n v="1209.04"/>
  </r>
  <r>
    <s v="ORD1463"/>
    <d v="2024-04-12T00:00:00"/>
    <s v="Anna Estes"/>
    <s v="West"/>
    <s v="Furniture"/>
    <s v="Atlantic Metals Mobile 3-Shelf Bookcases, Custom Colors"/>
    <x v="4"/>
    <n v="183.26"/>
    <n v="0"/>
    <s v="Net Banking"/>
    <n v="549.78"/>
  </r>
  <r>
    <s v="ORD1464"/>
    <d v="2024-02-13T00:00:00"/>
    <s v="Tamara Riddle"/>
    <s v="East"/>
    <s v="Office Supplies"/>
    <s v="Staples 6 Outlet Surge"/>
    <x v="8"/>
    <n v="563.47"/>
    <n v="20"/>
    <s v="Net Banking"/>
    <n v="4056.98"/>
  </r>
  <r>
    <s v="ORD1465"/>
    <d v="2024-03-05T00:00:00"/>
    <s v="Beth Cline"/>
    <s v="West"/>
    <s v="Office Supplies"/>
    <s v="Adams Phone Message Book, Professional, 400 Message Capacity, 5 3/6” x 11”"/>
    <x v="1"/>
    <n v="139.94"/>
    <n v="20"/>
    <s v="Net Banking"/>
    <n v="447.81"/>
  </r>
  <r>
    <s v="ORD1466"/>
    <d v="2024-06-14T00:00:00"/>
    <s v="Michael Poole"/>
    <s v="West"/>
    <s v="Office Supplies"/>
    <s v="Array® Memo Cubes"/>
    <x v="3"/>
    <n v="1155.98"/>
    <n v="15"/>
    <s v="UPI"/>
    <n v="4912.92"/>
  </r>
  <r>
    <s v="ORD1467"/>
    <d v="2023-11-21T00:00:00"/>
    <s v="Megan Burns"/>
    <s v="North"/>
    <s v="Office Supplies"/>
    <s v="Holmes Odor Grabber"/>
    <x v="1"/>
    <n v="603.47"/>
    <n v="0"/>
    <s v="UPI"/>
    <n v="2413.88"/>
  </r>
  <r>
    <s v="ORD1468"/>
    <d v="2025-01-14T00:00:00"/>
    <s v="Debra Perry"/>
    <s v="South"/>
    <s v="Office Supplies"/>
    <s v="Boston 16765 Mini Stand Up Battery Pencil Sharpener"/>
    <x v="3"/>
    <n v="1657.84"/>
    <n v="0"/>
    <s v="Net Banking"/>
    <n v="8289.2000000000007"/>
  </r>
  <r>
    <s v="ORD1469"/>
    <d v="2024-12-25T00:00:00"/>
    <s v="Mark Beard"/>
    <s v="West"/>
    <s v="Office Supplies"/>
    <s v="Zebra Zazzle Fluorescent Highlighters"/>
    <x v="0"/>
    <n v="194.77"/>
    <n v="15"/>
    <s v="Credit Card"/>
    <n v="1158.8800000000001"/>
  </r>
  <r>
    <s v="ORD1470"/>
    <d v="2024-04-01T00:00:00"/>
    <s v="Jose Ramirez"/>
    <s v="West"/>
    <s v="Furniture"/>
    <s v="Dana Fluorescent Magnifying Lamp, White, 36&quot;"/>
    <x v="8"/>
    <n v="491.39"/>
    <n v="5"/>
    <s v="Cash"/>
    <n v="4201.38"/>
  </r>
  <r>
    <s v="ORD1471"/>
    <d v="2024-08-01T00:00:00"/>
    <s v="Jackie Clements"/>
    <s v="North"/>
    <s v="Office Supplies"/>
    <s v="Holmes Cool Mist Humidifier for the Whole House with 8-Gallon Output per Day, Extended Life Filter"/>
    <x v="0"/>
    <n v="1473.98"/>
    <n v="20"/>
    <s v="Credit Card"/>
    <n v="8254.2900000000009"/>
  </r>
  <r>
    <s v="ORD1472"/>
    <d v="2024-04-13T00:00:00"/>
    <s v="Aaron Schroeder"/>
    <s v="West"/>
    <s v="Office Supplies"/>
    <s v="Cardinal Poly Pocket Divider Pockets for Ring Binders"/>
    <x v="3"/>
    <n v="1217.68"/>
    <n v="20"/>
    <s v="UPI"/>
    <n v="4870.72"/>
  </r>
  <r>
    <s v="ORD1473"/>
    <d v="2025-08-02T00:00:00"/>
    <s v="Monica Ellis"/>
    <s v="West"/>
    <s v="Office Supplies"/>
    <s v="Bagged Rubber Bands"/>
    <x v="0"/>
    <n v="175.76"/>
    <n v="10"/>
    <s v="Cash"/>
    <n v="1107.29"/>
  </r>
  <r>
    <s v="ORD1474"/>
    <d v="2025-03-17T00:00:00"/>
    <s v="Heather Brown"/>
    <s v="North"/>
    <s v="Office Supplies"/>
    <s v="Storex DuraTech Recycled Plastic Frosted Binders"/>
    <x v="3"/>
    <n v="1760.62"/>
    <n v="15"/>
    <s v="Cash"/>
    <n v="7482.63"/>
  </r>
  <r>
    <s v="ORD1475"/>
    <d v="2025-08-07T00:00:00"/>
    <s v="Claudia Jordan"/>
    <s v="East"/>
    <s v="Office Supplies"/>
    <s v="Newell 310"/>
    <x v="4"/>
    <n v="1760.66"/>
    <n v="10"/>
    <s v="UPI"/>
    <n v="4753.78"/>
  </r>
  <r>
    <s v="ORD1476"/>
    <d v="2023-10-07T00:00:00"/>
    <s v="Derrick Clayton"/>
    <s v="East"/>
    <s v="Office Supplies"/>
    <s v="2300 Heavy-Duty Transfer File Systems by Perma"/>
    <x v="0"/>
    <n v="694.3"/>
    <n v="10"/>
    <s v="Credit Card"/>
    <n v="4374.09"/>
  </r>
  <r>
    <s v="ORD1477"/>
    <d v="2023-08-19T00:00:00"/>
    <s v="Kenneth Knight"/>
    <s v="West"/>
    <s v="Technology"/>
    <s v="Accessory41"/>
    <x v="6"/>
    <n v="713.79"/>
    <n v="0"/>
    <s v="Credit Card"/>
    <n v="1427.58"/>
  </r>
  <r>
    <s v="ORD1478"/>
    <d v="2024-08-01T00:00:00"/>
    <s v="Mr. Michael Williams"/>
    <s v="West"/>
    <s v="Furniture"/>
    <s v="Coloredge Poster Frame"/>
    <x v="8"/>
    <n v="1978.61"/>
    <n v="20"/>
    <s v="Credit Card"/>
    <n v="14245.99"/>
  </r>
  <r>
    <s v="ORD1479"/>
    <d v="2024-12-06T00:00:00"/>
    <s v="Richard Stevens"/>
    <s v="South"/>
    <s v="Office Supplies"/>
    <s v="Xerox 1985"/>
    <x v="7"/>
    <n v="1271.04"/>
    <n v="10"/>
    <s v="Credit Card"/>
    <n v="1143.94"/>
  </r>
  <r>
    <s v="ORD1480"/>
    <d v="2024-10-22T00:00:00"/>
    <s v="Scott Alexander"/>
    <s v="West"/>
    <s v="Furniture"/>
    <s v="Deflect-o SuperTray™ Unbreakable Stackable Tray, Letter, Black"/>
    <x v="5"/>
    <n v="1086.07"/>
    <n v="0"/>
    <s v="Net Banking"/>
    <n v="6516.42"/>
  </r>
  <r>
    <s v="ORD1481"/>
    <d v="2023-10-28T00:00:00"/>
    <s v="Tyler Harris"/>
    <s v="South"/>
    <s v="Office Supplies"/>
    <s v="Carina 42&quot;Hx23 3/4&quot;W Media Storage Unit"/>
    <x v="0"/>
    <n v="1684.4"/>
    <n v="15"/>
    <s v="Cash"/>
    <n v="10022.18"/>
  </r>
  <r>
    <s v="ORD1482"/>
    <d v="2023-10-07T00:00:00"/>
    <s v="Bonnie Santos"/>
    <s v="East"/>
    <s v="Office Supplies"/>
    <s v="Xerox 224"/>
    <x v="2"/>
    <n v="606.32000000000005"/>
    <n v="10"/>
    <s v="Credit Card"/>
    <n v="4365.5"/>
  </r>
  <r>
    <s v="ORD1483"/>
    <d v="2024-10-02T00:00:00"/>
    <s v="Timothy Hill"/>
    <s v="West"/>
    <s v="Furniture"/>
    <s v="SAFCO PlanMaster Heigh-Adjustable Drafting Table Base, 43w x 30d x 30-37h, Black"/>
    <x v="8"/>
    <n v="886.91"/>
    <n v="20"/>
    <s v="UPI"/>
    <n v="6385.75"/>
  </r>
  <r>
    <s v="ORD1484"/>
    <d v="2024-01-24T00:00:00"/>
    <s v="Danielle Watson"/>
    <s v="West"/>
    <s v="Furniture"/>
    <s v="Coloredge Poster Frame"/>
    <x v="6"/>
    <n v="572.16"/>
    <n v="10"/>
    <s v="Net Banking"/>
    <n v="1029.8900000000001"/>
  </r>
  <r>
    <s v="ORD1485"/>
    <d v="2024-09-07T00:00:00"/>
    <s v="Carol Sanders"/>
    <s v="North"/>
    <s v="Office Supplies"/>
    <s v="Storex Dura Pro™ Binders"/>
    <x v="6"/>
    <n v="1588.86"/>
    <n v="15"/>
    <s v="Cash"/>
    <n v="2701.06"/>
  </r>
  <r>
    <s v="ORD1486"/>
    <d v="2024-03-04T00:00:00"/>
    <s v="Michael Young"/>
    <s v="West"/>
    <s v="Office Supplies"/>
    <s v="Xerox 231"/>
    <x v="3"/>
    <n v="1168.03"/>
    <n v="10"/>
    <s v="UPI"/>
    <n v="5256.14"/>
  </r>
  <r>
    <s v="ORD1487"/>
    <d v="2023-11-22T00:00:00"/>
    <s v="Michele Smith"/>
    <s v="East"/>
    <s v="Office Supplies"/>
    <s v="Eureka Sanitaire ® Multi-Pro Heavy-Duty Upright, Disposable Bags"/>
    <x v="3"/>
    <n v="1334.71"/>
    <n v="20"/>
    <s v="Net Banking"/>
    <n v="5338.84"/>
  </r>
  <r>
    <s v="ORD1488"/>
    <d v="2025-08-05T00:00:00"/>
    <s v="Casey Perez"/>
    <s v="West"/>
    <s v="Technology"/>
    <s v="CF 688"/>
    <x v="5"/>
    <n v="542"/>
    <n v="0"/>
    <s v="Cash"/>
    <n v="3252"/>
  </r>
  <r>
    <s v="ORD1489"/>
    <d v="2024-05-09T00:00:00"/>
    <s v="Alexandra Dominguez"/>
    <s v="South"/>
    <s v="Office Supplies"/>
    <s v="Staples Standard Envelopes"/>
    <x v="4"/>
    <n v="479.44"/>
    <n v="20"/>
    <s v="UPI"/>
    <n v="1150.6600000000001"/>
  </r>
  <r>
    <s v="ORD1490"/>
    <d v="2025-06-26T00:00:00"/>
    <s v="Virginia Henderson"/>
    <s v="West"/>
    <s v="Office Supplies"/>
    <s v="Xerox 1964"/>
    <x v="2"/>
    <n v="1002.33"/>
    <n v="0"/>
    <s v="Cash"/>
    <n v="8018.64"/>
  </r>
  <r>
    <s v="ORD1491"/>
    <d v="2023-10-04T00:00:00"/>
    <s v="Benjamin Reyes"/>
    <s v="South"/>
    <s v="Furniture"/>
    <s v="Global Stack Chair without Arms, Black"/>
    <x v="7"/>
    <n v="1488.25"/>
    <n v="5"/>
    <s v="Net Banking"/>
    <n v="1413.84"/>
  </r>
  <r>
    <s v="ORD1492"/>
    <d v="2025-06-24T00:00:00"/>
    <s v="Ashley Edwards"/>
    <s v="North"/>
    <s v="Furniture"/>
    <s v="Metal Folding Chairs, Beige, 4/Carton"/>
    <x v="5"/>
    <n v="1074.22"/>
    <n v="20"/>
    <s v="Credit Card"/>
    <n v="5156.26"/>
  </r>
  <r>
    <s v="ORD1493"/>
    <d v="2024-02-17T00:00:00"/>
    <s v="Breanna Ayala"/>
    <s v="West"/>
    <s v="Technology"/>
    <s v="232"/>
    <x v="1"/>
    <n v="113.66"/>
    <n v="20"/>
    <s v="Net Banking"/>
    <n v="363.71"/>
  </r>
  <r>
    <s v="ORD1494"/>
    <d v="2024-05-25T00:00:00"/>
    <s v="Brandi Haney"/>
    <s v="North"/>
    <s v="Furniture"/>
    <s v="Document Clip Frames"/>
    <x v="7"/>
    <n v="1743.68"/>
    <n v="15"/>
    <s v="UPI"/>
    <n v="1482.13"/>
  </r>
  <r>
    <s v="ORD1495"/>
    <d v="2024-03-20T00:00:00"/>
    <s v="Joseph Smith"/>
    <s v="North"/>
    <s v="Office Supplies"/>
    <s v="Newell 337"/>
    <x v="0"/>
    <n v="176.14"/>
    <n v="10"/>
    <s v="Credit Card"/>
    <n v="1109.68"/>
  </r>
  <r>
    <s v="ORD1496"/>
    <d v="2023-12-12T00:00:00"/>
    <s v="Jessica Bowen"/>
    <s v="West"/>
    <s v="Office Supplies"/>
    <s v="OIC Thumb-Tacks"/>
    <x v="8"/>
    <n v="1913.86"/>
    <n v="0"/>
    <s v="Cash"/>
    <n v="17224.740000000002"/>
  </r>
  <r>
    <s v="ORD1497"/>
    <d v="2024-07-17T00:00:00"/>
    <s v="Brittany Jenkins"/>
    <s v="South"/>
    <s v="Furniture"/>
    <s v="Document Clip Frames"/>
    <x v="1"/>
    <n v="99.03"/>
    <n v="0"/>
    <s v="Cash"/>
    <n v="396.12"/>
  </r>
  <r>
    <s v="ORD1498"/>
    <d v="2025-05-20T00:00:00"/>
    <s v="Shannon Miller"/>
    <s v="West"/>
    <s v="Office Supplies"/>
    <s v="Newell 337"/>
    <x v="1"/>
    <n v="1404.18"/>
    <n v="15"/>
    <s v="Cash"/>
    <n v="4774.21"/>
  </r>
  <r>
    <s v="ORD1499"/>
    <d v="2024-10-06T00:00:00"/>
    <s v="Paul Lawrence"/>
    <s v="South"/>
    <s v="Technology"/>
    <s v="DS/HD IBM Formatted Diskettes, 200/Pack - Staples"/>
    <x v="5"/>
    <n v="210.3"/>
    <n v="15"/>
    <s v="Net Banking"/>
    <n v="1072.53"/>
  </r>
  <r>
    <s v="ORD1500"/>
    <d v="2025-02-08T00:00:00"/>
    <s v="Victor Edwards"/>
    <s v="North"/>
    <s v="Technology"/>
    <s v="Lexmark Z55se Color Inkjet Printer"/>
    <x v="4"/>
    <n v="1825.82"/>
    <n v="10"/>
    <s v="Cash"/>
    <n v="4929.71"/>
  </r>
  <r>
    <s v="ORD1501"/>
    <d v="2024-04-02T00:00:00"/>
    <s v="Donald Miller"/>
    <s v="East"/>
    <s v="Office Supplies"/>
    <s v="Tennsco Commercial Shelving"/>
    <x v="5"/>
    <n v="955.64"/>
    <n v="10"/>
    <s v="Cash"/>
    <n v="5160.46"/>
  </r>
  <r>
    <s v="ORD1502"/>
    <d v="2024-11-29T00:00:00"/>
    <s v="Lindsay Lawson"/>
    <s v="West"/>
    <s v="Office Supplies"/>
    <s v="Round Specialty Laser Printer Labels"/>
    <x v="0"/>
    <n v="318.17"/>
    <n v="20"/>
    <s v="Cash"/>
    <n v="1781.75"/>
  </r>
  <r>
    <s v="ORD1503"/>
    <d v="2025-04-29T00:00:00"/>
    <s v="Melissa Abbott"/>
    <s v="East"/>
    <s v="Office Supplies"/>
    <s v="Array® Memo Cubes"/>
    <x v="4"/>
    <n v="714.59"/>
    <n v="5"/>
    <s v="Net Banking"/>
    <n v="2036.58"/>
  </r>
  <r>
    <s v="ORD1504"/>
    <d v="2024-12-31T00:00:00"/>
    <s v="Elizabeth Holmes"/>
    <s v="South"/>
    <s v="Technology"/>
    <s v="Lexmark Z55se Color Inkjet Printer"/>
    <x v="0"/>
    <n v="371.41"/>
    <n v="10"/>
    <s v="UPI"/>
    <n v="2339.88"/>
  </r>
  <r>
    <s v="ORD1505"/>
    <d v="2024-09-25T00:00:00"/>
    <s v="Nicole Phillips"/>
    <s v="West"/>
    <s v="Office Supplies"/>
    <s v="Tennsco Commercial Shelving"/>
    <x v="4"/>
    <n v="382.63"/>
    <n v="15"/>
    <s v="Credit Card"/>
    <n v="975.71"/>
  </r>
  <r>
    <s v="ORD1506"/>
    <d v="2023-08-18T00:00:00"/>
    <s v="Steven Blevins"/>
    <s v="East"/>
    <s v="Office Supplies"/>
    <s v="Round Specialty Laser Printer Labels"/>
    <x v="6"/>
    <n v="1898.81"/>
    <n v="10"/>
    <s v="Cash"/>
    <n v="3417.86"/>
  </r>
  <r>
    <s v="ORD1507"/>
    <d v="2025-01-11T00:00:00"/>
    <s v="Brian Porter MD"/>
    <s v="East"/>
    <s v="Office Supplies"/>
    <s v="Array® Memo Cubes"/>
    <x v="1"/>
    <n v="918.23"/>
    <n v="0"/>
    <s v="Net Banking"/>
    <n v="3672.92"/>
  </r>
  <r>
    <s v="ORD1508"/>
    <d v="2025-05-07T00:00:00"/>
    <s v="Vanessa Hatfield"/>
    <s v="West"/>
    <s v="Office Supplies"/>
    <s v="Avery Hanging File Binders"/>
    <x v="2"/>
    <n v="1588.16"/>
    <n v="5"/>
    <s v="Cash"/>
    <n v="12070.02"/>
  </r>
  <r>
    <s v="ORD1509"/>
    <d v="2024-10-15T00:00:00"/>
    <s v="Bonnie Valencia"/>
    <s v="East"/>
    <s v="Technology"/>
    <s v="Accessory41"/>
    <x v="8"/>
    <n v="1297.23"/>
    <n v="20"/>
    <s v="Credit Card"/>
    <n v="9340.06"/>
  </r>
  <r>
    <s v="ORD1510"/>
    <d v="2024-03-31T00:00:00"/>
    <s v="Holly Vega"/>
    <s v="West"/>
    <s v="Office Supplies"/>
    <s v="12 Colored Short Pencils"/>
    <x v="0"/>
    <n v="1369.03"/>
    <n v="0"/>
    <s v="UPI"/>
    <n v="9583.2099999999991"/>
  </r>
  <r>
    <s v="ORD1511"/>
    <d v="2025-08-04T00:00:00"/>
    <s v="Tiffany Townsend"/>
    <s v="East"/>
    <s v="Office Supplies"/>
    <s v="Xerox 1954"/>
    <x v="7"/>
    <n v="306.8"/>
    <n v="0"/>
    <s v="UPI"/>
    <n v="306.8"/>
  </r>
  <r>
    <s v="ORD1512"/>
    <d v="2025-01-08T00:00:00"/>
    <s v="Austin Baker"/>
    <s v="North"/>
    <s v="Office Supplies"/>
    <s v="Rediform Wirebound &quot;Phone Memo&quot; Message Book, 11 x 5-3/4"/>
    <x v="4"/>
    <n v="506.66"/>
    <n v="5"/>
    <s v="Cash"/>
    <n v="1443.98"/>
  </r>
  <r>
    <s v="ORD1513"/>
    <d v="2023-10-31T00:00:00"/>
    <s v="Antonio Mccormick"/>
    <s v="West"/>
    <s v="Furniture"/>
    <s v="BoxOffice By Design Rectangular and Half-Moon Meeting Room Tables"/>
    <x v="8"/>
    <n v="1584.16"/>
    <n v="20"/>
    <s v="Credit Card"/>
    <n v="11405.95"/>
  </r>
  <r>
    <s v="ORD1514"/>
    <d v="2025-08-10T00:00:00"/>
    <s v="Lori Mason"/>
    <s v="North"/>
    <s v="Office Supplies"/>
    <s v="Advantus 10-Drawer Portable Organizer, Chrome Metal Frame, Smoke Drawers"/>
    <x v="7"/>
    <n v="1942.99"/>
    <n v="15"/>
    <s v="Cash"/>
    <n v="1651.54"/>
  </r>
  <r>
    <s v="ORD1515"/>
    <d v="2025-06-24T00:00:00"/>
    <s v="Michael Miller"/>
    <s v="North"/>
    <s v="Furniture"/>
    <s v="Office Star - Professional Matrix Back Chair with 2-to-1 Synchro Tilt and Mesh Fabric Seat"/>
    <x v="8"/>
    <n v="562.22"/>
    <n v="20"/>
    <s v="UPI"/>
    <n v="4047.98"/>
  </r>
  <r>
    <s v="ORD1516"/>
    <d v="2023-11-24T00:00:00"/>
    <s v="Lisa Ramirez"/>
    <s v="East"/>
    <s v="Office Supplies"/>
    <s v="Fellowes Super Stor/Drawer® Files"/>
    <x v="2"/>
    <n v="579.55999999999995"/>
    <n v="10"/>
    <s v="Net Banking"/>
    <n v="4172.83"/>
  </r>
  <r>
    <s v="ORD1517"/>
    <d v="2024-03-04T00:00:00"/>
    <s v="Jorge Harris"/>
    <s v="South"/>
    <s v="Office Supplies"/>
    <s v="Steel Personal Filing/Posting Tote"/>
    <x v="7"/>
    <n v="972.15"/>
    <n v="0"/>
    <s v="Net Banking"/>
    <n v="972.15"/>
  </r>
  <r>
    <s v="ORD1518"/>
    <d v="2023-11-09T00:00:00"/>
    <s v="Kimberly Myers"/>
    <s v="North"/>
    <s v="Furniture"/>
    <s v="O'Sullivan 3-Shelf Heavy-Duty Bookcases"/>
    <x v="5"/>
    <n v="1968.49"/>
    <n v="10"/>
    <s v="Net Banking"/>
    <n v="10629.85"/>
  </r>
  <r>
    <s v="ORD1519"/>
    <d v="2025-07-03T00:00:00"/>
    <s v="Sandra Becker"/>
    <s v="North"/>
    <s v="Office Supplies"/>
    <s v="Acme® Elite Stainless Steel Scissors"/>
    <x v="3"/>
    <n v="574.47"/>
    <n v="15"/>
    <s v="Credit Card"/>
    <n v="2441.5"/>
  </r>
  <r>
    <s v="ORD1520"/>
    <d v="2023-11-03T00:00:00"/>
    <s v="Michael Blair"/>
    <s v="North"/>
    <s v="Technology"/>
    <s v="Logitech Access Keyboard"/>
    <x v="5"/>
    <n v="843.6"/>
    <n v="10"/>
    <s v="Credit Card"/>
    <n v="4555.4399999999996"/>
  </r>
  <r>
    <s v="ORD1521"/>
    <d v="2025-03-10T00:00:00"/>
    <s v="Amy Miller"/>
    <s v="South"/>
    <s v="Office Supplies"/>
    <s v="Fellowes Twister Kit, Gray/Clear, 3/pkg"/>
    <x v="3"/>
    <n v="1788.39"/>
    <n v="20"/>
    <s v="UPI"/>
    <n v="7153.56"/>
  </r>
  <r>
    <s v="ORD1522"/>
    <d v="2024-10-14T00:00:00"/>
    <s v="Jesse Lynch"/>
    <s v="South"/>
    <s v="Technology"/>
    <s v="5180"/>
    <x v="5"/>
    <n v="55.7"/>
    <n v="10"/>
    <s v="Credit Card"/>
    <n v="300.77999999999997"/>
  </r>
  <r>
    <s v="ORD1523"/>
    <d v="2023-12-10T00:00:00"/>
    <s v="Patrick Yang"/>
    <s v="North"/>
    <s v="Office Supplies"/>
    <s v="Advantus Push Pins"/>
    <x v="3"/>
    <n v="127.54"/>
    <n v="15"/>
    <s v="UPI"/>
    <n v="542.04999999999995"/>
  </r>
  <r>
    <s v="ORD1524"/>
    <d v="2024-03-10T00:00:00"/>
    <s v="Michael Miles"/>
    <s v="South"/>
    <s v="Furniture"/>
    <s v="Rush Hierlooms Collection 1&quot; Thick Stackable Bookcases"/>
    <x v="3"/>
    <n v="1227.94"/>
    <n v="15"/>
    <s v="UPI"/>
    <n v="5218.75"/>
  </r>
  <r>
    <s v="ORD1525"/>
    <d v="2024-03-17T00:00:00"/>
    <s v="Troy Mills"/>
    <s v="South"/>
    <s v="Office Supplies"/>
    <s v="Adams Telephone Message Books, 5 1/4” x 11”"/>
    <x v="1"/>
    <n v="1819.39"/>
    <n v="15"/>
    <s v="Cash"/>
    <n v="6185.93"/>
  </r>
  <r>
    <s v="ORD1526"/>
    <d v="2024-11-23T00:00:00"/>
    <s v="Michelle Jackson"/>
    <s v="South"/>
    <s v="Office Supplies"/>
    <s v="Xerox 1983"/>
    <x v="4"/>
    <n v="515.77"/>
    <n v="20"/>
    <s v="Net Banking"/>
    <n v="1237.8499999999999"/>
  </r>
  <r>
    <s v="ORD1527"/>
    <d v="2024-01-22T00:00:00"/>
    <s v="Richard Adams"/>
    <s v="West"/>
    <s v="Technology"/>
    <s v="StarTAC 7760"/>
    <x v="4"/>
    <n v="965.8"/>
    <n v="15"/>
    <s v="Net Banking"/>
    <n v="2462.79"/>
  </r>
  <r>
    <s v="ORD1528"/>
    <d v="2025-02-19T00:00:00"/>
    <s v="Patricia Johnson"/>
    <s v="North"/>
    <s v="Furniture"/>
    <s v="Bush Westfield Collection Bookcases, Fully Assembled"/>
    <x v="1"/>
    <n v="928.41"/>
    <n v="0"/>
    <s v="UPI"/>
    <n v="3713.64"/>
  </r>
  <r>
    <s v="ORD1529"/>
    <d v="2024-05-04T00:00:00"/>
    <s v="Denise Brown"/>
    <s v="South"/>
    <s v="Office Supplies"/>
    <s v="GBC Wire Binding Strips"/>
    <x v="8"/>
    <n v="972.29"/>
    <n v="15"/>
    <s v="Credit Card"/>
    <n v="7438.02"/>
  </r>
  <r>
    <s v="ORD1530"/>
    <d v="2024-01-17T00:00:00"/>
    <s v="Laura Jones"/>
    <s v="West"/>
    <s v="Furniture"/>
    <s v="Eldon ClusterMat Chair Mat with Cordless Antistatic Protection"/>
    <x v="6"/>
    <n v="1263.9100000000001"/>
    <n v="10"/>
    <s v="UPI"/>
    <n v="2275.04"/>
  </r>
  <r>
    <s v="ORD1531"/>
    <d v="2025-01-26T00:00:00"/>
    <s v="Ian Porter"/>
    <s v="East"/>
    <s v="Furniture"/>
    <s v="Coloredge Poster Frame"/>
    <x v="8"/>
    <n v="966"/>
    <n v="10"/>
    <s v="Net Banking"/>
    <n v="7824.6"/>
  </r>
  <r>
    <s v="ORD1532"/>
    <d v="2024-12-16T00:00:00"/>
    <s v="Holly Scott"/>
    <s v="East"/>
    <s v="Office Supplies"/>
    <s v="Avery Trapezoid Ring Binder, 3&quot; Capacity, Black, 1040 sheets"/>
    <x v="7"/>
    <n v="922.56"/>
    <n v="10"/>
    <s v="Cash"/>
    <n v="830.3"/>
  </r>
  <r>
    <s v="ORD1533"/>
    <d v="2025-06-04T00:00:00"/>
    <s v="Kenneth Sharp"/>
    <s v="South"/>
    <s v="Office Supplies"/>
    <s v="Xerox 1910"/>
    <x v="7"/>
    <n v="974.86"/>
    <n v="20"/>
    <s v="Net Banking"/>
    <n v="779.89"/>
  </r>
  <r>
    <s v="ORD1534"/>
    <d v="2024-03-04T00:00:00"/>
    <s v="Jordan Williams"/>
    <s v="North"/>
    <s v="Office Supplies"/>
    <s v="Avery Trapezoid Ring Binder, 3&quot; Capacity, Black, 1040 sheets"/>
    <x v="3"/>
    <n v="1202.19"/>
    <n v="10"/>
    <s v="UPI"/>
    <n v="5409.86"/>
  </r>
  <r>
    <s v="ORD1535"/>
    <d v="2024-09-07T00:00:00"/>
    <s v="Dana Ruiz"/>
    <s v="South"/>
    <s v="Technology"/>
    <s v="Epson DFX5000+ Dot Matrix Printer"/>
    <x v="5"/>
    <n v="1097.1600000000001"/>
    <n v="20"/>
    <s v="UPI"/>
    <n v="5266.37"/>
  </r>
  <r>
    <s v="ORD1536"/>
    <d v="2024-08-25T00:00:00"/>
    <s v="Chris Velazquez"/>
    <s v="East"/>
    <s v="Office Supplies"/>
    <s v="Xerox 1910"/>
    <x v="5"/>
    <n v="1715.57"/>
    <n v="20"/>
    <s v="Net Banking"/>
    <n v="8234.74"/>
  </r>
  <r>
    <s v="ORD1537"/>
    <d v="2024-02-23T00:00:00"/>
    <s v="Kristen Sloan"/>
    <s v="North"/>
    <s v="Office Supplies"/>
    <s v="Newell 320"/>
    <x v="4"/>
    <n v="146.52000000000001"/>
    <n v="15"/>
    <s v="Net Banking"/>
    <n v="373.63"/>
  </r>
  <r>
    <s v="ORD1538"/>
    <d v="2025-07-15T00:00:00"/>
    <s v="Jennifer Morris"/>
    <s v="North"/>
    <s v="Office Supplies"/>
    <s v="Self-Adhesive Address Labels for Typewriters by Universal"/>
    <x v="0"/>
    <n v="1674.97"/>
    <n v="0"/>
    <s v="Credit Card"/>
    <n v="11724.79"/>
  </r>
  <r>
    <s v="ORD1539"/>
    <d v="2025-07-17T00:00:00"/>
    <s v="Nathan Nelson"/>
    <s v="East"/>
    <s v="Office Supplies"/>
    <s v="Turquoise Lead Holder with Pocket Clip"/>
    <x v="8"/>
    <n v="1695.65"/>
    <n v="15"/>
    <s v="Cash"/>
    <n v="12971.72"/>
  </r>
  <r>
    <s v="ORD1540"/>
    <d v="2025-05-30T00:00:00"/>
    <s v="Jake Shaw"/>
    <s v="West"/>
    <s v="Technology"/>
    <s v="Panasonic KX-P1150 Dot Matrix Printer"/>
    <x v="2"/>
    <n v="605.57000000000005"/>
    <n v="15"/>
    <s v="Net Banking"/>
    <n v="4117.88"/>
  </r>
  <r>
    <s v="ORD1541"/>
    <d v="2023-09-20T00:00:00"/>
    <s v="Cassie Brock"/>
    <s v="West"/>
    <s v="Office Supplies"/>
    <s v="Newell 343"/>
    <x v="5"/>
    <n v="952.56"/>
    <n v="20"/>
    <s v="Cash"/>
    <n v="4572.29"/>
  </r>
  <r>
    <s v="ORD1542"/>
    <d v="2023-10-22T00:00:00"/>
    <s v="Dr. Andrea Marshall"/>
    <s v="South"/>
    <s v="Furniture"/>
    <s v="Bevis 36 x 72 Conference Tables"/>
    <x v="2"/>
    <n v="905.15"/>
    <n v="20"/>
    <s v="Cash"/>
    <n v="5792.96"/>
  </r>
  <r>
    <s v="ORD1543"/>
    <d v="2024-12-16T00:00:00"/>
    <s v="Ryan Murphy"/>
    <s v="North"/>
    <s v="Office Supplies"/>
    <s v="Newell 343"/>
    <x v="3"/>
    <n v="476.09"/>
    <n v="10"/>
    <s v="Credit Card"/>
    <n v="2142.4"/>
  </r>
  <r>
    <s v="ORD1544"/>
    <d v="2024-07-06T00:00:00"/>
    <s v="Aimee Gonzalez"/>
    <s v="South"/>
    <s v="Furniture"/>
    <s v="Rush Hierlooms Collection 1&quot; Thick Stackable Bookcases"/>
    <x v="2"/>
    <n v="823.75"/>
    <n v="10"/>
    <s v="UPI"/>
    <n v="5931"/>
  </r>
  <r>
    <s v="ORD1545"/>
    <d v="2025-05-17T00:00:00"/>
    <s v="Elizabeth Dean"/>
    <s v="North"/>
    <s v="Furniture"/>
    <s v="Global Commerce™ Series High-Back Swivel/Tilt Chairs"/>
    <x v="1"/>
    <n v="136.56"/>
    <n v="15"/>
    <s v="Cash"/>
    <n v="464.3"/>
  </r>
  <r>
    <s v="ORD1546"/>
    <d v="2024-03-13T00:00:00"/>
    <s v="Kevin Snyder"/>
    <s v="East"/>
    <s v="Furniture"/>
    <s v="Tensor &quot;Hersey Kiss&quot; Styled Floor Lamp"/>
    <x v="2"/>
    <n v="591.75"/>
    <n v="5"/>
    <s v="Cash"/>
    <n v="4497.3"/>
  </r>
  <r>
    <s v="ORD1547"/>
    <d v="2023-09-15T00:00:00"/>
    <s v="Christie Mccullough"/>
    <s v="North"/>
    <s v="Office Supplies"/>
    <s v="Hoover Replacement Belt for Commercial Guardsman Heavy-Duty Upright Vacuum"/>
    <x v="6"/>
    <n v="1642.53"/>
    <n v="5"/>
    <s v="Cash"/>
    <n v="3120.81"/>
  </r>
  <r>
    <s v="ORD1548"/>
    <d v="2023-08-14T00:00:00"/>
    <s v="Danielle Smith"/>
    <s v="North"/>
    <s v="Office Supplies"/>
    <s v="Companion Letter/Legal File, Black"/>
    <x v="3"/>
    <n v="604.9"/>
    <n v="10"/>
    <s v="Cash"/>
    <n v="2722.05"/>
  </r>
  <r>
    <s v="ORD1549"/>
    <d v="2024-04-27T00:00:00"/>
    <s v="David Reed"/>
    <s v="East"/>
    <s v="Technology"/>
    <s v="Gyration Ultra Professional Cordless Optical Suite"/>
    <x v="8"/>
    <n v="1645.5"/>
    <n v="5"/>
    <s v="UPI"/>
    <n v="14069.02"/>
  </r>
  <r>
    <s v="ORD1550"/>
    <d v="2025-04-01T00:00:00"/>
    <s v="Sherry Tapia"/>
    <s v="West"/>
    <s v="Office Supplies"/>
    <s v="Xerox 1971"/>
    <x v="1"/>
    <n v="1086.6199999999999"/>
    <n v="10"/>
    <s v="Credit Card"/>
    <n v="3911.83"/>
  </r>
  <r>
    <s v="ORD1551"/>
    <d v="2023-11-21T00:00:00"/>
    <s v="Matthew Sweeney"/>
    <s v="East"/>
    <s v="Furniture"/>
    <s v="Bretford CR8500 Series Meeting Room Furniture"/>
    <x v="5"/>
    <n v="1765.73"/>
    <n v="20"/>
    <s v="Cash"/>
    <n v="8475.5"/>
  </r>
  <r>
    <s v="ORD1552"/>
    <d v="2024-12-18T00:00:00"/>
    <s v="Ashley Moreno"/>
    <s v="North"/>
    <s v="Office Supplies"/>
    <s v="Rediform Wirebound &quot;Phone Memo&quot; Message Book, 11 x 5-3/4"/>
    <x v="7"/>
    <n v="1170.82"/>
    <n v="15"/>
    <s v="Net Banking"/>
    <n v="995.2"/>
  </r>
  <r>
    <s v="ORD1553"/>
    <d v="2024-03-02T00:00:00"/>
    <s v="Johnathan Brown"/>
    <s v="East"/>
    <s v="Office Supplies"/>
    <s v="Fellowes Command Center 5-outlet power strip"/>
    <x v="8"/>
    <n v="107.85"/>
    <n v="0"/>
    <s v="UPI"/>
    <n v="970.65"/>
  </r>
  <r>
    <s v="ORD1554"/>
    <d v="2023-12-15T00:00:00"/>
    <s v="Michelle Davis DVM"/>
    <s v="North"/>
    <s v="Technology"/>
    <s v="Verbatim DVD-RAM, 9.4GB, Rewritable, Type 1, DS, DataLife Plus"/>
    <x v="7"/>
    <n v="1367.07"/>
    <n v="15"/>
    <s v="Credit Card"/>
    <n v="1162.01"/>
  </r>
  <r>
    <s v="ORD1555"/>
    <d v="2025-03-09T00:00:00"/>
    <s v="Kelly Haynes"/>
    <s v="West"/>
    <s v="Furniture"/>
    <s v="Linden® 12&quot; Wall Clock With Oak Frame"/>
    <x v="3"/>
    <n v="137.46"/>
    <n v="10"/>
    <s v="Net Banking"/>
    <n v="618.57000000000005"/>
  </r>
  <r>
    <s v="ORD1556"/>
    <d v="2024-07-20T00:00:00"/>
    <s v="William Miller"/>
    <s v="West"/>
    <s v="Office Supplies"/>
    <s v="Staples Wirebound Steno Books, 6&quot; x 9&quot;, 12/Pack"/>
    <x v="1"/>
    <n v="928.66"/>
    <n v="10"/>
    <s v="Net Banking"/>
    <n v="3343.18"/>
  </r>
  <r>
    <s v="ORD1557"/>
    <d v="2024-10-13T00:00:00"/>
    <s v="Casey Wilkins"/>
    <s v="North"/>
    <s v="Office Supplies"/>
    <s v="Xerox 1893"/>
    <x v="4"/>
    <n v="1862.38"/>
    <n v="15"/>
    <s v="Net Banking"/>
    <n v="4749.07"/>
  </r>
  <r>
    <s v="ORD1558"/>
    <d v="2025-02-10T00:00:00"/>
    <s v="Keith Graham"/>
    <s v="West"/>
    <s v="Office Supplies"/>
    <s v="Self-Adhesive Removable Labels"/>
    <x v="5"/>
    <n v="372.15"/>
    <n v="10"/>
    <s v="Cash"/>
    <n v="2009.61"/>
  </r>
  <r>
    <s v="ORD1559"/>
    <d v="2024-07-09T00:00:00"/>
    <s v="Cynthia Green"/>
    <s v="East"/>
    <s v="Furniture"/>
    <s v="Chromcraft Bull-Nose Wood Oval Conference Tables &amp; Bases"/>
    <x v="6"/>
    <n v="810.25"/>
    <n v="5"/>
    <s v="Cash"/>
    <n v="1539.48"/>
  </r>
  <r>
    <s v="ORD1560"/>
    <d v="2024-10-20T00:00:00"/>
    <s v="Robert Haynes"/>
    <s v="West"/>
    <s v="Technology"/>
    <s v="Memorex 4.7GB DVD+RW, 3/Pack"/>
    <x v="4"/>
    <n v="1473.23"/>
    <n v="5"/>
    <s v="Net Banking"/>
    <n v="4198.71"/>
  </r>
  <r>
    <s v="ORD1561"/>
    <d v="2023-08-19T00:00:00"/>
    <s v="Emily Nelson"/>
    <s v="South"/>
    <s v="Furniture"/>
    <s v="Eldon® Wave Desk Accessories"/>
    <x v="3"/>
    <n v="1770.4"/>
    <n v="10"/>
    <s v="Credit Card"/>
    <n v="7966.8"/>
  </r>
  <r>
    <s v="ORD1562"/>
    <d v="2023-11-06T00:00:00"/>
    <s v="Dale Chan"/>
    <s v="West"/>
    <s v="Technology"/>
    <s v="KF 788"/>
    <x v="8"/>
    <n v="1358.34"/>
    <n v="10"/>
    <s v="Cash"/>
    <n v="11002.55"/>
  </r>
  <r>
    <s v="ORD1563"/>
    <d v="2023-10-09T00:00:00"/>
    <s v="Brittney Martin"/>
    <s v="South"/>
    <s v="Office Supplies"/>
    <s v="Heavy-Duty E-Z-D® Binders"/>
    <x v="6"/>
    <n v="553.44000000000005"/>
    <n v="5"/>
    <s v="Credit Card"/>
    <n v="1051.54"/>
  </r>
  <r>
    <s v="ORD1564"/>
    <d v="2025-06-27T00:00:00"/>
    <s v="Jason Herrera"/>
    <s v="East"/>
    <s v="Office Supplies"/>
    <s v="Boston 1645 Deluxe Heavier-Duty Electric Pencil Sharpener"/>
    <x v="2"/>
    <n v="1365.49"/>
    <n v="10"/>
    <s v="Cash"/>
    <n v="9831.5300000000007"/>
  </r>
  <r>
    <s v="ORD1565"/>
    <d v="2025-01-29T00:00:00"/>
    <s v="Christine Parker"/>
    <s v="West"/>
    <s v="Office Supplies"/>
    <s v="Xerox 213"/>
    <x v="6"/>
    <n v="628.62"/>
    <n v="10"/>
    <s v="Cash"/>
    <n v="1131.52"/>
  </r>
  <r>
    <s v="ORD1566"/>
    <d v="2025-07-14T00:00:00"/>
    <s v="Bryan Moore"/>
    <s v="West"/>
    <s v="Office Supplies"/>
    <s v="Jet-Pak Recycled Peel 'N' Seal Padded Mailers"/>
    <x v="3"/>
    <n v="1450.94"/>
    <n v="15"/>
    <s v="Cash"/>
    <n v="6166.5"/>
  </r>
  <r>
    <s v="ORD1567"/>
    <d v="2023-12-05T00:00:00"/>
    <s v="Samantha Terry"/>
    <s v="West"/>
    <s v="Office Supplies"/>
    <s v="Personal Creations™ Ink Jet Cards and Labels"/>
    <x v="0"/>
    <n v="1910.36"/>
    <n v="0"/>
    <s v="Credit Card"/>
    <n v="13372.52"/>
  </r>
  <r>
    <s v="ORD1568"/>
    <d v="2024-10-08T00:00:00"/>
    <s v="Russell Murphy"/>
    <s v="East"/>
    <s v="Technology"/>
    <s v="Panasonic KX-P3626 Dot Matrix Printer"/>
    <x v="2"/>
    <n v="1456.72"/>
    <n v="5"/>
    <s v="Cash"/>
    <n v="11071.07"/>
  </r>
  <r>
    <s v="ORD1569"/>
    <d v="2023-09-08T00:00:00"/>
    <s v="David Kelly"/>
    <s v="East"/>
    <s v="Office Supplies"/>
    <s v="ACCOHIDE® 3-Ring Binder, Blue, 1&quot;"/>
    <x v="7"/>
    <n v="1732.62"/>
    <n v="15"/>
    <s v="Credit Card"/>
    <n v="1472.73"/>
  </r>
  <r>
    <s v="ORD1570"/>
    <d v="2025-05-21T00:00:00"/>
    <s v="Megan Green"/>
    <s v="South"/>
    <s v="Office Supplies"/>
    <s v="Ampad #10 Peel &amp; Seel® Holiday Envelopes"/>
    <x v="5"/>
    <n v="54.1"/>
    <n v="0"/>
    <s v="Cash"/>
    <n v="324.60000000000002"/>
  </r>
  <r>
    <s v="ORD1571"/>
    <d v="2024-05-24T00:00:00"/>
    <s v="Amanda Sullivan MD"/>
    <s v="North"/>
    <s v="Office Supplies"/>
    <s v="Ibico Recycled Linen-Style Covers"/>
    <x v="7"/>
    <n v="1449.27"/>
    <n v="10"/>
    <s v="UPI"/>
    <n v="1304.3399999999999"/>
  </r>
  <r>
    <s v="ORD1572"/>
    <d v="2024-11-06T00:00:00"/>
    <s v="Danielle Murray"/>
    <s v="East"/>
    <s v="Office Supplies"/>
    <s v="Vinyl Sectional Post Binders"/>
    <x v="6"/>
    <n v="1667.7"/>
    <n v="10"/>
    <s v="Cash"/>
    <n v="3001.86"/>
  </r>
  <r>
    <s v="ORD1573"/>
    <d v="2024-10-14T00:00:00"/>
    <s v="Brenda Smith"/>
    <s v="West"/>
    <s v="Technology"/>
    <s v="i500plus"/>
    <x v="7"/>
    <n v="129.09"/>
    <n v="15"/>
    <s v="Net Banking"/>
    <n v="109.73"/>
  </r>
  <r>
    <s v="ORD1574"/>
    <d v="2023-12-05T00:00:00"/>
    <s v="Vickie Anderson"/>
    <s v="South"/>
    <s v="Technology"/>
    <s v="Imation 3.5&quot; IBM-Formatted Diskettes, 10/Pack"/>
    <x v="3"/>
    <n v="1749.62"/>
    <n v="10"/>
    <s v="Credit Card"/>
    <n v="7873.29"/>
  </r>
  <r>
    <s v="ORD1575"/>
    <d v="2024-07-10T00:00:00"/>
    <s v="Jacqueline Mccoy"/>
    <s v="West"/>
    <s v="Office Supplies"/>
    <s v="Avery 494"/>
    <x v="8"/>
    <n v="550.54999999999995"/>
    <n v="20"/>
    <s v="UPI"/>
    <n v="3963.96"/>
  </r>
  <r>
    <s v="ORD1576"/>
    <d v="2023-11-18T00:00:00"/>
    <s v="Lauren Green"/>
    <s v="West"/>
    <s v="Technology"/>
    <s v="Keytronic French Keyboard"/>
    <x v="5"/>
    <n v="1347.32"/>
    <n v="15"/>
    <s v="Credit Card"/>
    <n v="6871.33"/>
  </r>
  <r>
    <s v="ORD1577"/>
    <d v="2023-09-13T00:00:00"/>
    <s v="Alison Brown"/>
    <s v="East"/>
    <s v="Technology"/>
    <s v="Canon MP25DIII Desktop Whisper-Quiet Printing Calculator"/>
    <x v="7"/>
    <n v="1610.69"/>
    <n v="0"/>
    <s v="Cash"/>
    <n v="1610.69"/>
  </r>
  <r>
    <s v="ORD1578"/>
    <d v="2024-04-07T00:00:00"/>
    <s v="Jill Anderson"/>
    <s v="North"/>
    <s v="Office Supplies"/>
    <s v="SANFORD Major Accent™ Highlighters"/>
    <x v="7"/>
    <n v="1342.2"/>
    <n v="15"/>
    <s v="Net Banking"/>
    <n v="1140.8699999999999"/>
  </r>
  <r>
    <s v="ORD1579"/>
    <d v="2024-05-21T00:00:00"/>
    <s v="Sandra Rivera"/>
    <s v="West"/>
    <s v="Technology"/>
    <s v="Micro Innovations Micro Digital Wireless Keyboard and Mouse, Gray"/>
    <x v="6"/>
    <n v="229.96"/>
    <n v="5"/>
    <s v="Net Banking"/>
    <n v="436.92"/>
  </r>
  <r>
    <s v="ORD1580"/>
    <d v="2025-07-10T00:00:00"/>
    <s v="Joel Jackson"/>
    <s v="East"/>
    <s v="Technology"/>
    <s v="i2000"/>
    <x v="8"/>
    <n v="1212.83"/>
    <n v="15"/>
    <s v="Net Banking"/>
    <n v="9278.15"/>
  </r>
  <r>
    <s v="ORD1581"/>
    <d v="2025-08-05T00:00:00"/>
    <s v="Samantha Foster"/>
    <s v="South"/>
    <s v="Technology"/>
    <s v="US Robotics 56K V.92 External Faxmodem"/>
    <x v="4"/>
    <n v="1121.69"/>
    <n v="10"/>
    <s v="Cash"/>
    <n v="3028.56"/>
  </r>
  <r>
    <s v="ORD1582"/>
    <d v="2025-04-21T00:00:00"/>
    <s v="Michael Thompson"/>
    <s v="West"/>
    <s v="Office Supplies"/>
    <s v="Rediform Wirebound &quot;Phone Memo&quot; Message Book, 11 x 5-3/4"/>
    <x v="7"/>
    <n v="1805.63"/>
    <n v="10"/>
    <s v="Cash"/>
    <n v="1625.07"/>
  </r>
  <r>
    <s v="ORD1583"/>
    <d v="2025-06-10T00:00:00"/>
    <s v="Cody Ramirez"/>
    <s v="South"/>
    <s v="Technology"/>
    <s v="Fellowes Smart Design 104-Key Enhanced Keyboard, PS/2 Adapter, Platinum"/>
    <x v="3"/>
    <n v="838.27"/>
    <n v="20"/>
    <s v="Net Banking"/>
    <n v="3353.08"/>
  </r>
  <r>
    <s v="ORD1584"/>
    <d v="2023-09-11T00:00:00"/>
    <s v="Amanda Harvey"/>
    <s v="East"/>
    <s v="Office Supplies"/>
    <s v="Avery 48"/>
    <x v="0"/>
    <n v="676.11"/>
    <n v="20"/>
    <s v="Cash"/>
    <n v="3786.22"/>
  </r>
  <r>
    <s v="ORD1585"/>
    <d v="2025-07-10T00:00:00"/>
    <s v="Edward Jenkins"/>
    <s v="East"/>
    <s v="Office Supplies"/>
    <s v="Holmes Odor Grabber"/>
    <x v="5"/>
    <n v="1512.21"/>
    <n v="20"/>
    <s v="Cash"/>
    <n v="7258.61"/>
  </r>
  <r>
    <s v="ORD1586"/>
    <d v="2024-05-15T00:00:00"/>
    <s v="Amy Ramirez"/>
    <s v="East"/>
    <s v="Furniture"/>
    <s v="Luxo Professional Fluorescent Magnifier Lamp with Clamp-Mount Base"/>
    <x v="7"/>
    <n v="854.72"/>
    <n v="0"/>
    <s v="UPI"/>
    <n v="854.72"/>
  </r>
  <r>
    <s v="ORD1587"/>
    <d v="2024-01-22T00:00:00"/>
    <s v="Curtis Wilkerson"/>
    <s v="East"/>
    <s v="Furniture"/>
    <s v="Electrix Halogen Magnifier Lamp"/>
    <x v="3"/>
    <n v="1309.8900000000001"/>
    <n v="20"/>
    <s v="Cash"/>
    <n v="5239.5600000000004"/>
  </r>
  <r>
    <s v="ORD1588"/>
    <d v="2025-01-22T00:00:00"/>
    <s v="Lydia Pham"/>
    <s v="East"/>
    <s v="Office Supplies"/>
    <s v="Xerox 1923"/>
    <x v="3"/>
    <n v="1310.58"/>
    <n v="0"/>
    <s v="UPI"/>
    <n v="6552.9"/>
  </r>
  <r>
    <s v="ORD1589"/>
    <d v="2024-02-21T00:00:00"/>
    <s v="Virginia Casey"/>
    <s v="North"/>
    <s v="Office Supplies"/>
    <s v="Xerox 1923"/>
    <x v="5"/>
    <n v="1781.68"/>
    <n v="20"/>
    <s v="Net Banking"/>
    <n v="8552.06"/>
  </r>
  <r>
    <s v="ORD1590"/>
    <d v="2025-01-11T00:00:00"/>
    <s v="Joshua Washington"/>
    <s v="South"/>
    <s v="Office Supplies"/>
    <s v="Wilson Jones Custom Binder Spines &amp; Labels"/>
    <x v="4"/>
    <n v="1217.45"/>
    <n v="0"/>
    <s v="Credit Card"/>
    <n v="3652.35"/>
  </r>
  <r>
    <s v="ORD1591"/>
    <d v="2023-10-30T00:00:00"/>
    <s v="Kathryn Price"/>
    <s v="North"/>
    <s v="Office Supplies"/>
    <s v="Xerox 1883"/>
    <x v="3"/>
    <n v="1029.2"/>
    <n v="15"/>
    <s v="Cash"/>
    <n v="4374.1000000000004"/>
  </r>
  <r>
    <s v="ORD1592"/>
    <d v="2024-05-12T00:00:00"/>
    <s v="Francis Robinson"/>
    <s v="South"/>
    <s v="Technology"/>
    <s v="Accessory37"/>
    <x v="0"/>
    <n v="320.8"/>
    <n v="15"/>
    <s v="Net Banking"/>
    <n v="1908.76"/>
  </r>
  <r>
    <s v="ORD1593"/>
    <d v="2025-04-08T00:00:00"/>
    <s v="Paula Brown"/>
    <s v="West"/>
    <s v="Furniture"/>
    <s v="Balt Split Level Computer Training Table"/>
    <x v="3"/>
    <n v="275.69"/>
    <n v="10"/>
    <s v="Net Banking"/>
    <n v="1240.5999999999999"/>
  </r>
  <r>
    <s v="ORD1594"/>
    <d v="2024-10-19T00:00:00"/>
    <s v="Kendra Wang DVM"/>
    <s v="West"/>
    <s v="Office Supplies"/>
    <s v="Avery 51"/>
    <x v="3"/>
    <n v="350.93"/>
    <n v="0"/>
    <s v="Cash"/>
    <n v="1754.65"/>
  </r>
  <r>
    <s v="ORD1595"/>
    <d v="2025-06-28T00:00:00"/>
    <s v="Ariel Sandoval"/>
    <s v="South"/>
    <s v="Furniture"/>
    <s v="Balt Split Level Computer Training Table"/>
    <x v="3"/>
    <n v="385.1"/>
    <n v="5"/>
    <s v="Credit Card"/>
    <n v="1829.22"/>
  </r>
  <r>
    <s v="ORD1596"/>
    <d v="2025-06-21T00:00:00"/>
    <s v="Robert Stark"/>
    <s v="West"/>
    <s v="Office Supplies"/>
    <s v="Avery Flip-Chart Easel Binder, Black"/>
    <x v="4"/>
    <n v="1293.8599999999999"/>
    <n v="10"/>
    <s v="Credit Card"/>
    <n v="3493.42"/>
  </r>
  <r>
    <s v="ORD1597"/>
    <d v="2024-06-22T00:00:00"/>
    <s v="Zachary Robinson"/>
    <s v="West"/>
    <s v="Furniture"/>
    <s v="Seth Thomas 13 1/2&quot; Wall Clock"/>
    <x v="7"/>
    <n v="1494.91"/>
    <n v="15"/>
    <s v="Cash"/>
    <n v="1270.67"/>
  </r>
  <r>
    <s v="ORD1598"/>
    <d v="2024-12-06T00:00:00"/>
    <s v="Rebecca Kelly"/>
    <s v="West"/>
    <s v="Office Supplies"/>
    <s v="GBC Pre-Punched Binding Paper, Plastic, White, 8-1/2&quot; x 11&quot;"/>
    <x v="3"/>
    <n v="1083.48"/>
    <n v="0"/>
    <s v="Net Banking"/>
    <n v="5417.4"/>
  </r>
  <r>
    <s v="ORD1599"/>
    <d v="2025-03-16T00:00:00"/>
    <s v="Sarah Thompson"/>
    <s v="North"/>
    <s v="Office Supplies"/>
    <s v="Xerox 1982"/>
    <x v="8"/>
    <n v="1666.58"/>
    <n v="20"/>
    <s v="Cash"/>
    <n v="11999.38"/>
  </r>
  <r>
    <s v="ORD1600"/>
    <d v="2023-12-10T00:00:00"/>
    <s v="Renee Wolfe"/>
    <s v="North"/>
    <s v="Office Supplies"/>
    <s v="Boston 16701 Slimline Battery Pencil Sharpener"/>
    <x v="7"/>
    <n v="1982.96"/>
    <n v="5"/>
    <s v="Credit Card"/>
    <n v="1883.81"/>
  </r>
  <r>
    <s v="ORD1601"/>
    <d v="2025-07-31T00:00:00"/>
    <s v="Alyssa Haynes"/>
    <s v="East"/>
    <s v="Furniture"/>
    <s v="Global Leather &amp; Oak Executive Chair, Burgundy"/>
    <x v="4"/>
    <n v="1649.02"/>
    <n v="15"/>
    <s v="Cash"/>
    <n v="4205"/>
  </r>
  <r>
    <s v="ORD1602"/>
    <d v="2025-08-03T00:00:00"/>
    <s v="Kristy Hart"/>
    <s v="South"/>
    <s v="Furniture"/>
    <s v="Executive Impressions 13&quot; Clairmont Wall Clock"/>
    <x v="1"/>
    <n v="1405.02"/>
    <n v="10"/>
    <s v="Net Banking"/>
    <n v="5058.07"/>
  </r>
  <r>
    <s v="ORD1603"/>
    <d v="2024-02-11T00:00:00"/>
    <s v="William Keith"/>
    <s v="West"/>
    <s v="Office Supplies"/>
    <s v="Acme Hot Forged Carbon Steel Scissors with Nickel-Plated Handles, 3 7/8&quot; Cut, 8&quot;L"/>
    <x v="7"/>
    <n v="1088.3599999999999"/>
    <n v="0"/>
    <s v="Credit Card"/>
    <n v="1088.3599999999999"/>
  </r>
  <r>
    <s v="ORD1604"/>
    <d v="2025-06-13T00:00:00"/>
    <s v="Eric Henry Jr."/>
    <s v="South"/>
    <s v="Technology"/>
    <s v="Accessory36"/>
    <x v="7"/>
    <n v="925.26"/>
    <n v="5"/>
    <s v="Credit Card"/>
    <n v="879"/>
  </r>
  <r>
    <s v="ORD1605"/>
    <d v="2023-12-16T00:00:00"/>
    <s v="Daniel Fox"/>
    <s v="East"/>
    <s v="Office Supplies"/>
    <s v="Rediform Wirebound &quot;Phone Memo&quot; Message Book, 11 x 5-3/4"/>
    <x v="2"/>
    <n v="214.57"/>
    <n v="0"/>
    <s v="Credit Card"/>
    <n v="1716.56"/>
  </r>
  <r>
    <s v="ORD1606"/>
    <d v="2025-04-24T00:00:00"/>
    <s v="Thomas Harris"/>
    <s v="East"/>
    <s v="Office Supplies"/>
    <s v="Southworth 25% Cotton Linen-Finish Paper &amp; Envelopes"/>
    <x v="6"/>
    <n v="828.77"/>
    <n v="20"/>
    <s v="Net Banking"/>
    <n v="1326.03"/>
  </r>
  <r>
    <s v="ORD1607"/>
    <d v="2025-05-02T00:00:00"/>
    <s v="Mitchell Sellers"/>
    <s v="West"/>
    <s v="Technology"/>
    <s v="Fellowes Internet Keyboard, Platinum"/>
    <x v="2"/>
    <n v="1824.76"/>
    <n v="10"/>
    <s v="Cash"/>
    <n v="13138.27"/>
  </r>
  <r>
    <s v="ORD1608"/>
    <d v="2023-12-27T00:00:00"/>
    <s v="Erica Johnson"/>
    <s v="East"/>
    <s v="Office Supplies"/>
    <s v="Snap-A-Way® Black Print Carbonless Ruled Speed Letter, Triplicate"/>
    <x v="0"/>
    <n v="1625.64"/>
    <n v="0"/>
    <s v="Credit Card"/>
    <n v="11379.48"/>
  </r>
  <r>
    <s v="ORD1609"/>
    <d v="2025-06-26T00:00:00"/>
    <s v="Sylvia Schroeder"/>
    <s v="West"/>
    <s v="Office Supplies"/>
    <s v="GBC Laser Imprintable Binding System Covers, Desert Sand"/>
    <x v="6"/>
    <n v="471.3"/>
    <n v="15"/>
    <s v="Net Banking"/>
    <n v="801.21"/>
  </r>
  <r>
    <s v="ORD1610"/>
    <d v="2024-06-27T00:00:00"/>
    <s v="Shannon Yu"/>
    <s v="East"/>
    <s v="Office Supplies"/>
    <s v="Eldon® Gobal File Keepers"/>
    <x v="5"/>
    <n v="959.89"/>
    <n v="10"/>
    <s v="Net Banking"/>
    <n v="5183.41"/>
  </r>
  <r>
    <s v="ORD1611"/>
    <d v="2023-08-31T00:00:00"/>
    <s v="Tom Foster"/>
    <s v="East"/>
    <s v="Office Supplies"/>
    <s v="Sanyo Counter Height Refrigerator with Crisper, 3.6 Cubic Foot, Stainless Steel/Black"/>
    <x v="5"/>
    <n v="1642.61"/>
    <n v="15"/>
    <s v="UPI"/>
    <n v="8377.31"/>
  </r>
  <r>
    <s v="ORD1612"/>
    <d v="2023-12-29T00:00:00"/>
    <s v="Eric Taylor"/>
    <s v="West"/>
    <s v="Office Supplies"/>
    <s v="Sanyo Counter Height Refrigerator with Crisper, 3.6 Cubic Foot, Stainless Steel/Black"/>
    <x v="4"/>
    <n v="181.4"/>
    <n v="0"/>
    <s v="Credit Card"/>
    <n v="544.20000000000005"/>
  </r>
  <r>
    <s v="ORD1613"/>
    <d v="2025-03-06T00:00:00"/>
    <s v="Travis Conner"/>
    <s v="East"/>
    <s v="Office Supplies"/>
    <s v="Telephone Message Books with Fax/Mobile Section, 5 1/2&quot; x 3 3/16&quot;"/>
    <x v="6"/>
    <n v="805.42"/>
    <n v="10"/>
    <s v="Net Banking"/>
    <n v="1449.76"/>
  </r>
  <r>
    <s v="ORD1614"/>
    <d v="2025-07-30T00:00:00"/>
    <s v="Marie Thompson"/>
    <s v="East"/>
    <s v="Office Supplies"/>
    <s v="Acme® Forged Steel Scissors with Black Enamel Handles"/>
    <x v="7"/>
    <n v="1711.09"/>
    <n v="15"/>
    <s v="Cash"/>
    <n v="1454.43"/>
  </r>
  <r>
    <s v="ORD1615"/>
    <d v="2024-04-26T00:00:00"/>
    <s v="Melissa Mcfarland"/>
    <s v="East"/>
    <s v="Furniture"/>
    <s v="Hon Olson Stacker Stools"/>
    <x v="5"/>
    <n v="837.6"/>
    <n v="20"/>
    <s v="Net Banking"/>
    <n v="4020.48"/>
  </r>
  <r>
    <s v="ORD1616"/>
    <d v="2025-04-10T00:00:00"/>
    <s v="Courtney Chapman"/>
    <s v="South"/>
    <s v="Office Supplies"/>
    <s v="Acme® Forged Steel Scissors with Black Enamel Handles"/>
    <x v="3"/>
    <n v="201.35"/>
    <n v="20"/>
    <s v="Net Banking"/>
    <n v="805.4"/>
  </r>
  <r>
    <s v="ORD1617"/>
    <d v="2025-08-03T00:00:00"/>
    <s v="Eric Barker"/>
    <s v="North"/>
    <s v="Office Supplies"/>
    <s v="GBC Wire Binding Strips"/>
    <x v="8"/>
    <n v="1107.94"/>
    <n v="0"/>
    <s v="UPI"/>
    <n v="9971.4599999999991"/>
  </r>
  <r>
    <s v="ORD1618"/>
    <d v="2024-06-26T00:00:00"/>
    <s v="Nicholas Rush"/>
    <s v="South"/>
    <s v="Office Supplies"/>
    <s v="Telephone Message Books with Fax/Mobile Section, 5 1/2&quot; x 3 3/16&quot;"/>
    <x v="7"/>
    <n v="1730.4"/>
    <n v="10"/>
    <s v="Credit Card"/>
    <n v="1557.36"/>
  </r>
  <r>
    <s v="ORD1619"/>
    <d v="2025-04-26T00:00:00"/>
    <s v="Jenna Gamble"/>
    <s v="East"/>
    <s v="Technology"/>
    <s v="Talkabout T8367"/>
    <x v="0"/>
    <n v="1201.06"/>
    <n v="5"/>
    <s v="Net Banking"/>
    <n v="7987.05"/>
  </r>
  <r>
    <s v="ORD1620"/>
    <d v="2025-01-13T00:00:00"/>
    <s v="Amanda Guzman"/>
    <s v="North"/>
    <s v="Furniture"/>
    <s v="Westinghouse Clip-On Gooseneck Lamps"/>
    <x v="3"/>
    <n v="491.24"/>
    <n v="10"/>
    <s v="Cash"/>
    <n v="2210.58"/>
  </r>
  <r>
    <s v="ORD1621"/>
    <d v="2025-06-13T00:00:00"/>
    <s v="Tracy Walker"/>
    <s v="South"/>
    <s v="Furniture"/>
    <s v="Atlantic Metals Mobile 5-Shelf Bookcases, Custom Colors"/>
    <x v="3"/>
    <n v="799.27"/>
    <n v="20"/>
    <s v="UPI"/>
    <n v="3197.08"/>
  </r>
  <r>
    <s v="ORD1622"/>
    <d v="2025-03-04T00:00:00"/>
    <s v="Taylor Taylor"/>
    <s v="South"/>
    <s v="Technology"/>
    <s v="Epson DFX-8500 Dot Matrix Printer"/>
    <x v="6"/>
    <n v="927.74"/>
    <n v="15"/>
    <s v="Net Banking"/>
    <n v="1577.16"/>
  </r>
  <r>
    <s v="ORD1623"/>
    <d v="2025-05-02T00:00:00"/>
    <s v="Cynthia Haas"/>
    <s v="South"/>
    <s v="Office Supplies"/>
    <s v="Avery 498"/>
    <x v="4"/>
    <n v="1179.57"/>
    <n v="5"/>
    <s v="Cash"/>
    <n v="3361.77"/>
  </r>
  <r>
    <s v="ORD1624"/>
    <d v="2024-02-20T00:00:00"/>
    <s v="Stephen Davis"/>
    <s v="West"/>
    <s v="Technology"/>
    <s v="Accessory6"/>
    <x v="0"/>
    <n v="1530.73"/>
    <n v="0"/>
    <s v="Credit Card"/>
    <n v="10715.11"/>
  </r>
  <r>
    <s v="ORD1625"/>
    <d v="2024-03-06T00:00:00"/>
    <s v="Margaret Tanner"/>
    <s v="East"/>
    <s v="Office Supplies"/>
    <s v="Space Solutions Commercial Steel Shelving"/>
    <x v="5"/>
    <n v="242.8"/>
    <n v="5"/>
    <s v="UPI"/>
    <n v="1383.96"/>
  </r>
  <r>
    <s v="ORD1626"/>
    <d v="2023-12-13T00:00:00"/>
    <s v="Derek Wright"/>
    <s v="East"/>
    <s v="Office Supplies"/>
    <s v="Southworth 25% Cotton Premium Laser Paper and Envelopes"/>
    <x v="6"/>
    <n v="1784.82"/>
    <n v="0"/>
    <s v="Net Banking"/>
    <n v="3569.64"/>
  </r>
  <r>
    <s v="ORD1627"/>
    <d v="2025-04-14T00:00:00"/>
    <s v="David Rodriguez"/>
    <s v="North"/>
    <s v="Technology"/>
    <s v="Timeport L7089"/>
    <x v="5"/>
    <n v="74"/>
    <n v="5"/>
    <s v="UPI"/>
    <n v="421.8"/>
  </r>
  <r>
    <s v="ORD1628"/>
    <d v="2025-02-06T00:00:00"/>
    <s v="James Oconnor"/>
    <s v="South"/>
    <s v="Office Supplies"/>
    <s v="Angle-D Binders with Locking Rings, Label Holders"/>
    <x v="6"/>
    <n v="771.6"/>
    <n v="0"/>
    <s v="Cash"/>
    <n v="1543.2"/>
  </r>
  <r>
    <s v="ORD1629"/>
    <d v="2023-11-03T00:00:00"/>
    <s v="Stacey Snyder"/>
    <s v="East"/>
    <s v="Technology"/>
    <s v="5165"/>
    <x v="6"/>
    <n v="103.47"/>
    <n v="0"/>
    <s v="Credit Card"/>
    <n v="206.94"/>
  </r>
  <r>
    <s v="ORD1630"/>
    <d v="2024-06-04T00:00:00"/>
    <s v="Joshua Garcia"/>
    <s v="South"/>
    <s v="Furniture"/>
    <s v="Rush Hierlooms Collection Rich Wood Bookcases"/>
    <x v="6"/>
    <n v="816.3"/>
    <n v="5"/>
    <s v="Credit Card"/>
    <n v="1550.97"/>
  </r>
  <r>
    <s v="ORD1631"/>
    <d v="2025-06-19T00:00:00"/>
    <s v="Sean Curtis"/>
    <s v="East"/>
    <s v="Office Supplies"/>
    <s v="Eureka Disposable Bags for Sanitaire® Vibra Groomer I® Upright Vac"/>
    <x v="4"/>
    <n v="1075.33"/>
    <n v="5"/>
    <s v="Credit Card"/>
    <n v="3064.69"/>
  </r>
  <r>
    <s v="ORD1632"/>
    <d v="2023-09-11T00:00:00"/>
    <s v="Carla Jones"/>
    <s v="South"/>
    <s v="Office Supplies"/>
    <s v="Plymouth Boxed Rubber Bands by Plymouth"/>
    <x v="6"/>
    <n v="1047.78"/>
    <n v="0"/>
    <s v="Credit Card"/>
    <n v="2095.56"/>
  </r>
  <r>
    <s v="ORD1633"/>
    <d v="2025-06-08T00:00:00"/>
    <s v="Elizabeth Flores"/>
    <s v="East"/>
    <s v="Office Supplies"/>
    <s v="Important Message Pads, 50 4-1/4 x 5-1/2 Forms per Pad"/>
    <x v="1"/>
    <n v="372.98"/>
    <n v="20"/>
    <s v="Net Banking"/>
    <n v="1193.54"/>
  </r>
  <r>
    <s v="ORD1634"/>
    <d v="2024-08-11T00:00:00"/>
    <s v="Angela Jackson"/>
    <s v="North"/>
    <s v="Office Supplies"/>
    <s v="Avery Printable Repositionable Plastic Tabs"/>
    <x v="8"/>
    <n v="1309.19"/>
    <n v="5"/>
    <s v="Cash"/>
    <n v="11193.57"/>
  </r>
  <r>
    <s v="ORD1635"/>
    <d v="2024-01-31T00:00:00"/>
    <s v="Nicholas Payne"/>
    <s v="South"/>
    <s v="Technology"/>
    <s v="Canon Imageclass D680 Copier / Fax"/>
    <x v="5"/>
    <n v="137.32"/>
    <n v="10"/>
    <s v="UPI"/>
    <n v="741.53"/>
  </r>
  <r>
    <s v="ORD1636"/>
    <d v="2024-01-14T00:00:00"/>
    <s v="Anna Wheeler"/>
    <s v="East"/>
    <s v="Office Supplies"/>
    <s v="HP Office Recycled Paper (20Lb. and 87 Bright)"/>
    <x v="7"/>
    <n v="1535.72"/>
    <n v="15"/>
    <s v="Net Banking"/>
    <n v="1305.3599999999999"/>
  </r>
  <r>
    <s v="ORD1637"/>
    <d v="2025-05-07T00:00:00"/>
    <s v="Karen Johnson"/>
    <s v="North"/>
    <s v="Office Supplies"/>
    <s v="#10- 4 1/8&quot; x 9 1/2&quot; Security-Tint Envelopes"/>
    <x v="2"/>
    <n v="1895.96"/>
    <n v="0"/>
    <s v="UPI"/>
    <n v="15167.68"/>
  </r>
  <r>
    <s v="ORD1638"/>
    <d v="2025-07-25T00:00:00"/>
    <s v="Carmen Preston"/>
    <s v="North"/>
    <s v="Technology"/>
    <s v="Logitech Internet Navigator Keyboard"/>
    <x v="0"/>
    <n v="712.55"/>
    <n v="0"/>
    <s v="Credit Card"/>
    <n v="4987.8500000000004"/>
  </r>
  <r>
    <s v="ORD1639"/>
    <d v="2024-08-03T00:00:00"/>
    <s v="Brian Harris"/>
    <s v="East"/>
    <s v="Office Supplies"/>
    <s v="Xerox 1897"/>
    <x v="4"/>
    <n v="1058.6199999999999"/>
    <n v="15"/>
    <s v="Cash"/>
    <n v="2699.48"/>
  </r>
  <r>
    <s v="ORD1640"/>
    <d v="2024-05-09T00:00:00"/>
    <s v="Michael Bowen"/>
    <s v="South"/>
    <s v="Office Supplies"/>
    <s v="#10- 4 1/8&quot; x 9 1/2&quot; Security-Tint Envelopes"/>
    <x v="7"/>
    <n v="788.88"/>
    <n v="20"/>
    <s v="Net Banking"/>
    <n v="631.1"/>
  </r>
  <r>
    <s v="ORD1641"/>
    <d v="2024-04-05T00:00:00"/>
    <s v="Deborah Campbell"/>
    <s v="West"/>
    <s v="Office Supplies"/>
    <s v="C-Line Peel &amp; Stick Add-On Filing Pockets, 8-3/4 x 5-1/8, 10/Pack"/>
    <x v="3"/>
    <n v="63.09"/>
    <n v="15"/>
    <s v="UPI"/>
    <n v="268.13"/>
  </r>
  <r>
    <s v="ORD1642"/>
    <d v="2025-05-10T00:00:00"/>
    <s v="Anthony Armstrong"/>
    <s v="North"/>
    <s v="Office Supplies"/>
    <s v="Avery Printable Repositionable Plastic Tabs"/>
    <x v="1"/>
    <n v="802.46"/>
    <n v="5"/>
    <s v="UPI"/>
    <n v="3049.35"/>
  </r>
  <r>
    <s v="ORD1643"/>
    <d v="2025-04-20T00:00:00"/>
    <s v="Brittany Ward"/>
    <s v="North"/>
    <s v="Technology"/>
    <s v="Canon Imageclass D680 Copier / Fax"/>
    <x v="2"/>
    <n v="1593.85"/>
    <n v="15"/>
    <s v="Net Banking"/>
    <n v="10838.18"/>
  </r>
  <r>
    <s v="ORD1644"/>
    <d v="2025-06-18T00:00:00"/>
    <s v="Edward Stanley"/>
    <s v="East"/>
    <s v="Technology"/>
    <s v="Logitech Internet Navigator Keyboard"/>
    <x v="7"/>
    <n v="1212.18"/>
    <n v="0"/>
    <s v="UPI"/>
    <n v="1212.18"/>
  </r>
  <r>
    <s v="ORD1645"/>
    <d v="2024-02-04T00:00:00"/>
    <s v="Christina Johnson"/>
    <s v="West"/>
    <s v="Office Supplies"/>
    <s v="Xerox 1897"/>
    <x v="7"/>
    <n v="247.46"/>
    <n v="15"/>
    <s v="UPI"/>
    <n v="210.34"/>
  </r>
  <r>
    <s v="ORD1646"/>
    <d v="2024-02-01T00:00:00"/>
    <s v="Edgar Miller"/>
    <s v="West"/>
    <s v="Technology"/>
    <s v="Epson LQ-570e Dot Matrix Printer"/>
    <x v="1"/>
    <n v="1701.92"/>
    <n v="10"/>
    <s v="Net Banking"/>
    <n v="6126.91"/>
  </r>
  <r>
    <s v="ORD1647"/>
    <d v="2023-08-30T00:00:00"/>
    <s v="Elizabeth Sanders"/>
    <s v="West"/>
    <s v="Furniture"/>
    <s v="Office Star - Mid Back Dual function Ergonomic High Back Chair with 2-Way Adjustable Arms"/>
    <x v="2"/>
    <n v="1085.6199999999999"/>
    <n v="5"/>
    <s v="Cash"/>
    <n v="8250.7099999999991"/>
  </r>
  <r>
    <s v="ORD1648"/>
    <d v="2025-01-05T00:00:00"/>
    <s v="Matthew Davis MD"/>
    <s v="East"/>
    <s v="Office Supplies"/>
    <s v="Hoover WindTunnel™ Plus Canister Vacuum"/>
    <x v="3"/>
    <n v="1691.36"/>
    <n v="15"/>
    <s v="Net Banking"/>
    <n v="7188.28"/>
  </r>
  <r>
    <s v="ORD1649"/>
    <d v="2024-01-09T00:00:00"/>
    <s v="Stephen Wood"/>
    <s v="South"/>
    <s v="Office Supplies"/>
    <s v="Xerox 1939"/>
    <x v="6"/>
    <n v="1181.43"/>
    <n v="0"/>
    <s v="Net Banking"/>
    <n v="2362.86"/>
  </r>
  <r>
    <s v="ORD1650"/>
    <d v="2024-06-16T00:00:00"/>
    <s v="Dennis Marshall"/>
    <s v="North"/>
    <s v="Furniture"/>
    <s v="Master Giant Foot® Doorstop, Safety Yellow"/>
    <x v="5"/>
    <n v="1141.3900000000001"/>
    <n v="5"/>
    <s v="Cash"/>
    <n v="6505.92"/>
  </r>
  <r>
    <s v="ORD1651"/>
    <d v="2024-04-22T00:00:00"/>
    <s v="Derrick Brown"/>
    <s v="East"/>
    <s v="Office Supplies"/>
    <s v="Black Print Carbonless Snap-Off® Rapid Letter, 8 1/2&quot; x 7&quot;"/>
    <x v="3"/>
    <n v="255.26"/>
    <n v="0"/>
    <s v="UPI"/>
    <n v="1276.3"/>
  </r>
  <r>
    <s v="ORD1652"/>
    <d v="2024-03-15T00:00:00"/>
    <s v="Mary Miller"/>
    <s v="West"/>
    <s v="Office Supplies"/>
    <s v="White GlueTop Scratch Pads"/>
    <x v="6"/>
    <n v="376.35"/>
    <n v="20"/>
    <s v="Net Banking"/>
    <n v="602.16"/>
  </r>
  <r>
    <s v="ORD1653"/>
    <d v="2025-06-13T00:00:00"/>
    <s v="Joshua Arellano"/>
    <s v="North"/>
    <s v="Technology"/>
    <s v="2180"/>
    <x v="4"/>
    <n v="1945.45"/>
    <n v="10"/>
    <s v="UPI"/>
    <n v="5252.72"/>
  </r>
  <r>
    <s v="ORD1654"/>
    <d v="2023-10-04T00:00:00"/>
    <s v="Kristen Randall"/>
    <s v="North"/>
    <s v="Furniture"/>
    <s v="Bush Westfield Collection Bookcases, Fully Assembled"/>
    <x v="8"/>
    <n v="495.55"/>
    <n v="20"/>
    <s v="UPI"/>
    <n v="3567.96"/>
  </r>
  <r>
    <s v="ORD1655"/>
    <d v="2025-04-03T00:00:00"/>
    <s v="Jennifer Nichols"/>
    <s v="West"/>
    <s v="Office Supplies"/>
    <s v="Staples #10 Laser &amp; Inkjet Envelopes, 4 1/8&quot; x 9 1/2&quot;, 100/Box"/>
    <x v="0"/>
    <n v="1956.03"/>
    <n v="10"/>
    <s v="UPI"/>
    <n v="12322.99"/>
  </r>
  <r>
    <s v="ORD1656"/>
    <d v="2024-03-15T00:00:00"/>
    <s v="Karen Keith"/>
    <s v="West"/>
    <s v="Technology"/>
    <s v="5125"/>
    <x v="0"/>
    <n v="1087.23"/>
    <n v="15"/>
    <s v="Net Banking"/>
    <n v="6469.02"/>
  </r>
  <r>
    <s v="ORD1657"/>
    <d v="2024-05-10T00:00:00"/>
    <s v="Blake Orr"/>
    <s v="North"/>
    <s v="Office Supplies"/>
    <s v="Hoover Portapower™ Portable Vacuum"/>
    <x v="5"/>
    <n v="314.79000000000002"/>
    <n v="5"/>
    <s v="Cash"/>
    <n v="1794.3"/>
  </r>
  <r>
    <s v="ORD1658"/>
    <d v="2024-12-22T00:00:00"/>
    <s v="Kathryn Lester"/>
    <s v="North"/>
    <s v="Furniture"/>
    <s v="Global Leather Executive Chair"/>
    <x v="2"/>
    <n v="243.64"/>
    <n v="15"/>
    <s v="Credit Card"/>
    <n v="1656.75"/>
  </r>
  <r>
    <s v="ORD1659"/>
    <d v="2024-09-10T00:00:00"/>
    <s v="Megan Oliver"/>
    <s v="South"/>
    <s v="Technology"/>
    <s v="Targus USB Numeric Keypad"/>
    <x v="1"/>
    <n v="457.28"/>
    <n v="10"/>
    <s v="Cash"/>
    <n v="1646.21"/>
  </r>
  <r>
    <s v="ORD1660"/>
    <d v="2024-06-17T00:00:00"/>
    <s v="Peter Thompson"/>
    <s v="South"/>
    <s v="Furniture"/>
    <s v="SAFCO PlanMaster Heigh-Adjustable Drafting Table Base, 43w x 30d x 30-37h, Black"/>
    <x v="2"/>
    <n v="1854.99"/>
    <n v="10"/>
    <s v="Net Banking"/>
    <n v="13355.93"/>
  </r>
  <r>
    <s v="ORD1661"/>
    <d v="2025-01-20T00:00:00"/>
    <s v="Dr. Rhonda Martinez"/>
    <s v="East"/>
    <s v="Office Supplies"/>
    <s v="Avery 494"/>
    <x v="1"/>
    <n v="857.59"/>
    <n v="10"/>
    <s v="Cash"/>
    <n v="3087.32"/>
  </r>
  <r>
    <s v="ORD1662"/>
    <d v="2025-05-28T00:00:00"/>
    <s v="William Graham"/>
    <s v="North"/>
    <s v="Technology"/>
    <s v="Accessory9"/>
    <x v="2"/>
    <n v="821.1"/>
    <n v="0"/>
    <s v="Credit Card"/>
    <n v="6568.8"/>
  </r>
  <r>
    <s v="ORD1663"/>
    <d v="2024-10-01T00:00:00"/>
    <s v="Lori Flowers MD"/>
    <s v="South"/>
    <s v="Technology"/>
    <s v="Polycom ViewStation™ ISDN Videoconferencing Unit"/>
    <x v="8"/>
    <n v="660.75"/>
    <n v="5"/>
    <s v="Cash"/>
    <n v="5649.41"/>
  </r>
  <r>
    <s v="ORD1664"/>
    <d v="2024-04-25T00:00:00"/>
    <s v="Suzanne Jones"/>
    <s v="North"/>
    <s v="Office Supplies"/>
    <s v="Harmony HEPA Quiet Air Purifiers"/>
    <x v="4"/>
    <n v="336.77"/>
    <n v="15"/>
    <s v="Net Banking"/>
    <n v="858.76"/>
  </r>
  <r>
    <s v="ORD1665"/>
    <d v="2025-08-10T00:00:00"/>
    <s v="James Nguyen"/>
    <s v="West"/>
    <s v="Technology"/>
    <s v="Hewlett-Packard Deskjet 1220Cse Color Inkjet Printer"/>
    <x v="4"/>
    <n v="1001.31"/>
    <n v="15"/>
    <s v="UPI"/>
    <n v="2553.34"/>
  </r>
  <r>
    <s v="ORD1666"/>
    <d v="2023-09-02T00:00:00"/>
    <s v="Jimmy Marks"/>
    <s v="South"/>
    <s v="Office Supplies"/>
    <s v="Belkin 6 Outlet Metallic Surge Strip"/>
    <x v="6"/>
    <n v="303.58999999999997"/>
    <n v="20"/>
    <s v="Credit Card"/>
    <n v="485.74"/>
  </r>
  <r>
    <s v="ORD1667"/>
    <d v="2023-11-09T00:00:00"/>
    <s v="Lisa Mills"/>
    <s v="West"/>
    <s v="Furniture"/>
    <s v="Eldon Expressions Punched Metal &amp; Wood Desk Accessories, Pewter &amp; Cherry"/>
    <x v="4"/>
    <n v="1679.19"/>
    <n v="10"/>
    <s v="Cash"/>
    <n v="4533.8100000000004"/>
  </r>
  <r>
    <s v="ORD1668"/>
    <d v="2025-06-23T00:00:00"/>
    <s v="Jason Hernandez"/>
    <s v="West"/>
    <s v="Furniture"/>
    <s v="Staples Plastic Wall Frames"/>
    <x v="4"/>
    <n v="772.27"/>
    <n v="10"/>
    <s v="Net Banking"/>
    <n v="2085.13"/>
  </r>
  <r>
    <s v="ORD1669"/>
    <d v="2024-03-01T00:00:00"/>
    <s v="Olivia Ayers"/>
    <s v="West"/>
    <s v="Office Supplies"/>
    <s v="Lock-Up Easel 'Spel-Binder'"/>
    <x v="3"/>
    <n v="780.87"/>
    <n v="10"/>
    <s v="Credit Card"/>
    <n v="3513.92"/>
  </r>
  <r>
    <s v="ORD1670"/>
    <d v="2023-12-28T00:00:00"/>
    <s v="Kristine Garcia"/>
    <s v="East"/>
    <s v="Furniture"/>
    <s v="Eldon Expressions Punched Metal &amp; Wood Desk Accessories, Pewter &amp; Cherry"/>
    <x v="3"/>
    <n v="974.31"/>
    <n v="15"/>
    <s v="Credit Card"/>
    <n v="4140.82"/>
  </r>
  <r>
    <s v="ORD1671"/>
    <d v="2024-11-04T00:00:00"/>
    <s v="Joseph Cooper"/>
    <s v="West"/>
    <s v="Furniture"/>
    <s v="Staples Plastic Wall Frames"/>
    <x v="6"/>
    <n v="916.05"/>
    <n v="20"/>
    <s v="Cash"/>
    <n v="1465.68"/>
  </r>
  <r>
    <s v="ORD1672"/>
    <d v="2024-03-05T00:00:00"/>
    <s v="James Washington"/>
    <s v="East"/>
    <s v="Office Supplies"/>
    <s v="Ibico Laser Imprintable Binding System Covers"/>
    <x v="5"/>
    <n v="1989.97"/>
    <n v="0"/>
    <s v="Net Banking"/>
    <n v="11939.82"/>
  </r>
  <r>
    <s v="ORD1673"/>
    <d v="2023-09-10T00:00:00"/>
    <s v="Amanda Hill"/>
    <s v="North"/>
    <s v="Office Supplies"/>
    <s v="Dixon Ticonderoga Core-Lock Colored Pencils, 48-Color Set"/>
    <x v="3"/>
    <n v="1113.49"/>
    <n v="5"/>
    <s v="Net Banking"/>
    <n v="5289.08"/>
  </r>
  <r>
    <s v="ORD1674"/>
    <d v="2023-11-04T00:00:00"/>
    <s v="Lee Steele"/>
    <s v="North"/>
    <s v="Office Supplies"/>
    <s v="Avery Hanging File Binders"/>
    <x v="5"/>
    <n v="221.99"/>
    <n v="0"/>
    <s v="Credit Card"/>
    <n v="1331.94"/>
  </r>
  <r>
    <s v="ORD1675"/>
    <d v="2024-11-17T00:00:00"/>
    <s v="Steve Rivera"/>
    <s v="South"/>
    <s v="Technology"/>
    <s v="Zoom V.92 USB External Faxmodem"/>
    <x v="7"/>
    <n v="1233.4100000000001"/>
    <n v="15"/>
    <s v="Credit Card"/>
    <n v="1048.4000000000001"/>
  </r>
  <r>
    <s v="ORD1676"/>
    <d v="2024-07-14T00:00:00"/>
    <s v="Patrick Mccall"/>
    <s v="South"/>
    <s v="Office Supplies"/>
    <s v="Lock-Up Easel 'Spel-Binder'"/>
    <x v="3"/>
    <n v="345.59"/>
    <n v="10"/>
    <s v="UPI"/>
    <n v="1555.16"/>
  </r>
  <r>
    <s v="ORD1677"/>
    <d v="2024-05-06T00:00:00"/>
    <s v="Alicia Roth"/>
    <s v="East"/>
    <s v="Office Supplies"/>
    <s v="Avery Hanging File Binders"/>
    <x v="8"/>
    <n v="110.33"/>
    <n v="5"/>
    <s v="Cash"/>
    <n v="943.32"/>
  </r>
  <r>
    <s v="ORD1678"/>
    <d v="2025-02-27T00:00:00"/>
    <s v="Douglas Vasquez"/>
    <s v="North"/>
    <s v="Furniture"/>
    <s v="Hon 4700 Series Mobuis™ Mid-Back Task Chairs with Adjustable Arms"/>
    <x v="6"/>
    <n v="1942.95"/>
    <n v="15"/>
    <s v="UPI"/>
    <n v="3303.02"/>
  </r>
  <r>
    <s v="ORD1679"/>
    <d v="2025-04-13T00:00:00"/>
    <s v="Annette Melton"/>
    <s v="South"/>
    <s v="Office Supplies"/>
    <s v="Eldon® Gobal File Keepers"/>
    <x v="7"/>
    <n v="1558.4"/>
    <n v="15"/>
    <s v="Credit Card"/>
    <n v="1324.64"/>
  </r>
  <r>
    <s v="ORD1680"/>
    <d v="2024-04-11T00:00:00"/>
    <s v="William Ramos"/>
    <s v="South"/>
    <s v="Office Supplies"/>
    <s v="Ibico Laser Imprintable Binding System Covers"/>
    <x v="8"/>
    <n v="1961.21"/>
    <n v="15"/>
    <s v="Credit Card"/>
    <n v="15003.26"/>
  </r>
  <r>
    <s v="ORD1681"/>
    <d v="2024-07-15T00:00:00"/>
    <s v="Debra Butler"/>
    <s v="South"/>
    <s v="Office Supplies"/>
    <s v="Dixon Ticonderoga Core-Lock Colored Pencils, 48-Color Set"/>
    <x v="8"/>
    <n v="981.86"/>
    <n v="5"/>
    <s v="Net Banking"/>
    <n v="8394.9"/>
  </r>
  <r>
    <s v="ORD1682"/>
    <d v="2024-11-24T00:00:00"/>
    <s v="Chelsea Lewis"/>
    <s v="North"/>
    <s v="Technology"/>
    <s v="Zoom V.92 USB External Faxmodem"/>
    <x v="8"/>
    <n v="1087.9000000000001"/>
    <n v="5"/>
    <s v="Net Banking"/>
    <n v="9301.5400000000009"/>
  </r>
  <r>
    <s v="ORD1683"/>
    <d v="2024-09-12T00:00:00"/>
    <s v="Natalie Malone"/>
    <s v="South"/>
    <s v="Office Supplies"/>
    <s v="Avery 497"/>
    <x v="5"/>
    <n v="378.26"/>
    <n v="20"/>
    <s v="UPI"/>
    <n v="1815.65"/>
  </r>
  <r>
    <s v="ORD1684"/>
    <d v="2023-11-09T00:00:00"/>
    <s v="Samantha Robertson"/>
    <s v="North"/>
    <s v="Office Supplies"/>
    <s v="Pressboard Covers with Storage Hooks, 9 1/2&quot; x 11&quot;, Light Blue"/>
    <x v="2"/>
    <n v="531.47"/>
    <n v="20"/>
    <s v="Credit Card"/>
    <n v="3401.41"/>
  </r>
  <r>
    <s v="ORD1685"/>
    <d v="2024-06-06T00:00:00"/>
    <s v="Eric Hunter"/>
    <s v="West"/>
    <s v="Technology"/>
    <s v="Canon imageCLASS 2200 Advanced Copier"/>
    <x v="7"/>
    <n v="1685.17"/>
    <n v="0"/>
    <s v="Cash"/>
    <n v="1685.17"/>
  </r>
  <r>
    <s v="ORD1686"/>
    <d v="2025-07-10T00:00:00"/>
    <s v="Samuel Suarez"/>
    <s v="West"/>
    <s v="Technology"/>
    <s v="Verbatim DVD-RAM, 5.2GB, Rewritable, Type 1, DS"/>
    <x v="1"/>
    <n v="744.56"/>
    <n v="5"/>
    <s v="Net Banking"/>
    <n v="2829.33"/>
  </r>
  <r>
    <s v="ORD1687"/>
    <d v="2024-11-01T00:00:00"/>
    <s v="Corey Whitaker"/>
    <s v="West"/>
    <s v="Office Supplies"/>
    <s v="Southworth 25% Cotton Antique Laid Paper &amp; Envelopes"/>
    <x v="7"/>
    <n v="1662.29"/>
    <n v="5"/>
    <s v="Net Banking"/>
    <n v="1579.18"/>
  </r>
  <r>
    <s v="ORD1688"/>
    <d v="2024-01-06T00:00:00"/>
    <s v="Danielle Bryant"/>
    <s v="East"/>
    <s v="Office Supplies"/>
    <s v="Newell 312"/>
    <x v="2"/>
    <n v="1432.58"/>
    <n v="5"/>
    <s v="Credit Card"/>
    <n v="10887.61"/>
  </r>
  <r>
    <s v="ORD1689"/>
    <d v="2024-02-25T00:00:00"/>
    <s v="Michele Hill"/>
    <s v="North"/>
    <s v="Furniture"/>
    <s v="Office Star - Contemporary Task Swivel chair with 2-way adjustable arms, Plum"/>
    <x v="7"/>
    <n v="395.48"/>
    <n v="20"/>
    <s v="Cash"/>
    <n v="316.38"/>
  </r>
  <r>
    <s v="ORD1690"/>
    <d v="2023-09-15T00:00:00"/>
    <s v="Kathy Reid"/>
    <s v="South"/>
    <s v="Office Supplies"/>
    <s v="Acme® Elite Stainless Steel Scissors"/>
    <x v="4"/>
    <n v="1039.52"/>
    <n v="15"/>
    <s v="UPI"/>
    <n v="2650.78"/>
  </r>
  <r>
    <s v="ORD1691"/>
    <d v="2025-02-12T00:00:00"/>
    <s v="Andre Watson"/>
    <s v="East"/>
    <s v="Furniture"/>
    <s v="Office Star - Contemporary Task Swivel chair with 2-way adjustable arms, Plum"/>
    <x v="1"/>
    <n v="1370.91"/>
    <n v="10"/>
    <s v="Cash"/>
    <n v="4935.28"/>
  </r>
  <r>
    <s v="ORD1692"/>
    <d v="2024-07-15T00:00:00"/>
    <s v="Cassandra Harrell"/>
    <s v="East"/>
    <s v="Office Supplies"/>
    <s v="Wilson Jones Hanging View Binder, White, 1&quot;"/>
    <x v="2"/>
    <n v="508.32"/>
    <n v="20"/>
    <s v="Credit Card"/>
    <n v="3253.25"/>
  </r>
  <r>
    <s v="ORD1693"/>
    <d v="2023-08-13T00:00:00"/>
    <s v="Hannah Martin"/>
    <s v="West"/>
    <s v="Technology"/>
    <s v="Imation 3.5&quot;, DISKETTE 44766 HGHLD3.52HD/FM, 10/Pack"/>
    <x v="5"/>
    <n v="1669.84"/>
    <n v="5"/>
    <s v="Cash"/>
    <n v="9518.09"/>
  </r>
  <r>
    <s v="ORD1694"/>
    <d v="2024-09-18T00:00:00"/>
    <s v="Nicole Barker"/>
    <s v="North"/>
    <s v="Office Supplies"/>
    <s v="Staples Standard Envelopes"/>
    <x v="0"/>
    <n v="1112.4100000000001"/>
    <n v="20"/>
    <s v="Cash"/>
    <n v="6229.5"/>
  </r>
  <r>
    <s v="ORD1695"/>
    <d v="2025-07-30T00:00:00"/>
    <s v="James Martin"/>
    <s v="South"/>
    <s v="Technology"/>
    <s v="Imation 3.5&quot;, DISKETTE 44766 HGHLD3.52HD/FM, 10/Pack"/>
    <x v="2"/>
    <n v="372.22"/>
    <n v="0"/>
    <s v="Credit Card"/>
    <n v="2977.76"/>
  </r>
  <r>
    <s v="ORD1696"/>
    <d v="2025-04-29T00:00:00"/>
    <s v="Traci Vincent"/>
    <s v="East"/>
    <s v="Office Supplies"/>
    <s v="GBC VeloBinder Electric Binding Machine"/>
    <x v="6"/>
    <n v="1186.82"/>
    <n v="5"/>
    <s v="UPI"/>
    <n v="2254.96"/>
  </r>
  <r>
    <s v="ORD1697"/>
    <d v="2024-10-03T00:00:00"/>
    <s v="Megan Adams"/>
    <s v="South"/>
    <s v="Technology"/>
    <s v="Adesso Programmable 142-Key Keyboard"/>
    <x v="2"/>
    <n v="1999.44"/>
    <n v="0"/>
    <s v="Cash"/>
    <n v="15995.52"/>
  </r>
  <r>
    <s v="ORD1698"/>
    <d v="2025-01-26T00:00:00"/>
    <s v="Alejandro Deleon"/>
    <s v="West"/>
    <s v="Technology"/>
    <s v="US Robotics 56K V.92 External Faxmodem"/>
    <x v="4"/>
    <n v="343.52"/>
    <n v="5"/>
    <s v="Credit Card"/>
    <n v="979.03"/>
  </r>
  <r>
    <s v="ORD1699"/>
    <d v="2025-02-20T00:00:00"/>
    <s v="Alexa Buck"/>
    <s v="North"/>
    <s v="Technology"/>
    <s v="i470"/>
    <x v="0"/>
    <n v="1642.68"/>
    <n v="20"/>
    <s v="Cash"/>
    <n v="9199.01"/>
  </r>
  <r>
    <s v="ORD1700"/>
    <d v="2025-08-11T00:00:00"/>
    <s v="Lindsay Smith"/>
    <s v="South"/>
    <s v="Furniture"/>
    <s v="SAFCO Folding Chair Trolley"/>
    <x v="4"/>
    <n v="454.25"/>
    <n v="15"/>
    <s v="Credit Card"/>
    <n v="1158.3399999999999"/>
  </r>
  <r>
    <s v="ORD1701"/>
    <d v="2025-03-10T00:00:00"/>
    <s v="Robert Torres"/>
    <s v="South"/>
    <s v="Furniture"/>
    <s v="Eldon® Expressions™ Wood Desk Accessories, Oak"/>
    <x v="0"/>
    <n v="1575.66"/>
    <n v="10"/>
    <s v="UPI"/>
    <n v="9926.66"/>
  </r>
  <r>
    <s v="ORD1702"/>
    <d v="2025-03-06T00:00:00"/>
    <s v="Maria Coleman"/>
    <s v="East"/>
    <s v="Technology"/>
    <s v="Polycom VoiceStation 100"/>
    <x v="6"/>
    <n v="1482.43"/>
    <n v="0"/>
    <s v="Net Banking"/>
    <n v="2964.86"/>
  </r>
  <r>
    <s v="ORD1703"/>
    <d v="2025-01-13T00:00:00"/>
    <s v="Gregory King"/>
    <s v="South"/>
    <s v="Technology"/>
    <s v="Phone 918"/>
    <x v="5"/>
    <n v="635.95000000000005"/>
    <n v="20"/>
    <s v="UPI"/>
    <n v="3052.56"/>
  </r>
  <r>
    <s v="ORD1704"/>
    <d v="2024-01-12T00:00:00"/>
    <s v="Michael Holloway"/>
    <s v="North"/>
    <s v="Furniture"/>
    <s v="Office Star - Mid Back Dual function Ergonomic High Back Chair with 2-Way Adjustable Arms"/>
    <x v="4"/>
    <n v="685.36"/>
    <n v="15"/>
    <s v="Net Banking"/>
    <n v="1747.67"/>
  </r>
  <r>
    <s v="ORD1705"/>
    <d v="2024-05-20T00:00:00"/>
    <s v="Brian Hunt"/>
    <s v="North"/>
    <s v="Office Supplies"/>
    <s v="Fellowes PB300 Plastic Comb Binding Machine"/>
    <x v="4"/>
    <n v="1595.42"/>
    <n v="20"/>
    <s v="Net Banking"/>
    <n v="3829.01"/>
  </r>
  <r>
    <s v="ORD1706"/>
    <d v="2024-07-11T00:00:00"/>
    <s v="Sarah Brooks"/>
    <s v="South"/>
    <s v="Technology"/>
    <s v="Hewlett-Packard Deskjet 6122 Color Inkjet Printer"/>
    <x v="8"/>
    <n v="949.82"/>
    <n v="0"/>
    <s v="Cash"/>
    <n v="8548.3799999999992"/>
  </r>
  <r>
    <s v="ORD1707"/>
    <d v="2023-10-05T00:00:00"/>
    <s v="Lisa Evans"/>
    <s v="East"/>
    <s v="Office Supplies"/>
    <s v="Avery Flip-Chart Easel Binder, Black"/>
    <x v="0"/>
    <n v="1475.1"/>
    <n v="10"/>
    <s v="Credit Card"/>
    <n v="9293.1299999999992"/>
  </r>
  <r>
    <s v="ORD1708"/>
    <d v="2025-01-08T00:00:00"/>
    <s v="Arthur Mcneil"/>
    <s v="East"/>
    <s v="Furniture"/>
    <s v="G.E. Halogen Desk Lamp Bulbs"/>
    <x v="3"/>
    <n v="338.57"/>
    <n v="20"/>
    <s v="Credit Card"/>
    <n v="1354.28"/>
  </r>
  <r>
    <s v="ORD1709"/>
    <d v="2025-07-27T00:00:00"/>
    <s v="Shannon Green"/>
    <s v="West"/>
    <s v="Technology"/>
    <s v="Hayes Optima 56K V.90 Internal Voice Modem"/>
    <x v="0"/>
    <n v="1712.49"/>
    <n v="5"/>
    <s v="Credit Card"/>
    <n v="11388.06"/>
  </r>
  <r>
    <s v="ORD1710"/>
    <d v="2024-04-24T00:00:00"/>
    <s v="Stephanie Evans"/>
    <s v="North"/>
    <s v="Office Supplies"/>
    <s v="Avery Flip-Chart Easel Binder, Black"/>
    <x v="8"/>
    <n v="1436.23"/>
    <n v="15"/>
    <s v="UPI"/>
    <n v="10987.16"/>
  </r>
  <r>
    <s v="ORD1711"/>
    <d v="2024-12-08T00:00:00"/>
    <s v="Ralph Yoder"/>
    <s v="West"/>
    <s v="Furniture"/>
    <s v="G.E. Halogen Desk Lamp Bulbs"/>
    <x v="7"/>
    <n v="1818.54"/>
    <n v="20"/>
    <s v="UPI"/>
    <n v="1454.83"/>
  </r>
  <r>
    <s v="ORD1712"/>
    <d v="2024-04-11T00:00:00"/>
    <s v="Rebekah Greene"/>
    <s v="East"/>
    <s v="Office Supplies"/>
    <s v="Avery Binder Labels"/>
    <x v="0"/>
    <n v="308.13"/>
    <n v="15"/>
    <s v="UPI"/>
    <n v="1833.37"/>
  </r>
  <r>
    <s v="ORD1713"/>
    <d v="2025-01-08T00:00:00"/>
    <s v="Melanie Griffith"/>
    <s v="West"/>
    <s v="Furniture"/>
    <s v="Hon Every-Day® Chair Series Swivel Task Chairs"/>
    <x v="5"/>
    <n v="1206.3800000000001"/>
    <n v="5"/>
    <s v="UPI"/>
    <n v="6876.37"/>
  </r>
  <r>
    <s v="ORD1714"/>
    <d v="2025-05-31T00:00:00"/>
    <s v="Yolanda Green"/>
    <s v="East"/>
    <s v="Office Supplies"/>
    <s v="IBM Multi-Purpose Copy Paper, 8 1/2 x 11&quot;, Case"/>
    <x v="8"/>
    <n v="1218.29"/>
    <n v="10"/>
    <s v="Cash"/>
    <n v="9868.15"/>
  </r>
  <r>
    <s v="ORD1715"/>
    <d v="2023-11-16T00:00:00"/>
    <s v="James Johnson"/>
    <s v="West"/>
    <s v="Office Supplies"/>
    <s v="Bionaire Personal Warm Mist Humidifier/Vaporizer"/>
    <x v="7"/>
    <n v="739.25"/>
    <n v="10"/>
    <s v="Cash"/>
    <n v="665.32"/>
  </r>
  <r>
    <s v="ORD1716"/>
    <d v="2025-02-21T00:00:00"/>
    <s v="Laura Lee"/>
    <s v="West"/>
    <s v="Furniture"/>
    <s v="Sauder Forest Hills Library, Woodland Oak Finish"/>
    <x v="1"/>
    <n v="944.01"/>
    <n v="5"/>
    <s v="Net Banking"/>
    <n v="3587.24"/>
  </r>
  <r>
    <s v="ORD1717"/>
    <d v="2025-07-11T00:00:00"/>
    <s v="Courtney Nichols"/>
    <s v="North"/>
    <s v="Furniture"/>
    <s v="Bush Advantage Collection® Round Conference Table"/>
    <x v="8"/>
    <n v="124.06"/>
    <n v="15"/>
    <s v="Net Banking"/>
    <n v="949.06"/>
  </r>
  <r>
    <s v="ORD1718"/>
    <d v="2024-04-01T00:00:00"/>
    <s v="Susan Powers"/>
    <s v="North"/>
    <s v="Office Supplies"/>
    <s v="Economy Binders"/>
    <x v="1"/>
    <n v="1504.43"/>
    <n v="20"/>
    <s v="Credit Card"/>
    <n v="4814.18"/>
  </r>
  <r>
    <s v="ORD1719"/>
    <d v="2024-09-08T00:00:00"/>
    <s v="Sarah Pittman"/>
    <s v="West"/>
    <s v="Office Supplies"/>
    <s v="Carina Double Wide Media Storage Towers in Natural &amp; Black"/>
    <x v="4"/>
    <n v="1121.18"/>
    <n v="5"/>
    <s v="UPI"/>
    <n v="3195.36"/>
  </r>
  <r>
    <s v="ORD1720"/>
    <d v="2024-04-08T00:00:00"/>
    <s v="Catherine Davis"/>
    <s v="East"/>
    <s v="Office Supplies"/>
    <s v="Advantus Map Pennant Flags and Round Head Tacks"/>
    <x v="8"/>
    <n v="162.6"/>
    <n v="0"/>
    <s v="Cash"/>
    <n v="1463.4"/>
  </r>
  <r>
    <s v="ORD1721"/>
    <d v="2025-01-10T00:00:00"/>
    <s v="David Stokes"/>
    <s v="East"/>
    <s v="Technology"/>
    <s v="Hewlett-Packard Deskjet 5550 Color Inkjet Printer"/>
    <x v="6"/>
    <n v="1377.47"/>
    <n v="15"/>
    <s v="Net Banking"/>
    <n v="2341.6999999999998"/>
  </r>
  <r>
    <s v="ORD1722"/>
    <d v="2024-06-24T00:00:00"/>
    <s v="Catherine Frazier"/>
    <s v="North"/>
    <s v="Office Supplies"/>
    <s v="Letter Slitter"/>
    <x v="1"/>
    <n v="960.23"/>
    <n v="10"/>
    <s v="Credit Card"/>
    <n v="3456.83"/>
  </r>
  <r>
    <s v="ORD1723"/>
    <d v="2024-04-21T00:00:00"/>
    <s v="Brandon Kelly"/>
    <s v="North"/>
    <s v="Office Supplies"/>
    <s v="Colored Envelopes"/>
    <x v="5"/>
    <n v="117.2"/>
    <n v="5"/>
    <s v="Credit Card"/>
    <n v="668.04"/>
  </r>
  <r>
    <s v="ORD1724"/>
    <d v="2024-06-19T00:00:00"/>
    <s v="Elizabeth French"/>
    <s v="South"/>
    <s v="Technology"/>
    <s v="Keytronic French Keyboard"/>
    <x v="6"/>
    <n v="1940.74"/>
    <n v="10"/>
    <s v="UPI"/>
    <n v="3493.33"/>
  </r>
  <r>
    <s v="ORD1725"/>
    <d v="2025-02-03T00:00:00"/>
    <s v="David Carter"/>
    <s v="North"/>
    <s v="Office Supplies"/>
    <s v="Xerox 1928"/>
    <x v="2"/>
    <n v="1900.77"/>
    <n v="15"/>
    <s v="UPI"/>
    <n v="12925.24"/>
  </r>
  <r>
    <s v="ORD1726"/>
    <d v="2024-03-28T00:00:00"/>
    <s v="Julie Delacruz"/>
    <s v="East"/>
    <s v="Technology"/>
    <s v="Sharp EL500L Fraction Calculator"/>
    <x v="2"/>
    <n v="1050.1600000000001"/>
    <n v="10"/>
    <s v="Credit Card"/>
    <n v="7561.15"/>
  </r>
  <r>
    <s v="ORD1727"/>
    <d v="2024-10-15T00:00:00"/>
    <s v="Terry Jones"/>
    <s v="North"/>
    <s v="Furniture"/>
    <s v="SAFCO Folding Chair Trolley"/>
    <x v="7"/>
    <n v="232.66"/>
    <n v="5"/>
    <s v="UPI"/>
    <n v="221.03"/>
  </r>
  <r>
    <s v="ORD1728"/>
    <d v="2023-11-18T00:00:00"/>
    <s v="Kathryn Dillon"/>
    <s v="South"/>
    <s v="Technology"/>
    <s v="Imation 3.5&quot; DS/HD IBM Formatted Diskettes, 10/Pack"/>
    <x v="4"/>
    <n v="1521.51"/>
    <n v="15"/>
    <s v="UPI"/>
    <n v="3879.85"/>
  </r>
  <r>
    <s v="ORD1729"/>
    <d v="2024-01-08T00:00:00"/>
    <s v="Edwin Brown"/>
    <s v="West"/>
    <s v="Technology"/>
    <s v="StarTAC 3000"/>
    <x v="8"/>
    <n v="1009.27"/>
    <n v="0"/>
    <s v="Net Banking"/>
    <n v="9083.43"/>
  </r>
  <r>
    <s v="ORD1730"/>
    <d v="2024-07-03T00:00:00"/>
    <s v="Brenda Gonzalez"/>
    <s v="West"/>
    <s v="Furniture"/>
    <s v="Hand-Finished Solid Wood Document Frame"/>
    <x v="3"/>
    <n v="639.77"/>
    <n v="5"/>
    <s v="Net Banking"/>
    <n v="3038.91"/>
  </r>
  <r>
    <s v="ORD1731"/>
    <d v="2025-01-09T00:00:00"/>
    <s v="Keith Knox"/>
    <s v="East"/>
    <s v="Office Supplies"/>
    <s v="Wilson Jones Ledger-Size, Piano-Hinge Binder, 2&quot;, Blue"/>
    <x v="5"/>
    <n v="1008.27"/>
    <n v="20"/>
    <s v="Net Banking"/>
    <n v="4839.7"/>
  </r>
  <r>
    <s v="ORD1732"/>
    <d v="2025-08-11T00:00:00"/>
    <s v="Eugene Baldwin"/>
    <s v="South"/>
    <s v="Technology"/>
    <s v="Okidata ML390 Turbo Dot Matrix Printers"/>
    <x v="1"/>
    <n v="1068.77"/>
    <n v="5"/>
    <s v="Cash"/>
    <n v="4061.33"/>
  </r>
  <r>
    <s v="ORD1733"/>
    <d v="2024-06-01T00:00:00"/>
    <s v="Katherine Welch"/>
    <s v="West"/>
    <s v="Office Supplies"/>
    <s v="Wilson Jones Ledger-Size, Piano-Hinge Binder, 2&quot;, Blue"/>
    <x v="6"/>
    <n v="1147.29"/>
    <n v="15"/>
    <s v="UPI"/>
    <n v="1950.39"/>
  </r>
  <r>
    <s v="ORD1734"/>
    <d v="2025-01-19T00:00:00"/>
    <s v="Mark Smith"/>
    <s v="West"/>
    <s v="Furniture"/>
    <s v="Safco Contoured Stacking Chairs"/>
    <x v="2"/>
    <n v="910.39"/>
    <n v="5"/>
    <s v="Net Banking"/>
    <n v="6918.96"/>
  </r>
  <r>
    <s v="ORD1735"/>
    <d v="2025-03-15T00:00:00"/>
    <s v="Philip Jackson"/>
    <s v="North"/>
    <s v="Technology"/>
    <s v="Canon PC-428 Personal Copier"/>
    <x v="5"/>
    <n v="1231.22"/>
    <n v="0"/>
    <s v="Net Banking"/>
    <n v="7387.32"/>
  </r>
  <r>
    <s v="ORD1736"/>
    <d v="2025-07-13T00:00:00"/>
    <s v="Katherine Gallagher"/>
    <s v="West"/>
    <s v="Furniture"/>
    <s v="Safco Contoured Stacking Chairs"/>
    <x v="3"/>
    <n v="1841.53"/>
    <n v="0"/>
    <s v="Credit Card"/>
    <n v="9207.65"/>
  </r>
  <r>
    <s v="ORD1737"/>
    <d v="2023-12-25T00:00:00"/>
    <s v="Lucas Schultz"/>
    <s v="East"/>
    <s v="Technology"/>
    <s v="Canon PC-428 Personal Copier"/>
    <x v="8"/>
    <n v="756.42"/>
    <n v="20"/>
    <s v="Net Banking"/>
    <n v="5446.22"/>
  </r>
  <r>
    <s v="ORD1738"/>
    <d v="2024-12-02T00:00:00"/>
    <s v="Vincent Reyes"/>
    <s v="West"/>
    <s v="Technology"/>
    <s v="Canon MP41DH Printing Calculator"/>
    <x v="7"/>
    <n v="1465.15"/>
    <n v="10"/>
    <s v="Credit Card"/>
    <n v="1318.64"/>
  </r>
  <r>
    <s v="ORD1739"/>
    <d v="2024-10-27T00:00:00"/>
    <s v="Curtis Watson"/>
    <s v="East"/>
    <s v="Office Supplies"/>
    <s v="Fellowes High-Stak® Drawer Files"/>
    <x v="3"/>
    <n v="1794.18"/>
    <n v="15"/>
    <s v="UPI"/>
    <n v="7625.26"/>
  </r>
  <r>
    <s v="ORD1740"/>
    <d v="2024-04-01T00:00:00"/>
    <s v="Frank Whitaker"/>
    <s v="East"/>
    <s v="Technology"/>
    <s v="80 Minute CD-R Spindle, 100/Pack - Staples"/>
    <x v="5"/>
    <n v="939.16"/>
    <n v="15"/>
    <s v="Credit Card"/>
    <n v="4789.72"/>
  </r>
  <r>
    <s v="ORD1741"/>
    <d v="2024-06-22T00:00:00"/>
    <s v="Michael Sims"/>
    <s v="North"/>
    <s v="Technology"/>
    <s v="3390"/>
    <x v="3"/>
    <n v="914.74"/>
    <n v="10"/>
    <s v="Net Banking"/>
    <n v="4116.33"/>
  </r>
  <r>
    <s v="ORD1742"/>
    <d v="2024-10-10T00:00:00"/>
    <s v="Michael Cooper"/>
    <s v="South"/>
    <s v="Office Supplies"/>
    <s v="Avery 507"/>
    <x v="5"/>
    <n v="1224.1300000000001"/>
    <n v="0"/>
    <s v="Cash"/>
    <n v="7344.78"/>
  </r>
  <r>
    <s v="ORD1743"/>
    <d v="2025-05-20T00:00:00"/>
    <s v="James Chapman"/>
    <s v="East"/>
    <s v="Furniture"/>
    <s v="Deflect-o Glass Clear Studded Chair Mats"/>
    <x v="5"/>
    <n v="1203.24"/>
    <n v="0"/>
    <s v="Cash"/>
    <n v="7219.44"/>
  </r>
  <r>
    <s v="ORD1744"/>
    <d v="2023-08-12T00:00:00"/>
    <s v="Rodney Evans"/>
    <s v="West"/>
    <s v="Technology"/>
    <s v="80 Minute Slim Jewel Case CD-R , 10/Pack - Staples"/>
    <x v="0"/>
    <n v="1622.85"/>
    <n v="5"/>
    <s v="UPI"/>
    <n v="10791.95"/>
  </r>
  <r>
    <s v="ORD1745"/>
    <d v="2024-04-04T00:00:00"/>
    <s v="Nicholas Carlson"/>
    <s v="West"/>
    <s v="Office Supplies"/>
    <s v="Wilson Jones 14 Line Acrylic Coated Pressboard Data Binders"/>
    <x v="1"/>
    <n v="979.14"/>
    <n v="20"/>
    <s v="Net Banking"/>
    <n v="3133.25"/>
  </r>
  <r>
    <s v="ORD1746"/>
    <d v="2024-03-21T00:00:00"/>
    <s v="Stephen Cowan"/>
    <s v="East"/>
    <s v="Technology"/>
    <s v="Accessory6"/>
    <x v="2"/>
    <n v="1992.44"/>
    <n v="20"/>
    <s v="UPI"/>
    <n v="12751.62"/>
  </r>
  <r>
    <s v="ORD1747"/>
    <d v="2024-01-22T00:00:00"/>
    <s v="Steven Howard"/>
    <s v="West"/>
    <s v="Office Supplies"/>
    <s v="Carina Double Wide Media Storage Towers in Natural &amp; Black"/>
    <x v="0"/>
    <n v="165.97"/>
    <n v="20"/>
    <s v="Credit Card"/>
    <n v="929.43"/>
  </r>
  <r>
    <s v="ORD1748"/>
    <d v="2024-07-10T00:00:00"/>
    <s v="Travis Hull"/>
    <s v="North"/>
    <s v="Office Supplies"/>
    <s v="Tennsco Snap-Together Open Shelving Units, Starter Sets and Add-On Units"/>
    <x v="8"/>
    <n v="56.18"/>
    <n v="5"/>
    <s v="UPI"/>
    <n v="480.34"/>
  </r>
  <r>
    <s v="ORD1749"/>
    <d v="2025-04-13T00:00:00"/>
    <s v="Darryl Acosta"/>
    <s v="West"/>
    <s v="Office Supplies"/>
    <s v="Acco Pressboard Covers with Storage Hooks, 14 7/8&quot; x 11&quot;, Light Blue"/>
    <x v="0"/>
    <n v="1298.3900000000001"/>
    <n v="20"/>
    <s v="Cash"/>
    <n v="7270.98"/>
  </r>
  <r>
    <s v="ORD1750"/>
    <d v="2024-11-04T00:00:00"/>
    <s v="Nicholas Lawrence"/>
    <s v="North"/>
    <s v="Office Supplies"/>
    <s v="Wilson Jones 14 Line Acrylic Coated Pressboard Data Binders"/>
    <x v="4"/>
    <n v="631.95000000000005"/>
    <n v="10"/>
    <s v="UPI"/>
    <n v="1706.26"/>
  </r>
  <r>
    <s v="ORD1751"/>
    <d v="2024-11-25T00:00:00"/>
    <s v="Jacob Santos"/>
    <s v="East"/>
    <s v="Technology"/>
    <s v="Accessory6"/>
    <x v="4"/>
    <n v="518.75"/>
    <n v="5"/>
    <s v="Credit Card"/>
    <n v="1478.44"/>
  </r>
  <r>
    <s v="ORD1752"/>
    <d v="2025-01-01T00:00:00"/>
    <s v="Shawn Scott"/>
    <s v="East"/>
    <s v="Office Supplies"/>
    <s v="Carina Double Wide Media Storage Towers in Natural &amp; Black"/>
    <x v="2"/>
    <n v="658.2"/>
    <n v="10"/>
    <s v="Net Banking"/>
    <n v="4739.04"/>
  </r>
  <r>
    <s v="ORD1753"/>
    <d v="2024-04-18T00:00:00"/>
    <s v="Amber Vang"/>
    <s v="East"/>
    <s v="Office Supplies"/>
    <s v="Tennsco Snap-Together Open Shelving Units, Starter Sets and Add-On Units"/>
    <x v="3"/>
    <n v="549.29"/>
    <n v="5"/>
    <s v="UPI"/>
    <n v="2609.13"/>
  </r>
  <r>
    <s v="ORD1754"/>
    <d v="2024-08-07T00:00:00"/>
    <s v="Martha Smith"/>
    <s v="North"/>
    <s v="Technology"/>
    <s v="Accessory24"/>
    <x v="1"/>
    <n v="110.04"/>
    <n v="20"/>
    <s v="Credit Card"/>
    <n v="352.13"/>
  </r>
  <r>
    <s v="ORD1755"/>
    <d v="2024-07-20T00:00:00"/>
    <s v="Jennifer James"/>
    <s v="West"/>
    <s v="Office Supplies"/>
    <s v="Avery Flip-Chart Easel Binder, Black"/>
    <x v="2"/>
    <n v="1944.49"/>
    <n v="10"/>
    <s v="Cash"/>
    <n v="14000.33"/>
  </r>
  <r>
    <s v="ORD1756"/>
    <d v="2024-07-20T00:00:00"/>
    <s v="Kara Hernandez"/>
    <s v="North"/>
    <s v="Office Supplies"/>
    <s v="Perma STOR-ALL™ Hanging File Box, 13 1/8&quot;W x 12 1/4&quot;D x 10 1/2&quot;H"/>
    <x v="5"/>
    <n v="480.45"/>
    <n v="10"/>
    <s v="Net Banking"/>
    <n v="2594.4299999999998"/>
  </r>
  <r>
    <s v="ORD1757"/>
    <d v="2025-01-17T00:00:00"/>
    <s v="Lorraine Turner"/>
    <s v="West"/>
    <s v="Technology"/>
    <s v="Accessory24"/>
    <x v="6"/>
    <n v="1481.36"/>
    <n v="10"/>
    <s v="UPI"/>
    <n v="2666.45"/>
  </r>
  <r>
    <s v="ORD1758"/>
    <d v="2024-01-24T00:00:00"/>
    <s v="Mary Nelson"/>
    <s v="West"/>
    <s v="Office Supplies"/>
    <s v="Fluorescent Highlighters by Dixon"/>
    <x v="1"/>
    <n v="1537.06"/>
    <n v="5"/>
    <s v="UPI"/>
    <n v="5840.83"/>
  </r>
  <r>
    <s v="ORD1759"/>
    <d v="2024-09-12T00:00:00"/>
    <s v="Breanna Rivas"/>
    <s v="North"/>
    <s v="Office Supplies"/>
    <s v="Perma STOR-ALL™ Hanging File Box, 13 1/8&quot;W x 12 1/4&quot;D x 10 1/2&quot;H"/>
    <x v="1"/>
    <n v="1862.05"/>
    <n v="15"/>
    <s v="Cash"/>
    <n v="6330.97"/>
  </r>
  <r>
    <s v="ORD1760"/>
    <d v="2024-08-13T00:00:00"/>
    <s v="Nathan Wilson"/>
    <s v="South"/>
    <s v="Technology"/>
    <s v="IBM 80 Minute CD-R Spindle, 50/Pack"/>
    <x v="5"/>
    <n v="109.57"/>
    <n v="20"/>
    <s v="UPI"/>
    <n v="525.94000000000005"/>
  </r>
  <r>
    <s v="ORD1761"/>
    <d v="2025-04-19T00:00:00"/>
    <s v="Brian Gonzalez"/>
    <s v="East"/>
    <s v="Office Supplies"/>
    <s v="Fluorescent Highlighters by Dixon"/>
    <x v="5"/>
    <n v="1750.49"/>
    <n v="10"/>
    <s v="Cash"/>
    <n v="9452.65"/>
  </r>
  <r>
    <s v="ORD1762"/>
    <d v="2025-07-11T00:00:00"/>
    <s v="Dennis Mills"/>
    <s v="West"/>
    <s v="Office Supplies"/>
    <s v="Staples Metal Binder Clips"/>
    <x v="7"/>
    <n v="1078.0899999999999"/>
    <n v="15"/>
    <s v="Cash"/>
    <n v="916.38"/>
  </r>
  <r>
    <s v="ORD1763"/>
    <d v="2025-04-21T00:00:00"/>
    <s v="Michael Phillips"/>
    <s v="West"/>
    <s v="Furniture"/>
    <s v="Advantus Panel Wall Certificate Holder - 8.5x11"/>
    <x v="2"/>
    <n v="1283.46"/>
    <n v="20"/>
    <s v="Net Banking"/>
    <n v="8214.14"/>
  </r>
  <r>
    <s v="ORD1764"/>
    <d v="2025-03-05T00:00:00"/>
    <s v="Jon Clark"/>
    <s v="North"/>
    <s v="Technology"/>
    <s v="LX 677"/>
    <x v="5"/>
    <n v="1306.72"/>
    <n v="20"/>
    <s v="Cash"/>
    <n v="6272.26"/>
  </r>
  <r>
    <s v="ORD1765"/>
    <d v="2023-12-21T00:00:00"/>
    <s v="Erin Smith"/>
    <s v="South"/>
    <s v="Furniture"/>
    <s v="Executive Impressions 12&quot; Wall Clock"/>
    <x v="4"/>
    <n v="1648.61"/>
    <n v="10"/>
    <s v="Cash"/>
    <n v="4451.25"/>
  </r>
  <r>
    <s v="ORD1766"/>
    <d v="2025-01-04T00:00:00"/>
    <s v="Susan Conley"/>
    <s v="East"/>
    <s v="Office Supplies"/>
    <s v="Avery 491"/>
    <x v="8"/>
    <n v="700.14"/>
    <n v="10"/>
    <s v="Cash"/>
    <n v="5671.13"/>
  </r>
  <r>
    <s v="ORD1767"/>
    <d v="2023-10-16T00:00:00"/>
    <s v="Brittany Davis"/>
    <s v="South"/>
    <s v="Office Supplies"/>
    <s v="Avery White Multi-Purpose Labels"/>
    <x v="6"/>
    <n v="1479.45"/>
    <n v="5"/>
    <s v="UPI"/>
    <n v="2810.96"/>
  </r>
  <r>
    <s v="ORD1768"/>
    <d v="2024-03-19T00:00:00"/>
    <s v="Misty Garcia"/>
    <s v="East"/>
    <s v="Technology"/>
    <s v="Timeport L7089"/>
    <x v="2"/>
    <n v="1080.73"/>
    <n v="15"/>
    <s v="Cash"/>
    <n v="7348.96"/>
  </r>
  <r>
    <s v="ORD1769"/>
    <d v="2024-09-15T00:00:00"/>
    <s v="David Hinton"/>
    <s v="West"/>
    <s v="Technology"/>
    <s v="Epson C62 Color Inkjet Printer"/>
    <x v="4"/>
    <n v="1597.12"/>
    <n v="15"/>
    <s v="Cash"/>
    <n v="4072.66"/>
  </r>
  <r>
    <s v="ORD1770"/>
    <d v="2025-01-08T00:00:00"/>
    <s v="John Garcia"/>
    <s v="West"/>
    <s v="Furniture"/>
    <s v="Nu-Dell Leatherette Frames"/>
    <x v="3"/>
    <n v="1981.56"/>
    <n v="10"/>
    <s v="Cash"/>
    <n v="8917.02"/>
  </r>
  <r>
    <s v="ORD1771"/>
    <d v="2024-12-15T00:00:00"/>
    <s v="Andrew Roberts"/>
    <s v="North"/>
    <s v="Office Supplies"/>
    <s v="Avery 498"/>
    <x v="5"/>
    <n v="441.27"/>
    <n v="20"/>
    <s v="Cash"/>
    <n v="2118.1"/>
  </r>
  <r>
    <s v="ORD1772"/>
    <d v="2024-12-04T00:00:00"/>
    <s v="Emily Rodgers"/>
    <s v="North"/>
    <s v="Office Supplies"/>
    <s v="Xerox 1894"/>
    <x v="5"/>
    <n v="1989.56"/>
    <n v="10"/>
    <s v="UPI"/>
    <n v="10743.62"/>
  </r>
  <r>
    <s v="ORD1773"/>
    <d v="2024-04-28T00:00:00"/>
    <s v="Peter Williams"/>
    <s v="South"/>
    <s v="Technology"/>
    <s v="Accessory20"/>
    <x v="1"/>
    <n v="225.13"/>
    <n v="20"/>
    <s v="Cash"/>
    <n v="720.42"/>
  </r>
  <r>
    <s v="ORD1774"/>
    <d v="2023-10-23T00:00:00"/>
    <s v="Mary Jackson"/>
    <s v="South"/>
    <s v="Office Supplies"/>
    <s v="Mead 1st Gear 2&quot; Zipper Binder, Asst. Colors"/>
    <x v="4"/>
    <n v="54.52"/>
    <n v="20"/>
    <s v="Credit Card"/>
    <n v="130.85"/>
  </r>
  <r>
    <s v="ORD1775"/>
    <d v="2025-05-08T00:00:00"/>
    <s v="Jeffrey Howell"/>
    <s v="East"/>
    <s v="Office Supplies"/>
    <s v="Advantus Push Pins, Aluminum Head"/>
    <x v="1"/>
    <n v="136.12"/>
    <n v="10"/>
    <s v="Credit Card"/>
    <n v="490.03"/>
  </r>
  <r>
    <s v="ORD1776"/>
    <d v="2025-03-17T00:00:00"/>
    <s v="Anna Briggs"/>
    <s v="North"/>
    <s v="Office Supplies"/>
    <s v="Xerox 1947"/>
    <x v="7"/>
    <n v="716.48"/>
    <n v="0"/>
    <s v="Credit Card"/>
    <n v="716.48"/>
  </r>
  <r>
    <s v="ORD1777"/>
    <d v="2024-02-10T00:00:00"/>
    <s v="James Rivers"/>
    <s v="West"/>
    <s v="Technology"/>
    <s v="Keytronic French Keyboard"/>
    <x v="1"/>
    <n v="1284.17"/>
    <n v="15"/>
    <s v="Net Banking"/>
    <n v="4366.18"/>
  </r>
  <r>
    <s v="ORD1778"/>
    <d v="2025-01-15T00:00:00"/>
    <s v="James Jefferson"/>
    <s v="North"/>
    <s v="Office Supplies"/>
    <s v="Presstex Flexible Ring Binders"/>
    <x v="7"/>
    <n v="184.61"/>
    <n v="20"/>
    <s v="Credit Card"/>
    <n v="147.69"/>
  </r>
  <r>
    <s v="ORD1779"/>
    <d v="2024-04-09T00:00:00"/>
    <s v="Mariah Robles"/>
    <s v="South"/>
    <s v="Office Supplies"/>
    <s v="Staples #10 Laser &amp; Inkjet Envelopes, 4 1/8&quot; x 9 1/2&quot;, 100/Box"/>
    <x v="7"/>
    <n v="61.05"/>
    <n v="20"/>
    <s v="Credit Card"/>
    <n v="48.84"/>
  </r>
  <r>
    <s v="ORD1780"/>
    <d v="2024-02-02T00:00:00"/>
    <s v="Michael Brown"/>
    <s v="North"/>
    <s v="Office Supplies"/>
    <s v="Acco Smartsocket® Color-Coded Six-Outlet AC Adapter Model Surge Protectors"/>
    <x v="5"/>
    <n v="1877.33"/>
    <n v="0"/>
    <s v="Net Banking"/>
    <n v="11263.98"/>
  </r>
  <r>
    <s v="ORD1781"/>
    <d v="2025-04-29T00:00:00"/>
    <s v="Caitlin Perry"/>
    <s v="West"/>
    <s v="Office Supplies"/>
    <s v="Avery 498"/>
    <x v="3"/>
    <n v="1652.76"/>
    <n v="5"/>
    <s v="UPI"/>
    <n v="7850.61"/>
  </r>
  <r>
    <s v="ORD1782"/>
    <d v="2024-01-13T00:00:00"/>
    <s v="Rebekah Gregory"/>
    <s v="North"/>
    <s v="Furniture"/>
    <s v="Eldon Pizzaz™ Desk Accessories"/>
    <x v="1"/>
    <n v="1627.91"/>
    <n v="0"/>
    <s v="UPI"/>
    <n v="6511.64"/>
  </r>
  <r>
    <s v="ORD1783"/>
    <d v="2023-12-04T00:00:00"/>
    <s v="James Howard"/>
    <s v="South"/>
    <s v="Office Supplies"/>
    <s v="X-Rack™ File for Hanging Folders"/>
    <x v="4"/>
    <n v="1774.63"/>
    <n v="0"/>
    <s v="Net Banking"/>
    <n v="5323.89"/>
  </r>
  <r>
    <s v="ORD1784"/>
    <d v="2023-08-30T00:00:00"/>
    <s v="Michael Roberson"/>
    <s v="West"/>
    <s v="Office Supplies"/>
    <s v="Tripp Lite Isotel 8 Ultra 8 Outlet Metal Surge"/>
    <x v="7"/>
    <n v="1415.07"/>
    <n v="20"/>
    <s v="UPI"/>
    <n v="1132.06"/>
  </r>
  <r>
    <s v="ORD1785"/>
    <d v="2023-09-16T00:00:00"/>
    <s v="Bianca Knapp"/>
    <s v="East"/>
    <s v="Furniture"/>
    <s v="Eldon Regeneration Recycled Desk Accessories, Smoke"/>
    <x v="5"/>
    <n v="253.59"/>
    <n v="15"/>
    <s v="Net Banking"/>
    <n v="1293.31"/>
  </r>
  <r>
    <s v="ORD1786"/>
    <d v="2024-02-18T00:00:00"/>
    <s v="Jason Williams"/>
    <s v="East"/>
    <s v="Office Supplies"/>
    <s v="Staples Metal Binder Clips"/>
    <x v="6"/>
    <n v="828.25"/>
    <n v="0"/>
    <s v="Cash"/>
    <n v="1656.5"/>
  </r>
  <r>
    <s v="ORD1787"/>
    <d v="2024-08-15T00:00:00"/>
    <s v="Ernest Bush"/>
    <s v="West"/>
    <s v="Office Supplies"/>
    <s v="Avery 494"/>
    <x v="2"/>
    <n v="1460.14"/>
    <n v="5"/>
    <s v="UPI"/>
    <n v="11097.06"/>
  </r>
  <r>
    <s v="ORD1788"/>
    <d v="2024-11-28T00:00:00"/>
    <s v="Patricia Ray"/>
    <s v="West"/>
    <s v="Office Supplies"/>
    <s v="Wirebound Message Forms, Four 2 3/4 x 5 Forms per Page, Pink Paper"/>
    <x v="3"/>
    <n v="596.65"/>
    <n v="10"/>
    <s v="Net Banking"/>
    <n v="2684.92"/>
  </r>
  <r>
    <s v="ORD1789"/>
    <d v="2025-06-02T00:00:00"/>
    <s v="Vanessa Santiago"/>
    <s v="West"/>
    <s v="Technology"/>
    <s v="T18"/>
    <x v="0"/>
    <n v="1390.44"/>
    <n v="0"/>
    <s v="Cash"/>
    <n v="9733.08"/>
  </r>
  <r>
    <s v="ORD1790"/>
    <d v="2025-03-30T00:00:00"/>
    <s v="Joseph Haynes"/>
    <s v="South"/>
    <s v="Office Supplies"/>
    <s v="Newell 340"/>
    <x v="6"/>
    <n v="97.77"/>
    <n v="0"/>
    <s v="Cash"/>
    <n v="195.54"/>
  </r>
  <r>
    <s v="ORD1791"/>
    <d v="2023-10-07T00:00:00"/>
    <s v="Matthew Wright"/>
    <s v="West"/>
    <s v="Office Supplies"/>
    <s v="Recycled Eldon Regeneration Jumbo File"/>
    <x v="2"/>
    <n v="646.97"/>
    <n v="5"/>
    <s v="Credit Card"/>
    <n v="4916.97"/>
  </r>
  <r>
    <s v="ORD1792"/>
    <d v="2024-07-30T00:00:00"/>
    <s v="Michael Cruz"/>
    <s v="South"/>
    <s v="Office Supplies"/>
    <s v="Avery Printable Repositionable Plastic Tabs"/>
    <x v="6"/>
    <n v="1120.8"/>
    <n v="15"/>
    <s v="Net Banking"/>
    <n v="1905.36"/>
  </r>
  <r>
    <s v="ORD1793"/>
    <d v="2024-06-28T00:00:00"/>
    <s v="Kristin Huerta"/>
    <s v="West"/>
    <s v="Technology"/>
    <s v="Fellowes 17-key keypad for PS/2 interface"/>
    <x v="1"/>
    <n v="1282.58"/>
    <n v="0"/>
    <s v="Net Banking"/>
    <n v="5130.32"/>
  </r>
  <r>
    <s v="ORD1794"/>
    <d v="2025-06-30T00:00:00"/>
    <s v="Mason Moore"/>
    <s v="South"/>
    <s v="Office Supplies"/>
    <s v="Avery Printable Repositionable Plastic Tabs"/>
    <x v="7"/>
    <n v="1175.23"/>
    <n v="0"/>
    <s v="Credit Card"/>
    <n v="1175.23"/>
  </r>
  <r>
    <s v="ORD1795"/>
    <d v="2024-12-13T00:00:00"/>
    <s v="Sarah Booth"/>
    <s v="South"/>
    <s v="Technology"/>
    <s v="Fellowes 17-key keypad for PS/2 interface"/>
    <x v="3"/>
    <n v="1410.62"/>
    <n v="15"/>
    <s v="UPI"/>
    <n v="5995.13"/>
  </r>
  <r>
    <s v="ORD1796"/>
    <d v="2024-11-01T00:00:00"/>
    <s v="John Allen"/>
    <s v="North"/>
    <s v="Technology"/>
    <s v="g520"/>
    <x v="8"/>
    <n v="61.87"/>
    <n v="5"/>
    <s v="Net Banking"/>
    <n v="528.99"/>
  </r>
  <r>
    <s v="ORD1797"/>
    <d v="2024-01-10T00:00:00"/>
    <s v="Amber Walker"/>
    <s v="East"/>
    <s v="Office Supplies"/>
    <s v="Avery Hi-Liter® Fluorescent Desk Style Markers"/>
    <x v="7"/>
    <n v="246.84"/>
    <n v="0"/>
    <s v="Cash"/>
    <n v="246.84"/>
  </r>
  <r>
    <s v="ORD1798"/>
    <d v="2025-02-19T00:00:00"/>
    <s v="Jennifer Young"/>
    <s v="West"/>
    <s v="Technology"/>
    <s v="g520"/>
    <x v="8"/>
    <n v="1744.44"/>
    <n v="15"/>
    <s v="Net Banking"/>
    <n v="13344.97"/>
  </r>
  <r>
    <s v="ORD1799"/>
    <d v="2025-02-02T00:00:00"/>
    <s v="Robert West"/>
    <s v="East"/>
    <s v="Technology"/>
    <s v="Maxell DVD-RAM Discs"/>
    <x v="2"/>
    <n v="1379.41"/>
    <n v="0"/>
    <s v="Credit Card"/>
    <n v="11035.28"/>
  </r>
  <r>
    <s v="ORD1800"/>
    <d v="2024-06-05T00:00:00"/>
    <s v="Jillian Wilson"/>
    <s v="East"/>
    <s v="Furniture"/>
    <s v="Bretford “Just In Time” Height-Adjustable Multi-Task Work Tables"/>
    <x v="5"/>
    <n v="270.22000000000003"/>
    <n v="10"/>
    <s v="Net Banking"/>
    <n v="1459.19"/>
  </r>
  <r>
    <s v="ORD1801"/>
    <d v="2024-08-29T00:00:00"/>
    <s v="Matthew Garcia MD"/>
    <s v="North"/>
    <s v="Office Supplies"/>
    <s v="Bionaire Personal Warm Mist Humidifier/Vaporizer"/>
    <x v="0"/>
    <n v="1692.05"/>
    <n v="20"/>
    <s v="UPI"/>
    <n v="9475.48"/>
  </r>
  <r>
    <s v="ORD1802"/>
    <d v="2024-06-17T00:00:00"/>
    <s v="April Davis"/>
    <s v="East"/>
    <s v="Office Supplies"/>
    <s v="*Staples* Highlighting Markers"/>
    <x v="4"/>
    <n v="522.35"/>
    <n v="10"/>
    <s v="Credit Card"/>
    <n v="1410.35"/>
  </r>
  <r>
    <s v="ORD1803"/>
    <d v="2024-02-17T00:00:00"/>
    <s v="Lisa Torres"/>
    <s v="East"/>
    <s v="Furniture"/>
    <s v="Bevis 36 x 72 Conference Tables"/>
    <x v="7"/>
    <n v="982.61"/>
    <n v="0"/>
    <s v="Credit Card"/>
    <n v="982.61"/>
  </r>
  <r>
    <s v="ORD1804"/>
    <d v="2023-12-04T00:00:00"/>
    <s v="Christine Powers"/>
    <s v="West"/>
    <s v="Furniture"/>
    <s v="Global Leather Executive Chair"/>
    <x v="3"/>
    <n v="333.13"/>
    <n v="5"/>
    <s v="Cash"/>
    <n v="1582.37"/>
  </r>
  <r>
    <s v="ORD1805"/>
    <d v="2025-01-02T00:00:00"/>
    <s v="Heidi Brown"/>
    <s v="South"/>
    <s v="Office Supplies"/>
    <s v="#10- 4 1/8&quot; x 9 1/2&quot; Recycled Envelopes"/>
    <x v="6"/>
    <n v="1434.71"/>
    <n v="20"/>
    <s v="Net Banking"/>
    <n v="2295.54"/>
  </r>
  <r>
    <s v="ORD1806"/>
    <d v="2025-01-27T00:00:00"/>
    <s v="Jesse Castro"/>
    <s v="West"/>
    <s v="Office Supplies"/>
    <s v="Brites Rubber Bands, 1 1/2 oz. Box"/>
    <x v="3"/>
    <n v="1350.37"/>
    <n v="10"/>
    <s v="Credit Card"/>
    <n v="6076.66"/>
  </r>
  <r>
    <s v="ORD1807"/>
    <d v="2023-08-16T00:00:00"/>
    <s v="Kara Sandoval"/>
    <s v="West"/>
    <s v="Office Supplies"/>
    <s v="Fellowes Twister Kit, Gray/Clear, 3/pkg"/>
    <x v="2"/>
    <n v="461.67"/>
    <n v="15"/>
    <s v="UPI"/>
    <n v="3139.36"/>
  </r>
  <r>
    <s v="ORD1808"/>
    <d v="2025-07-05T00:00:00"/>
    <s v="Ashley Malone"/>
    <s v="East"/>
    <s v="Technology"/>
    <s v="Lexmark 4227 Plus Dot Matrix Printer"/>
    <x v="8"/>
    <n v="1733.63"/>
    <n v="5"/>
    <s v="UPI"/>
    <n v="14822.54"/>
  </r>
  <r>
    <s v="ORD1809"/>
    <d v="2025-03-17T00:00:00"/>
    <s v="Glenn Gallegos"/>
    <s v="East"/>
    <s v="Technology"/>
    <s v="i2000"/>
    <x v="6"/>
    <n v="832.55"/>
    <n v="10"/>
    <s v="UPI"/>
    <n v="1498.59"/>
  </r>
  <r>
    <s v="ORD1810"/>
    <d v="2025-06-10T00:00:00"/>
    <s v="Dorothy Boyd"/>
    <s v="West"/>
    <s v="Office Supplies"/>
    <s v="Staples #10 Laser &amp; Inkjet Envelopes, 4 1/8&quot; x 9 1/2&quot;, 100/Box"/>
    <x v="4"/>
    <n v="620.4"/>
    <n v="15"/>
    <s v="Cash"/>
    <n v="1582.02"/>
  </r>
  <r>
    <s v="ORD1811"/>
    <d v="2025-04-01T00:00:00"/>
    <s v="Amber Martin"/>
    <s v="West"/>
    <s v="Office Supplies"/>
    <s v="Manila Recycled Extra-Heavyweight Clasp Envelopes, 6&quot; x 9&quot;"/>
    <x v="4"/>
    <n v="347.04"/>
    <n v="0"/>
    <s v="UPI"/>
    <n v="1041.1199999999999"/>
  </r>
  <r>
    <s v="ORD1812"/>
    <d v="2025-06-29T00:00:00"/>
    <s v="Mitchell Griffith"/>
    <s v="East"/>
    <s v="Office Supplies"/>
    <s v="Newell 337"/>
    <x v="7"/>
    <n v="569.03"/>
    <n v="15"/>
    <s v="Cash"/>
    <n v="483.68"/>
  </r>
  <r>
    <s v="ORD1813"/>
    <d v="2023-11-02T00:00:00"/>
    <s v="Levi Lopez"/>
    <s v="South"/>
    <s v="Furniture"/>
    <s v="Global Leather and Oak Executive Chair, Black"/>
    <x v="2"/>
    <n v="92.95"/>
    <n v="10"/>
    <s v="UPI"/>
    <n v="669.24"/>
  </r>
  <r>
    <s v="ORD1814"/>
    <d v="2025-04-07T00:00:00"/>
    <s v="Jenna Bryant"/>
    <s v="South"/>
    <s v="Office Supplies"/>
    <s v="Tennsco Lockers, Sand"/>
    <x v="5"/>
    <n v="1187.3499999999999"/>
    <n v="10"/>
    <s v="Net Banking"/>
    <n v="6411.69"/>
  </r>
  <r>
    <s v="ORD1815"/>
    <d v="2024-07-07T00:00:00"/>
    <s v="Michelle Rodriguez"/>
    <s v="West"/>
    <s v="Office Supplies"/>
    <s v="Carina 42&quot;Hx23 3/4&quot;W Media Storage Unit"/>
    <x v="2"/>
    <n v="1692.35"/>
    <n v="0"/>
    <s v="UPI"/>
    <n v="13538.8"/>
  </r>
  <r>
    <s v="ORD1816"/>
    <d v="2024-01-28T00:00:00"/>
    <s v="Timothy Monroe"/>
    <s v="South"/>
    <s v="Office Supplies"/>
    <s v="Xerox 1894"/>
    <x v="8"/>
    <n v="1120.51"/>
    <n v="15"/>
    <s v="UPI"/>
    <n v="8571.9"/>
  </r>
  <r>
    <s v="ORD1817"/>
    <d v="2023-12-26T00:00:00"/>
    <s v="Patricia Hayes"/>
    <s v="West"/>
    <s v="Office Supplies"/>
    <s v="Kensington 7 Outlet MasterPiece Power Center"/>
    <x v="3"/>
    <n v="477.58"/>
    <n v="15"/>
    <s v="Cash"/>
    <n v="2029.72"/>
  </r>
  <r>
    <s v="ORD1818"/>
    <d v="2025-04-27T00:00:00"/>
    <s v="Tina Taylor"/>
    <s v="North"/>
    <s v="Office Supplies"/>
    <s v="GBC Pre-Punched Binding Paper, Plastic, White, 8-1/2&quot; x 11&quot;"/>
    <x v="4"/>
    <n v="115.65"/>
    <n v="0"/>
    <s v="Net Banking"/>
    <n v="346.95"/>
  </r>
  <r>
    <s v="ORD1819"/>
    <d v="2025-02-02T00:00:00"/>
    <s v="Mr. Anthony Mcconnell PhD"/>
    <s v="East"/>
    <s v="Furniture"/>
    <s v="Howard Miller 13&quot; Diameter Goldtone Round Wall Clock"/>
    <x v="3"/>
    <n v="468.52"/>
    <n v="15"/>
    <s v="Net Banking"/>
    <n v="1991.21"/>
  </r>
  <r>
    <s v="ORD1820"/>
    <d v="2024-09-17T00:00:00"/>
    <s v="Mr. Thomas Thompson"/>
    <s v="West"/>
    <s v="Furniture"/>
    <s v="Lifetime Advantage™ Folding Chairs, 4/Carton"/>
    <x v="3"/>
    <n v="861.44"/>
    <n v="0"/>
    <s v="Cash"/>
    <n v="4307.2"/>
  </r>
  <r>
    <s v="ORD1821"/>
    <d v="2024-08-06T00:00:00"/>
    <s v="Monica Anderson"/>
    <s v="West"/>
    <s v="Technology"/>
    <s v="Accessory34"/>
    <x v="3"/>
    <n v="1531.24"/>
    <n v="5"/>
    <s v="Net Banking"/>
    <n v="7273.39"/>
  </r>
  <r>
    <s v="ORD1822"/>
    <d v="2023-09-20T00:00:00"/>
    <s v="Kyle Andrade"/>
    <s v="West"/>
    <s v="Office Supplies"/>
    <s v="GBC Binding covers"/>
    <x v="4"/>
    <n v="416.29"/>
    <n v="10"/>
    <s v="UPI"/>
    <n v="1123.98"/>
  </r>
  <r>
    <s v="ORD1823"/>
    <d v="2024-10-17T00:00:00"/>
    <s v="Janice Petty"/>
    <s v="South"/>
    <s v="Technology"/>
    <s v="5180"/>
    <x v="1"/>
    <n v="1453.59"/>
    <n v="5"/>
    <s v="UPI"/>
    <n v="5523.64"/>
  </r>
  <r>
    <s v="ORD1824"/>
    <d v="2024-02-21T00:00:00"/>
    <s v="Pamela Hill"/>
    <s v="West"/>
    <s v="Furniture"/>
    <s v="O'Sullivan Elevations Bookcase, Cherry Finish"/>
    <x v="8"/>
    <n v="1740.52"/>
    <n v="20"/>
    <s v="Net Banking"/>
    <n v="12531.74"/>
  </r>
  <r>
    <s v="ORD1825"/>
    <d v="2025-07-24T00:00:00"/>
    <s v="Tracy Chavez"/>
    <s v="North"/>
    <s v="Furniture"/>
    <s v="Eldon Antistatic Chair Mats for Low to Medium Pile Carpets"/>
    <x v="8"/>
    <n v="935.2"/>
    <n v="20"/>
    <s v="UPI"/>
    <n v="6733.44"/>
  </r>
  <r>
    <s v="ORD1826"/>
    <d v="2025-05-31T00:00:00"/>
    <s v="Jason Graves"/>
    <s v="South"/>
    <s v="Furniture"/>
    <s v="Hon iLevel™ Computer Training Table"/>
    <x v="6"/>
    <n v="1651.79"/>
    <n v="20"/>
    <s v="Net Banking"/>
    <n v="2642.86"/>
  </r>
  <r>
    <s v="ORD1827"/>
    <d v="2023-11-14T00:00:00"/>
    <s v="Elizabeth Miles"/>
    <s v="East"/>
    <s v="Office Supplies"/>
    <s v="GBC DocuBind 200 Manual Binding Machine"/>
    <x v="2"/>
    <n v="1131.58"/>
    <n v="0"/>
    <s v="Cash"/>
    <n v="9052.64"/>
  </r>
  <r>
    <s v="ORD1828"/>
    <d v="2024-07-31T00:00:00"/>
    <s v="Michelle Walls"/>
    <s v="North"/>
    <s v="Technology"/>
    <s v="Logitech Internet Navigator Keyboard"/>
    <x v="2"/>
    <n v="1292.33"/>
    <n v="15"/>
    <s v="Cash"/>
    <n v="8787.84"/>
  </r>
  <r>
    <s v="ORD1829"/>
    <d v="2023-11-23T00:00:00"/>
    <s v="Christina Weber"/>
    <s v="West"/>
    <s v="Office Supplies"/>
    <s v="Fellowes Mighty 8 Compact Surge Protector"/>
    <x v="0"/>
    <n v="1076.24"/>
    <n v="5"/>
    <s v="Cash"/>
    <n v="7157"/>
  </r>
  <r>
    <s v="ORD1830"/>
    <d v="2025-04-25T00:00:00"/>
    <s v="Gregory Chambers"/>
    <s v="North"/>
    <s v="Technology"/>
    <s v="Memorex Slim 80 Minute CD-R, 10/Pack"/>
    <x v="2"/>
    <n v="953.19"/>
    <n v="5"/>
    <s v="Credit Card"/>
    <n v="7244.24"/>
  </r>
  <r>
    <s v="ORD1831"/>
    <d v="2024-08-06T00:00:00"/>
    <s v="Miss Tina Gordon"/>
    <s v="West"/>
    <s v="Office Supplies"/>
    <s v="Recycled Desk Saver Line &quot;While You Were Out&quot; Book, 5 1/2&quot; X 4&quot;"/>
    <x v="4"/>
    <n v="507.57"/>
    <n v="5"/>
    <s v="UPI"/>
    <n v="1446.57"/>
  </r>
  <r>
    <s v="ORD1832"/>
    <d v="2025-01-11T00:00:00"/>
    <s v="Erica Wilson"/>
    <s v="North"/>
    <s v="Office Supplies"/>
    <s v="Recycled Desk Saver Line &quot;While You Were Out&quot; Book, 5 1/2&quot; X 4&quot;"/>
    <x v="5"/>
    <n v="641.23"/>
    <n v="5"/>
    <s v="Cash"/>
    <n v="3655.01"/>
  </r>
  <r>
    <s v="ORD1833"/>
    <d v="2024-09-27T00:00:00"/>
    <s v="John Duncan"/>
    <s v="South"/>
    <s v="Furniture"/>
    <s v="Eldon Expressions™ Desk Accessory, Wood Pencil Holder, Oak"/>
    <x v="7"/>
    <n v="615.44000000000005"/>
    <n v="20"/>
    <s v="Net Banking"/>
    <n v="492.35"/>
  </r>
  <r>
    <s v="ORD1834"/>
    <d v="2024-10-19T00:00:00"/>
    <s v="Jennifer Adkins"/>
    <s v="West"/>
    <s v="Technology"/>
    <s v="US Robotics 56K V.92 External Faxmodem"/>
    <x v="0"/>
    <n v="1148.4100000000001"/>
    <n v="5"/>
    <s v="Net Banking"/>
    <n v="7636.93"/>
  </r>
  <r>
    <s v="ORD1835"/>
    <d v="2024-11-16T00:00:00"/>
    <s v="Donna Boone"/>
    <s v="South"/>
    <s v="Office Supplies"/>
    <s v="Fellowes Staxonsteel® Drawer Files"/>
    <x v="7"/>
    <n v="283.91000000000003"/>
    <n v="15"/>
    <s v="Cash"/>
    <n v="241.32"/>
  </r>
  <r>
    <s v="ORD1836"/>
    <d v="2024-04-14T00:00:00"/>
    <s v="Kelly Johnson"/>
    <s v="North"/>
    <s v="Technology"/>
    <s v="Accessory39"/>
    <x v="8"/>
    <n v="1837.74"/>
    <n v="20"/>
    <s v="Cash"/>
    <n v="13231.73"/>
  </r>
  <r>
    <s v="ORD1837"/>
    <d v="2025-03-20T00:00:00"/>
    <s v="Michael Gonzalez"/>
    <s v="West"/>
    <s v="Office Supplies"/>
    <s v="Ibico Covers for Plastic or Wire Binding Elements"/>
    <x v="7"/>
    <n v="1455.28"/>
    <n v="5"/>
    <s v="Cash"/>
    <n v="1382.52"/>
  </r>
  <r>
    <s v="ORD1838"/>
    <d v="2025-07-04T00:00:00"/>
    <s v="Candace Mitchell"/>
    <s v="East"/>
    <s v="Office Supplies"/>
    <s v="Hanging Personal Folder File"/>
    <x v="7"/>
    <n v="832.82"/>
    <n v="0"/>
    <s v="Net Banking"/>
    <n v="832.82"/>
  </r>
  <r>
    <s v="ORD1839"/>
    <d v="2024-07-20T00:00:00"/>
    <s v="Ryan Vaughn"/>
    <s v="East"/>
    <s v="Office Supplies"/>
    <s v="Tennsco Double-Tier Lockers"/>
    <x v="0"/>
    <n v="359.32"/>
    <n v="10"/>
    <s v="Credit Card"/>
    <n v="2263.7199999999998"/>
  </r>
  <r>
    <s v="ORD1840"/>
    <d v="2024-11-29T00:00:00"/>
    <s v="Paul Johnson"/>
    <s v="West"/>
    <s v="Technology"/>
    <s v="Epson C82 Color Inkjet Printer"/>
    <x v="6"/>
    <n v="1769.88"/>
    <n v="10"/>
    <s v="Cash"/>
    <n v="3185.78"/>
  </r>
  <r>
    <s v="ORD1841"/>
    <d v="2025-05-06T00:00:00"/>
    <s v="Ashley Parrish"/>
    <s v="North"/>
    <s v="Furniture"/>
    <s v="Westinghouse Clip-On Gooseneck Lamps"/>
    <x v="3"/>
    <n v="1656.37"/>
    <n v="10"/>
    <s v="Net Banking"/>
    <n v="7453.66"/>
  </r>
  <r>
    <s v="ORD1842"/>
    <d v="2025-02-20T00:00:00"/>
    <s v="Sharon Newton"/>
    <s v="East"/>
    <s v="Office Supplies"/>
    <s v="Xerox 1996"/>
    <x v="2"/>
    <n v="1457.36"/>
    <n v="20"/>
    <s v="Net Banking"/>
    <n v="9327.1"/>
  </r>
  <r>
    <s v="ORD1843"/>
    <d v="2025-07-04T00:00:00"/>
    <s v="Cynthia Mueller"/>
    <s v="West"/>
    <s v="Furniture"/>
    <s v="Eldon® 200 Class™ Desk Accessories, Burgundy"/>
    <x v="2"/>
    <n v="579.52"/>
    <n v="5"/>
    <s v="Cash"/>
    <n v="4404.3500000000004"/>
  </r>
  <r>
    <s v="ORD1844"/>
    <d v="2024-09-07T00:00:00"/>
    <s v="Donna Beck"/>
    <s v="East"/>
    <s v="Office Supplies"/>
    <s v="Eldon® Gobal File Keepers"/>
    <x v="4"/>
    <n v="834.77"/>
    <n v="20"/>
    <s v="UPI"/>
    <n v="2003.45"/>
  </r>
  <r>
    <s v="ORD1845"/>
    <d v="2024-07-08T00:00:00"/>
    <s v="Jasmine Frye"/>
    <s v="West"/>
    <s v="Office Supplies"/>
    <s v="Peel &amp; Stick Add-On Corner Pockets"/>
    <x v="0"/>
    <n v="250.36"/>
    <n v="15"/>
    <s v="Net Banking"/>
    <n v="1489.64"/>
  </r>
  <r>
    <s v="ORD1846"/>
    <d v="2025-05-18T00:00:00"/>
    <s v="Emily Arnold"/>
    <s v="North"/>
    <s v="Office Supplies"/>
    <s v="Xerox 21"/>
    <x v="4"/>
    <n v="418.63"/>
    <n v="0"/>
    <s v="UPI"/>
    <n v="1255.8900000000001"/>
  </r>
  <r>
    <s v="ORD1847"/>
    <d v="2025-07-16T00:00:00"/>
    <s v="David Oliver"/>
    <s v="North"/>
    <s v="Furniture"/>
    <s v="BPI Conference Tables"/>
    <x v="5"/>
    <n v="1576.88"/>
    <n v="0"/>
    <s v="UPI"/>
    <n v="9461.2800000000007"/>
  </r>
  <r>
    <s v="ORD1848"/>
    <d v="2024-10-10T00:00:00"/>
    <s v="Sheila Greer"/>
    <s v="South"/>
    <s v="Office Supplies"/>
    <s v="Avery 487"/>
    <x v="5"/>
    <n v="1444.33"/>
    <n v="10"/>
    <s v="Credit Card"/>
    <n v="7799.38"/>
  </r>
  <r>
    <s v="ORD1849"/>
    <d v="2024-07-23T00:00:00"/>
    <s v="Michele Holland"/>
    <s v="East"/>
    <s v="Office Supplies"/>
    <s v="Quartet Omega® Colored Chalk, 12/Pack"/>
    <x v="4"/>
    <n v="1207.3"/>
    <n v="10"/>
    <s v="Net Banking"/>
    <n v="3259.71"/>
  </r>
  <r>
    <s v="ORD1850"/>
    <d v="2025-07-08T00:00:00"/>
    <s v="Kimberly Morrison"/>
    <s v="South"/>
    <s v="Technology"/>
    <s v="StarTAC 8000"/>
    <x v="0"/>
    <n v="1796.67"/>
    <n v="10"/>
    <s v="Credit Card"/>
    <n v="11319.02"/>
  </r>
  <r>
    <s v="ORD1851"/>
    <d v="2023-12-13T00:00:00"/>
    <s v="Tracey Phillips"/>
    <s v="North"/>
    <s v="Technology"/>
    <s v="Accessory4"/>
    <x v="4"/>
    <n v="1187.3699999999999"/>
    <n v="5"/>
    <s v="Cash"/>
    <n v="3384"/>
  </r>
  <r>
    <s v="ORD1852"/>
    <d v="2025-03-11T00:00:00"/>
    <s v="Michael Lopez"/>
    <s v="West"/>
    <s v="Office Supplies"/>
    <s v="Avery Legal 4-Ring Binder"/>
    <x v="2"/>
    <n v="960.59"/>
    <n v="15"/>
    <s v="Credit Card"/>
    <n v="6532.01"/>
  </r>
  <r>
    <s v="ORD1853"/>
    <d v="2025-06-11T00:00:00"/>
    <s v="Jose Bennett"/>
    <s v="North"/>
    <s v="Office Supplies"/>
    <s v="Xerox 1888"/>
    <x v="1"/>
    <n v="713.72"/>
    <n v="15"/>
    <s v="Cash"/>
    <n v="2426.65"/>
  </r>
  <r>
    <s v="ORD1854"/>
    <d v="2024-08-14T00:00:00"/>
    <s v="Justin Anderson"/>
    <s v="North"/>
    <s v="Furniture"/>
    <s v="Global High-Back Leather Tilter, Burgundy"/>
    <x v="7"/>
    <n v="1883.87"/>
    <n v="15"/>
    <s v="UPI"/>
    <n v="1601.29"/>
  </r>
  <r>
    <s v="ORD1855"/>
    <d v="2024-07-26T00:00:00"/>
    <s v="Dawn Rivera"/>
    <s v="West"/>
    <s v="Office Supplies"/>
    <s v="Xerox 188"/>
    <x v="1"/>
    <n v="211.3"/>
    <n v="15"/>
    <s v="Net Banking"/>
    <n v="718.42"/>
  </r>
  <r>
    <s v="ORD1856"/>
    <d v="2024-02-29T00:00:00"/>
    <s v="Brittney Hernandez"/>
    <s v="South"/>
    <s v="Office Supplies"/>
    <s v="Boston School Pro Electric Pencil Sharpener, 1670"/>
    <x v="0"/>
    <n v="1865.23"/>
    <n v="10"/>
    <s v="Credit Card"/>
    <n v="11750.95"/>
  </r>
  <r>
    <s v="ORD1857"/>
    <d v="2025-03-17T00:00:00"/>
    <s v="Anthony Randolph"/>
    <s v="East"/>
    <s v="Technology"/>
    <s v="8860"/>
    <x v="1"/>
    <n v="1662.09"/>
    <n v="0"/>
    <s v="Net Banking"/>
    <n v="6648.36"/>
  </r>
  <r>
    <s v="ORD1858"/>
    <d v="2024-02-20T00:00:00"/>
    <s v="Mary Henry"/>
    <s v="North"/>
    <s v="Technology"/>
    <s v="Microsoft Natural Multimedia Keyboard"/>
    <x v="5"/>
    <n v="303.36"/>
    <n v="10"/>
    <s v="UPI"/>
    <n v="1638.14"/>
  </r>
  <r>
    <s v="ORD1859"/>
    <d v="2025-05-25T00:00:00"/>
    <s v="Heather Bowers"/>
    <s v="North"/>
    <s v="Office Supplies"/>
    <s v="GBC DocuBind 300 Electric Binding Machine"/>
    <x v="8"/>
    <n v="1151.72"/>
    <n v="15"/>
    <s v="UPI"/>
    <n v="8810.66"/>
  </r>
  <r>
    <s v="ORD1860"/>
    <d v="2024-12-19T00:00:00"/>
    <s v="Daniel White"/>
    <s v="East"/>
    <s v="Office Supplies"/>
    <s v="Avery 508"/>
    <x v="7"/>
    <n v="1739.77"/>
    <n v="10"/>
    <s v="UPI"/>
    <n v="1565.79"/>
  </r>
  <r>
    <s v="ORD1861"/>
    <d v="2024-03-14T00:00:00"/>
    <s v="Jonathan Perry"/>
    <s v="North"/>
    <s v="Technology"/>
    <s v="Maxell 3.5&quot; DS/HD IBM-Formatted Diskettes, 10/Pack"/>
    <x v="3"/>
    <n v="1165.03"/>
    <n v="15"/>
    <s v="UPI"/>
    <n v="4951.38"/>
  </r>
  <r>
    <s v="ORD1862"/>
    <d v="2025-03-28T00:00:00"/>
    <s v="Anna Walker"/>
    <s v="East"/>
    <s v="Office Supplies"/>
    <s v="Riverleaf Stik-Withit® Designer Note Cubes®"/>
    <x v="0"/>
    <n v="1819.04"/>
    <n v="20"/>
    <s v="UPI"/>
    <n v="10186.620000000001"/>
  </r>
  <r>
    <s v="ORD1863"/>
    <d v="2025-04-07T00:00:00"/>
    <s v="Gary Ward"/>
    <s v="East"/>
    <s v="Technology"/>
    <s v="Canon Image Class D660 Copier"/>
    <x v="7"/>
    <n v="1888.82"/>
    <n v="0"/>
    <s v="UPI"/>
    <n v="1888.82"/>
  </r>
  <r>
    <s v="ORD1864"/>
    <d v="2024-09-19T00:00:00"/>
    <s v="Paul Moreno"/>
    <s v="East"/>
    <s v="Office Supplies"/>
    <s v="Portfile® Personal File Boxes"/>
    <x v="1"/>
    <n v="873.65"/>
    <n v="20"/>
    <s v="Credit Card"/>
    <n v="2795.68"/>
  </r>
  <r>
    <s v="ORD1865"/>
    <d v="2024-08-22T00:00:00"/>
    <s v="Samantha Zavala MD"/>
    <s v="West"/>
    <s v="Furniture"/>
    <s v="Bretford CR4500 Series Slim Rectangular Table"/>
    <x v="5"/>
    <n v="785.76"/>
    <n v="5"/>
    <s v="Net Banking"/>
    <n v="4478.83"/>
  </r>
  <r>
    <s v="ORD1866"/>
    <d v="2024-12-10T00:00:00"/>
    <s v="Jill Conway"/>
    <s v="South"/>
    <s v="Office Supplies"/>
    <s v="Staples Premium Bright 1-Part Blank Computer Paper"/>
    <x v="6"/>
    <n v="1875.83"/>
    <n v="10"/>
    <s v="Credit Card"/>
    <n v="3376.49"/>
  </r>
  <r>
    <s v="ORD1867"/>
    <d v="2024-02-13T00:00:00"/>
    <s v="Lisa Haley"/>
    <s v="South"/>
    <s v="Office Supplies"/>
    <s v="Staples Surge Protector 6 outlet"/>
    <x v="3"/>
    <n v="1366.52"/>
    <n v="5"/>
    <s v="UPI"/>
    <n v="6490.97"/>
  </r>
  <r>
    <s v="ORD1868"/>
    <d v="2024-03-12T00:00:00"/>
    <s v="Erica Moon"/>
    <s v="West"/>
    <s v="Furniture"/>
    <s v="Bevis 36 x 72 Conference Tables"/>
    <x v="7"/>
    <n v="276.24"/>
    <n v="10"/>
    <s v="Cash"/>
    <n v="248.62"/>
  </r>
  <r>
    <s v="ORD1869"/>
    <d v="2024-07-18T00:00:00"/>
    <s v="Janice Fernandez"/>
    <s v="South"/>
    <s v="Office Supplies"/>
    <s v="Avery 482"/>
    <x v="5"/>
    <n v="132.47"/>
    <n v="20"/>
    <s v="Cash"/>
    <n v="635.86"/>
  </r>
  <r>
    <s v="ORD1870"/>
    <d v="2023-10-11T00:00:00"/>
    <s v="Thomas Short"/>
    <s v="South"/>
    <s v="Office Supplies"/>
    <s v="Xerox 1964"/>
    <x v="5"/>
    <n v="1151.03"/>
    <n v="15"/>
    <s v="UPI"/>
    <n v="5870.25"/>
  </r>
  <r>
    <s v="ORD1871"/>
    <d v="2025-02-16T00:00:00"/>
    <s v="Robert Griffin"/>
    <s v="South"/>
    <s v="Office Supplies"/>
    <s v="Euro Pro Shark Stick Mini Vacuum"/>
    <x v="1"/>
    <n v="1863.83"/>
    <n v="15"/>
    <s v="UPI"/>
    <n v="6337.02"/>
  </r>
  <r>
    <s v="ORD1872"/>
    <d v="2024-03-20T00:00:00"/>
    <s v="Steven Lee"/>
    <s v="North"/>
    <s v="Technology"/>
    <s v="Verbatim DVD-RAM, 5.2GB, Rewritable, Type 1, DS"/>
    <x v="2"/>
    <n v="1696.28"/>
    <n v="10"/>
    <s v="UPI"/>
    <n v="12213.22"/>
  </r>
  <r>
    <s v="ORD1873"/>
    <d v="2024-02-10T00:00:00"/>
    <s v="Tiffany Jackson"/>
    <s v="West"/>
    <s v="Furniture"/>
    <s v="Hon GuestStacker Chair"/>
    <x v="1"/>
    <n v="1367.9"/>
    <n v="15"/>
    <s v="Net Banking"/>
    <n v="4650.8599999999997"/>
  </r>
  <r>
    <s v="ORD1874"/>
    <d v="2024-03-10T00:00:00"/>
    <s v="Kimberly Smith"/>
    <s v="South"/>
    <s v="Office Supplies"/>
    <s v="Staples 1 Part Blank Computer Paper"/>
    <x v="2"/>
    <n v="321.27999999999997"/>
    <n v="20"/>
    <s v="Net Banking"/>
    <n v="2056.19"/>
  </r>
  <r>
    <s v="ORD1875"/>
    <d v="2024-04-28T00:00:00"/>
    <s v="Michael Ayala"/>
    <s v="West"/>
    <s v="Furniture"/>
    <s v="Advantus Panel Wall Certificate Holder - 8.5x11"/>
    <x v="2"/>
    <n v="545.75"/>
    <n v="15"/>
    <s v="Credit Card"/>
    <n v="3711.1"/>
  </r>
  <r>
    <s v="ORD1876"/>
    <d v="2024-04-16T00:00:00"/>
    <s v="Jessica Garcia"/>
    <s v="South"/>
    <s v="Technology"/>
    <s v="Fellowes Basic 104-Key Keyboard, Platinum"/>
    <x v="3"/>
    <n v="1757.25"/>
    <n v="20"/>
    <s v="Net Banking"/>
    <n v="7029"/>
  </r>
  <r>
    <s v="ORD1877"/>
    <d v="2025-07-05T00:00:00"/>
    <s v="Michele Cherry"/>
    <s v="South"/>
    <s v="Office Supplies"/>
    <s v="Peel &amp; Seel® Recycled Catalog Envelopes, Brown"/>
    <x v="1"/>
    <n v="406.47"/>
    <n v="5"/>
    <s v="UPI"/>
    <n v="1544.59"/>
  </r>
  <r>
    <s v="ORD1878"/>
    <d v="2024-10-04T00:00:00"/>
    <s v="Maria Case"/>
    <s v="West"/>
    <s v="Furniture"/>
    <s v="Eldon Expressions™ Desk Accessory, Wood Photo Frame, Mahogany"/>
    <x v="6"/>
    <n v="592.96"/>
    <n v="20"/>
    <s v="Net Banking"/>
    <n v="948.74"/>
  </r>
  <r>
    <s v="ORD1879"/>
    <d v="2023-10-13T00:00:00"/>
    <s v="Brittany Stevens"/>
    <s v="East"/>
    <s v="Office Supplies"/>
    <s v="Avery Durable Poly Binders"/>
    <x v="4"/>
    <n v="302.72000000000003"/>
    <n v="0"/>
    <s v="Cash"/>
    <n v="908.16"/>
  </r>
  <r>
    <s v="ORD1880"/>
    <d v="2023-11-27T00:00:00"/>
    <s v="Brandon Brown"/>
    <s v="West"/>
    <s v="Furniture"/>
    <s v="Global Troy™ Executive Leather Low-Back Tilter"/>
    <x v="4"/>
    <n v="1368.41"/>
    <n v="0"/>
    <s v="Cash"/>
    <n v="4105.2299999999996"/>
  </r>
  <r>
    <s v="ORD1881"/>
    <d v="2023-12-07T00:00:00"/>
    <s v="Kristin Andrews"/>
    <s v="East"/>
    <s v="Furniture"/>
    <s v="DAX Solid Wood Frames"/>
    <x v="1"/>
    <n v="1890.77"/>
    <n v="0"/>
    <s v="UPI"/>
    <n v="7563.08"/>
  </r>
  <r>
    <s v="ORD1882"/>
    <d v="2024-02-07T00:00:00"/>
    <s v="David Hughes"/>
    <s v="North"/>
    <s v="Office Supplies"/>
    <s v="Newell 329"/>
    <x v="1"/>
    <n v="574.49"/>
    <n v="10"/>
    <s v="Net Banking"/>
    <n v="2068.16"/>
  </r>
  <r>
    <s v="ORD1883"/>
    <d v="2024-06-04T00:00:00"/>
    <s v="Jessica Smith"/>
    <s v="West"/>
    <s v="Office Supplies"/>
    <s v="Black Print Carbonless Snap-Off® Rapid Letter, 8 1/2&quot; x 7&quot;"/>
    <x v="3"/>
    <n v="977.04"/>
    <n v="10"/>
    <s v="Net Banking"/>
    <n v="4396.68"/>
  </r>
  <r>
    <s v="ORD1884"/>
    <d v="2025-02-01T00:00:00"/>
    <s v="Kimberly May"/>
    <s v="East"/>
    <s v="Office Supplies"/>
    <s v="Stockwell Push Pins"/>
    <x v="1"/>
    <n v="1286.96"/>
    <n v="10"/>
    <s v="Credit Card"/>
    <n v="4633.0600000000004"/>
  </r>
  <r>
    <s v="ORD1885"/>
    <d v="2023-12-08T00:00:00"/>
    <s v="Nicole Richards"/>
    <s v="South"/>
    <s v="Furniture"/>
    <s v="Bevis Round Conference Table Top, X-Base"/>
    <x v="2"/>
    <n v="1998.96"/>
    <n v="20"/>
    <s v="Credit Card"/>
    <n v="12793.34"/>
  </r>
  <r>
    <s v="ORD1886"/>
    <d v="2025-02-10T00:00:00"/>
    <s v="Angel Reilly"/>
    <s v="North"/>
    <s v="Office Supplies"/>
    <s v="Avery Reinforcements for Hole-Punch Pages"/>
    <x v="5"/>
    <n v="254.38"/>
    <n v="10"/>
    <s v="Cash"/>
    <n v="1373.65"/>
  </r>
  <r>
    <s v="ORD1887"/>
    <d v="2024-01-25T00:00:00"/>
    <s v="Richard Turner"/>
    <s v="West"/>
    <s v="Technology"/>
    <s v="Canon PC1060 Personal Laser Copier"/>
    <x v="5"/>
    <n v="1022.21"/>
    <n v="5"/>
    <s v="UPI"/>
    <n v="5826.6"/>
  </r>
  <r>
    <s v="ORD1888"/>
    <d v="2023-09-30T00:00:00"/>
    <s v="Preston Kim"/>
    <s v="East"/>
    <s v="Technology"/>
    <s v="Polycom ViewStation™ ISDN Videoconferencing Unit"/>
    <x v="2"/>
    <n v="800.98"/>
    <n v="0"/>
    <s v="Cash"/>
    <n v="6407.84"/>
  </r>
  <r>
    <s v="ORD1889"/>
    <d v="2024-06-29T00:00:00"/>
    <s v="Matthew Wells"/>
    <s v="East"/>
    <s v="Office Supplies"/>
    <s v="GBC Clear Cover, 8-1/2 x 11, unpunched, 25 covers per pack"/>
    <x v="0"/>
    <n v="1738.35"/>
    <n v="20"/>
    <s v="UPI"/>
    <n v="9734.76"/>
  </r>
  <r>
    <s v="ORD1890"/>
    <d v="2024-06-23T00:00:00"/>
    <s v="Brandy Myers"/>
    <s v="West"/>
    <s v="Office Supplies"/>
    <s v="Acme® Preferred Stainless Steel Scissors"/>
    <x v="2"/>
    <n v="978.14"/>
    <n v="0"/>
    <s v="UPI"/>
    <n v="7825.12"/>
  </r>
  <r>
    <s v="ORD1891"/>
    <d v="2024-04-25T00:00:00"/>
    <s v="Kimberly Choi"/>
    <s v="East"/>
    <s v="Office Supplies"/>
    <s v="Peel &amp; Stick Add-On Corner Pockets"/>
    <x v="6"/>
    <n v="266.41000000000003"/>
    <n v="10"/>
    <s v="UPI"/>
    <n v="479.54"/>
  </r>
  <r>
    <s v="ORD1892"/>
    <d v="2024-10-06T00:00:00"/>
    <s v="Michael Sloan"/>
    <s v="West"/>
    <s v="Office Supplies"/>
    <s v="Filing/Storage Totes and Swivel Casters"/>
    <x v="8"/>
    <n v="1287.1300000000001"/>
    <n v="20"/>
    <s v="UPI"/>
    <n v="9267.34"/>
  </r>
  <r>
    <s v="ORD1893"/>
    <d v="2024-08-07T00:00:00"/>
    <s v="Monica Brooks"/>
    <s v="East"/>
    <s v="Technology"/>
    <s v="TDK 4.7GB DVD-R Spindle, 15/Pack"/>
    <x v="7"/>
    <n v="1553.02"/>
    <n v="15"/>
    <s v="Net Banking"/>
    <n v="1320.07"/>
  </r>
  <r>
    <s v="ORD1894"/>
    <d v="2024-06-29T00:00:00"/>
    <s v="Kristen Peters"/>
    <s v="South"/>
    <s v="Office Supplies"/>
    <s v="Martin-Yale Premier Letter Opener"/>
    <x v="2"/>
    <n v="55.62"/>
    <n v="5"/>
    <s v="UPI"/>
    <n v="422.71"/>
  </r>
  <r>
    <s v="ORD1895"/>
    <d v="2023-09-29T00:00:00"/>
    <s v="Aaron Carlson"/>
    <s v="West"/>
    <s v="Technology"/>
    <s v="600 Series Non-Flip"/>
    <x v="1"/>
    <n v="1724.97"/>
    <n v="10"/>
    <s v="Net Banking"/>
    <n v="6209.89"/>
  </r>
  <r>
    <s v="ORD1896"/>
    <d v="2024-01-19T00:00:00"/>
    <s v="Theresa Torres"/>
    <s v="West"/>
    <s v="Office Supplies"/>
    <s v="GBC Prepunched Paper, 19-Hole, for Binding Systems, 24-lb"/>
    <x v="1"/>
    <n v="412.74"/>
    <n v="10"/>
    <s v="UPI"/>
    <n v="1485.86"/>
  </r>
  <r>
    <s v="ORD1897"/>
    <d v="2025-05-19T00:00:00"/>
    <s v="Stephanie Cooper"/>
    <s v="North"/>
    <s v="Technology"/>
    <s v="Keytronic Designer 104- Key Black Keyboard"/>
    <x v="3"/>
    <n v="1126.54"/>
    <n v="5"/>
    <s v="Net Banking"/>
    <n v="5351.06"/>
  </r>
  <r>
    <s v="ORD1898"/>
    <d v="2024-07-03T00:00:00"/>
    <s v="Matthew Hunt"/>
    <s v="South"/>
    <s v="Office Supplies"/>
    <s v="Recycled Eldon Regeneration Jumbo File"/>
    <x v="2"/>
    <n v="860.81"/>
    <n v="5"/>
    <s v="Net Banking"/>
    <n v="6542.16"/>
  </r>
  <r>
    <s v="ORD1899"/>
    <d v="2024-06-09T00:00:00"/>
    <s v="Daniel Davenport"/>
    <s v="West"/>
    <s v="Technology"/>
    <s v="Panasonic KX-P2130 Dot Matrix Printer"/>
    <x v="3"/>
    <n v="1453.32"/>
    <n v="15"/>
    <s v="Cash"/>
    <n v="6176.61"/>
  </r>
  <r>
    <s v="ORD1900"/>
    <d v="2025-07-14T00:00:00"/>
    <s v="Christopher Marsh"/>
    <s v="East"/>
    <s v="Office Supplies"/>
    <s v="Xerox 1882"/>
    <x v="2"/>
    <n v="773.77"/>
    <n v="10"/>
    <s v="Cash"/>
    <n v="5571.14"/>
  </r>
  <r>
    <s v="ORD1901"/>
    <d v="2025-03-31T00:00:00"/>
    <s v="Sarah Randolph"/>
    <s v="East"/>
    <s v="Office Supplies"/>
    <s v="Letter/Legal File Tote with Clear Snap-On Lid, Black Granite"/>
    <x v="7"/>
    <n v="1746.04"/>
    <n v="10"/>
    <s v="Credit Card"/>
    <n v="1571.44"/>
  </r>
  <r>
    <s v="ORD1902"/>
    <d v="2024-11-07T00:00:00"/>
    <s v="Julia Dunn MD"/>
    <s v="East"/>
    <s v="Furniture"/>
    <s v="Hon 2111 Invitation™ Series Corner Table"/>
    <x v="8"/>
    <n v="1474.47"/>
    <n v="0"/>
    <s v="Cash"/>
    <n v="13270.23"/>
  </r>
  <r>
    <s v="ORD1903"/>
    <d v="2025-02-02T00:00:00"/>
    <s v="Brett Swanson"/>
    <s v="North"/>
    <s v="Office Supplies"/>
    <s v="Trav-L-File Heavy-Duty Shuttle II, Black"/>
    <x v="5"/>
    <n v="1313.04"/>
    <n v="20"/>
    <s v="Cash"/>
    <n v="6302.59"/>
  </r>
  <r>
    <s v="ORD1904"/>
    <d v="2023-08-27T00:00:00"/>
    <s v="Mr. Carl Rios"/>
    <s v="West"/>
    <s v="Furniture"/>
    <s v="6&quot; Cubicle Wall Clock, Black"/>
    <x v="4"/>
    <n v="1602.67"/>
    <n v="20"/>
    <s v="UPI"/>
    <n v="3846.41"/>
  </r>
  <r>
    <s v="ORD1905"/>
    <d v="2025-06-07T00:00:00"/>
    <s v="Manuel Mccullough"/>
    <s v="East"/>
    <s v="Office Supplies"/>
    <s v="BOSTON® Ranger® #55 Pencil Sharpener, Black"/>
    <x v="2"/>
    <n v="1520.34"/>
    <n v="0"/>
    <s v="Credit Card"/>
    <n v="12162.72"/>
  </r>
  <r>
    <s v="ORD1906"/>
    <d v="2025-06-26T00:00:00"/>
    <s v="Jerry Jensen"/>
    <s v="North"/>
    <s v="Technology"/>
    <s v="Imation 3.5&quot; IBM-Formatted Diskettes, 10/Pack"/>
    <x v="8"/>
    <n v="120.08"/>
    <n v="20"/>
    <s v="Cash"/>
    <n v="864.58"/>
  </r>
  <r>
    <s v="ORD1907"/>
    <d v="2025-03-28T00:00:00"/>
    <s v="Kevin Cunningham"/>
    <s v="North"/>
    <s v="Technology"/>
    <s v="Hewlett-Packard Deskjet 3820 Color Inkjet Printer"/>
    <x v="5"/>
    <n v="819.73"/>
    <n v="5"/>
    <s v="Cash"/>
    <n v="4672.46"/>
  </r>
  <r>
    <s v="ORD1908"/>
    <d v="2024-11-01T00:00:00"/>
    <s v="Eugene Patterson"/>
    <s v="West"/>
    <s v="Technology"/>
    <s v="Hewlett-Packard Deskjet 5550 Color Inkjet Printer"/>
    <x v="0"/>
    <n v="1865.07"/>
    <n v="20"/>
    <s v="Net Banking"/>
    <n v="10444.39"/>
  </r>
  <r>
    <s v="ORD1909"/>
    <d v="2024-06-02T00:00:00"/>
    <s v="David Walker"/>
    <s v="East"/>
    <s v="Office Supplies"/>
    <s v="Newell 336"/>
    <x v="7"/>
    <n v="295.16000000000003"/>
    <n v="20"/>
    <s v="Credit Card"/>
    <n v="236.13"/>
  </r>
  <r>
    <s v="ORD1910"/>
    <d v="2024-08-16T00:00:00"/>
    <s v="Jessica Larsen"/>
    <s v="South"/>
    <s v="Furniture"/>
    <s v="3M Polarizing Task Lamp with Clamp Arm, Light Gray"/>
    <x v="3"/>
    <n v="1487.34"/>
    <n v="0"/>
    <s v="Credit Card"/>
    <n v="7436.7"/>
  </r>
  <r>
    <s v="ORD1911"/>
    <d v="2023-08-16T00:00:00"/>
    <s v="Nicholas Humphrey"/>
    <s v="East"/>
    <s v="Office Supplies"/>
    <s v="Eaton Premium Continuous-Feed Paper, 25% Cotton, Letter Size, White, 1000 Shts/Box"/>
    <x v="3"/>
    <n v="1950.45"/>
    <n v="15"/>
    <s v="Credit Card"/>
    <n v="8289.41"/>
  </r>
  <r>
    <s v="ORD1912"/>
    <d v="2024-05-11T00:00:00"/>
    <s v="Ian Torres"/>
    <s v="South"/>
    <s v="Furniture"/>
    <s v="Tenex Contemporary Contur Chairmats for Low and Medium Pile Carpet, Computer, 39&quot; x 49&quot;"/>
    <x v="1"/>
    <n v="151.79"/>
    <n v="20"/>
    <s v="Net Banking"/>
    <n v="485.73"/>
  </r>
  <r>
    <s v="ORD1913"/>
    <d v="2024-03-30T00:00:00"/>
    <s v="Casey Obrien"/>
    <s v="South"/>
    <s v="Office Supplies"/>
    <s v="Acco® Hot Clips™ Clips to Go"/>
    <x v="5"/>
    <n v="1380.28"/>
    <n v="20"/>
    <s v="Credit Card"/>
    <n v="6625.34"/>
  </r>
  <r>
    <s v="ORD1914"/>
    <d v="2025-03-19T00:00:00"/>
    <s v="Shannon Taylor"/>
    <s v="East"/>
    <s v="Office Supplies"/>
    <s v="Bionaire Personal Warm Mist Humidifier/Vaporizer"/>
    <x v="0"/>
    <n v="962.9"/>
    <n v="15"/>
    <s v="Credit Card"/>
    <n v="5729.26"/>
  </r>
  <r>
    <s v="ORD1915"/>
    <d v="2024-06-09T00:00:00"/>
    <s v="Deborah Mercado"/>
    <s v="South"/>
    <s v="Office Supplies"/>
    <s v="Acme® 8&quot; Straight Scissors"/>
    <x v="8"/>
    <n v="1179.3900000000001"/>
    <n v="0"/>
    <s v="Net Banking"/>
    <n v="10614.51"/>
  </r>
  <r>
    <s v="ORD1916"/>
    <d v="2025-06-04T00:00:00"/>
    <s v="Bernard Smith"/>
    <s v="North"/>
    <s v="Office Supplies"/>
    <s v="Belkin Premiere Surge Master II 8-outlet surge protector"/>
    <x v="7"/>
    <n v="216.42"/>
    <n v="15"/>
    <s v="Credit Card"/>
    <n v="183.96"/>
  </r>
  <r>
    <s v="ORD1917"/>
    <d v="2025-07-04T00:00:00"/>
    <s v="Amanda Perkins"/>
    <s v="North"/>
    <s v="Technology"/>
    <s v="Sony MFD2HD Formatted Diskettes, 10/Pack"/>
    <x v="5"/>
    <n v="133.86000000000001"/>
    <n v="0"/>
    <s v="Credit Card"/>
    <n v="803.16"/>
  </r>
  <r>
    <s v="ORD1918"/>
    <d v="2025-05-22T00:00:00"/>
    <s v="Kevin Escobar"/>
    <s v="East"/>
    <s v="Office Supplies"/>
    <s v="Avery 485"/>
    <x v="0"/>
    <n v="1350.39"/>
    <n v="5"/>
    <s v="UPI"/>
    <n v="8980.09"/>
  </r>
  <r>
    <s v="ORD1919"/>
    <d v="2024-07-02T00:00:00"/>
    <s v="Kimberly Lutz"/>
    <s v="West"/>
    <s v="Technology"/>
    <s v="i270"/>
    <x v="4"/>
    <n v="1655.45"/>
    <n v="0"/>
    <s v="Cash"/>
    <n v="4966.3500000000004"/>
  </r>
  <r>
    <s v="ORD1920"/>
    <d v="2024-10-03T00:00:00"/>
    <s v="Reginald Diaz"/>
    <s v="North"/>
    <s v="Office Supplies"/>
    <s v="Tennsco Regal Shelving Units"/>
    <x v="2"/>
    <n v="1574.93"/>
    <n v="5"/>
    <s v="Credit Card"/>
    <n v="11969.47"/>
  </r>
  <r>
    <s v="ORD1921"/>
    <d v="2025-03-14T00:00:00"/>
    <s v="Raymond Quinn"/>
    <s v="East"/>
    <s v="Technology"/>
    <s v="T60"/>
    <x v="3"/>
    <n v="1110.42"/>
    <n v="5"/>
    <s v="Net Banking"/>
    <n v="5274.5"/>
  </r>
  <r>
    <s v="ORD1922"/>
    <d v="2025-03-04T00:00:00"/>
    <s v="John Dixon"/>
    <s v="South"/>
    <s v="Office Supplies"/>
    <s v="Telephone Message Books with Fax/Mobile Section, 4 1/4&quot; x 6&quot;"/>
    <x v="8"/>
    <n v="244.74"/>
    <n v="0"/>
    <s v="UPI"/>
    <n v="2202.66"/>
  </r>
  <r>
    <s v="ORD1923"/>
    <d v="2024-10-09T00:00:00"/>
    <s v="Jonathan Bates"/>
    <s v="North"/>
    <s v="Technology"/>
    <s v="Imation DVD-RAM discs"/>
    <x v="3"/>
    <n v="1391.69"/>
    <n v="10"/>
    <s v="Cash"/>
    <n v="6262.6"/>
  </r>
  <r>
    <s v="ORD1924"/>
    <d v="2025-04-24T00:00:00"/>
    <s v="Renee Mendez"/>
    <s v="East"/>
    <s v="Office Supplies"/>
    <s v="Letter Size Cart"/>
    <x v="8"/>
    <n v="521.67999999999995"/>
    <n v="0"/>
    <s v="Cash"/>
    <n v="4695.12"/>
  </r>
  <r>
    <s v="ORD1925"/>
    <d v="2024-11-22T00:00:00"/>
    <s v="Jose Griffin"/>
    <s v="East"/>
    <s v="Office Supplies"/>
    <s v="Avery 491"/>
    <x v="1"/>
    <n v="1826.58"/>
    <n v="20"/>
    <s v="UPI"/>
    <n v="5845.06"/>
  </r>
  <r>
    <s v="ORD1926"/>
    <d v="2025-07-09T00:00:00"/>
    <s v="Travis Hopkins"/>
    <s v="West"/>
    <s v="Office Supplies"/>
    <s v="GBC DocuBind TL200 Manual Binding Machine"/>
    <x v="8"/>
    <n v="1684.62"/>
    <n v="20"/>
    <s v="Net Banking"/>
    <n v="12129.26"/>
  </r>
  <r>
    <s v="ORD1927"/>
    <d v="2024-01-30T00:00:00"/>
    <s v="Nancy Webb"/>
    <s v="South"/>
    <s v="Furniture"/>
    <s v="Global Commerce™ Series High-Back Swivel/Tilt Chairs"/>
    <x v="3"/>
    <n v="1433.3"/>
    <n v="10"/>
    <s v="Cash"/>
    <n v="6449.85"/>
  </r>
  <r>
    <s v="ORD1928"/>
    <d v="2024-08-25T00:00:00"/>
    <s v="Daniel Freeman"/>
    <s v="South"/>
    <s v="Office Supplies"/>
    <s v="Xerox 194"/>
    <x v="8"/>
    <n v="1900.25"/>
    <n v="5"/>
    <s v="Cash"/>
    <n v="16247.14"/>
  </r>
  <r>
    <s v="ORD1929"/>
    <d v="2024-01-29T00:00:00"/>
    <s v="Jacob Williams"/>
    <s v="South"/>
    <s v="Furniture"/>
    <s v="DAX Wood Document Frame."/>
    <x v="4"/>
    <n v="111.27"/>
    <n v="10"/>
    <s v="Cash"/>
    <n v="300.43"/>
  </r>
  <r>
    <s v="ORD1930"/>
    <d v="2024-03-10T00:00:00"/>
    <s v="Terry Ward"/>
    <s v="East"/>
    <s v="Office Supplies"/>
    <s v="Staples Colored Interoffice Envelopes"/>
    <x v="1"/>
    <n v="1485.59"/>
    <n v="20"/>
    <s v="Credit Card"/>
    <n v="4753.8900000000003"/>
  </r>
  <r>
    <s v="ORD1931"/>
    <d v="2024-07-15T00:00:00"/>
    <s v="Jesse Williams"/>
    <s v="East"/>
    <s v="Furniture"/>
    <s v="Electrix Fluorescent Magnifier Lamps &amp; Weighted Base"/>
    <x v="8"/>
    <n v="693.97"/>
    <n v="10"/>
    <s v="Credit Card"/>
    <n v="5621.16"/>
  </r>
  <r>
    <s v="ORD1932"/>
    <d v="2024-08-23T00:00:00"/>
    <s v="Mrs. Michele Boyd"/>
    <s v="South"/>
    <s v="Furniture"/>
    <s v="Eldon® 200 Class™ Desk Accessories"/>
    <x v="5"/>
    <n v="1816.83"/>
    <n v="0"/>
    <s v="UPI"/>
    <n v="10900.98"/>
  </r>
  <r>
    <s v="ORD1933"/>
    <d v="2023-09-03T00:00:00"/>
    <s v="Sandy Baker"/>
    <s v="East"/>
    <s v="Office Supplies"/>
    <s v="Staples Copy Paper (20Lb. and 84 Bright)"/>
    <x v="6"/>
    <n v="570.02"/>
    <n v="10"/>
    <s v="UPI"/>
    <n v="1026.04"/>
  </r>
  <r>
    <s v="ORD1934"/>
    <d v="2024-06-09T00:00:00"/>
    <s v="Carrie Valdez"/>
    <s v="West"/>
    <s v="Furniture"/>
    <s v="Eldon® 200 Class™ Desk Accessories"/>
    <x v="0"/>
    <n v="1463.47"/>
    <n v="5"/>
    <s v="Net Banking"/>
    <n v="9732.08"/>
  </r>
  <r>
    <s v="ORD1935"/>
    <d v="2024-04-29T00:00:00"/>
    <s v="Matthew Houston"/>
    <s v="East"/>
    <s v="Office Supplies"/>
    <s v="Staples Copy Paper (20Lb. and 84 Bright)"/>
    <x v="6"/>
    <n v="1761.41"/>
    <n v="0"/>
    <s v="Net Banking"/>
    <n v="3522.82"/>
  </r>
  <r>
    <s v="ORD1936"/>
    <d v="2025-01-12T00:00:00"/>
    <s v="Jamie Solomon"/>
    <s v="East"/>
    <s v="Furniture"/>
    <s v="Eldon® Wave Desk Accessories"/>
    <x v="6"/>
    <n v="131.22999999999999"/>
    <n v="15"/>
    <s v="UPI"/>
    <n v="223.09"/>
  </r>
  <r>
    <s v="ORD1937"/>
    <d v="2025-01-20T00:00:00"/>
    <s v="Heather Parrish"/>
    <s v="North"/>
    <s v="Office Supplies"/>
    <s v="Tennsco Industrial Shelving"/>
    <x v="7"/>
    <n v="825.41"/>
    <n v="20"/>
    <s v="Net Banking"/>
    <n v="660.33"/>
  </r>
  <r>
    <s v="ORD1938"/>
    <d v="2025-04-22T00:00:00"/>
    <s v="Mr. Larry Shaw"/>
    <s v="West"/>
    <s v="Technology"/>
    <s v="636"/>
    <x v="4"/>
    <n v="1536.5"/>
    <n v="20"/>
    <s v="Cash"/>
    <n v="3687.6"/>
  </r>
  <r>
    <s v="ORD1939"/>
    <d v="2024-06-21T00:00:00"/>
    <s v="Christopher Jones"/>
    <s v="North"/>
    <s v="Office Supplies"/>
    <s v="Fellowes Stor/Drawer® Steel Plus™ Storage Drawers"/>
    <x v="5"/>
    <n v="937.09"/>
    <n v="10"/>
    <s v="Cash"/>
    <n v="5060.29"/>
  </r>
  <r>
    <s v="ORD1940"/>
    <d v="2025-02-24T00:00:00"/>
    <s v="Christine Lopez"/>
    <s v="South"/>
    <s v="Office Supplies"/>
    <s v="Acme Design Line 8&quot; Stainless Steel Bent Scissors w/Champagne Handles, 3-1/8&quot; Cut"/>
    <x v="2"/>
    <n v="571.14"/>
    <n v="0"/>
    <s v="Net Banking"/>
    <n v="4569.12"/>
  </r>
  <r>
    <s v="ORD1941"/>
    <d v="2023-12-18T00:00:00"/>
    <s v="Mitchell Wilson"/>
    <s v="South"/>
    <s v="Office Supplies"/>
    <s v="IBM Multi-Purpose Copy Paper, 8 1/2 x 11&quot;, Case"/>
    <x v="8"/>
    <n v="478.62"/>
    <n v="15"/>
    <s v="Net Banking"/>
    <n v="3661.44"/>
  </r>
  <r>
    <s v="ORD1942"/>
    <d v="2025-05-25T00:00:00"/>
    <s v="Robert Cortez"/>
    <s v="West"/>
    <s v="Office Supplies"/>
    <s v="#10 White Business Envelopes,4 1/8 x 9 1/2"/>
    <x v="0"/>
    <n v="306.45999999999998"/>
    <n v="0"/>
    <s v="UPI"/>
    <n v="2145.2199999999998"/>
  </r>
  <r>
    <s v="ORD1943"/>
    <d v="2024-08-09T00:00:00"/>
    <s v="Mr. Daniel Martin"/>
    <s v="East"/>
    <s v="Office Supplies"/>
    <s v="Fellowes Personal Hanging Folder Files, Navy"/>
    <x v="1"/>
    <n v="1721.4"/>
    <n v="20"/>
    <s v="UPI"/>
    <n v="5508.48"/>
  </r>
  <r>
    <s v="ORD1944"/>
    <d v="2025-07-26T00:00:00"/>
    <s v="Alison Williams"/>
    <s v="North"/>
    <s v="Office Supplies"/>
    <s v="Ibico Presentation Index for Binding Systems"/>
    <x v="5"/>
    <n v="1171.94"/>
    <n v="0"/>
    <s v="Net Banking"/>
    <n v="7031.64"/>
  </r>
  <r>
    <s v="ORD1945"/>
    <d v="2023-11-19T00:00:00"/>
    <s v="Candace Soto"/>
    <s v="West"/>
    <s v="Office Supplies"/>
    <s v="Xerox 207"/>
    <x v="3"/>
    <n v="198.95"/>
    <n v="15"/>
    <s v="Cash"/>
    <n v="845.54"/>
  </r>
  <r>
    <s v="ORD1946"/>
    <d v="2024-12-07T00:00:00"/>
    <s v="Kenneth Brown"/>
    <s v="North"/>
    <s v="Office Supplies"/>
    <s v="Holmes Replacement Filter for HEPA Air Cleaner, Large Room"/>
    <x v="2"/>
    <n v="796.03"/>
    <n v="10"/>
    <s v="Credit Card"/>
    <n v="5731.42"/>
  </r>
  <r>
    <s v="ORD1947"/>
    <d v="2024-09-29T00:00:00"/>
    <s v="Christopher Mullen"/>
    <s v="East"/>
    <s v="Office Supplies"/>
    <s v="Important Message Pads, 50 4-1/4 x 5-1/2 Forms per Pad"/>
    <x v="7"/>
    <n v="767.08"/>
    <n v="5"/>
    <s v="Net Banking"/>
    <n v="728.73"/>
  </r>
  <r>
    <s v="ORD1948"/>
    <d v="2023-09-01T00:00:00"/>
    <s v="Kristy Smith"/>
    <s v="North"/>
    <s v="Office Supplies"/>
    <s v="Staples Standard Envelopes"/>
    <x v="7"/>
    <n v="404.39"/>
    <n v="0"/>
    <s v="UPI"/>
    <n v="404.39"/>
  </r>
  <r>
    <s v="ORD1949"/>
    <d v="2025-07-16T00:00:00"/>
    <s v="Mary Campbell"/>
    <s v="West"/>
    <s v="Technology"/>
    <s v="6185"/>
    <x v="5"/>
    <n v="899.24"/>
    <n v="5"/>
    <s v="UPI"/>
    <n v="5125.67"/>
  </r>
  <r>
    <s v="ORD1950"/>
    <d v="2024-06-13T00:00:00"/>
    <s v="Jerry Haney"/>
    <s v="East"/>
    <s v="Office Supplies"/>
    <s v="Avery Premier Heavy-Duty Binder with Round Locking Rings"/>
    <x v="6"/>
    <n v="697.59"/>
    <n v="20"/>
    <s v="Net Banking"/>
    <n v="1116.1400000000001"/>
  </r>
  <r>
    <s v="ORD1951"/>
    <d v="2024-11-13T00:00:00"/>
    <s v="Carolyn Greer"/>
    <s v="East"/>
    <s v="Office Supplies"/>
    <s v="Fellowes Stor/Drawer® Steel Plus™ Storage Drawers"/>
    <x v="3"/>
    <n v="716.52"/>
    <n v="10"/>
    <s v="UPI"/>
    <n v="3224.34"/>
  </r>
  <r>
    <s v="ORD1952"/>
    <d v="2024-10-23T00:00:00"/>
    <s v="Rebecca Hoover"/>
    <s v="West"/>
    <s v="Furniture"/>
    <s v="Master Giant Foot® Doorstop, Safety Yellow"/>
    <x v="7"/>
    <n v="1491.1"/>
    <n v="10"/>
    <s v="Cash"/>
    <n v="1341.99"/>
  </r>
  <r>
    <s v="ORD1953"/>
    <d v="2025-01-07T00:00:00"/>
    <s v="Matthew Baker"/>
    <s v="East"/>
    <s v="Office Supplies"/>
    <s v="Hunt BOSTON® Vista® Battery-Operated Pencil Sharpener, Black"/>
    <x v="0"/>
    <n v="485.36"/>
    <n v="0"/>
    <s v="UPI"/>
    <n v="3397.52"/>
  </r>
  <r>
    <s v="ORD1954"/>
    <d v="2023-09-02T00:00:00"/>
    <s v="Grace Chavez"/>
    <s v="North"/>
    <s v="Technology"/>
    <s v="TI 36X Solar Scientific Calculator"/>
    <x v="7"/>
    <n v="1301.6300000000001"/>
    <n v="10"/>
    <s v="Credit Card"/>
    <n v="1171.47"/>
  </r>
  <r>
    <s v="ORD1955"/>
    <d v="2023-10-16T00:00:00"/>
    <s v="Crystal Cruz"/>
    <s v="South"/>
    <s v="Furniture"/>
    <s v="Global Leather and Oak Executive Chair, Black"/>
    <x v="1"/>
    <n v="1162.77"/>
    <n v="0"/>
    <s v="Credit Card"/>
    <n v="4651.08"/>
  </r>
  <r>
    <s v="ORD1956"/>
    <d v="2024-12-23T00:00:00"/>
    <s v="Dale Heath"/>
    <s v="West"/>
    <s v="Technology"/>
    <s v="Maxell DVD-RAM Discs"/>
    <x v="8"/>
    <n v="1157.78"/>
    <n v="0"/>
    <s v="Cash"/>
    <n v="10420.02"/>
  </r>
  <r>
    <s v="ORD1957"/>
    <d v="2024-07-09T00:00:00"/>
    <s v="Jennifer Hernandez"/>
    <s v="North"/>
    <s v="Office Supplies"/>
    <s v="Eldon Simplefile® Box Office®"/>
    <x v="7"/>
    <n v="1342.86"/>
    <n v="5"/>
    <s v="UPI"/>
    <n v="1275.72"/>
  </r>
  <r>
    <s v="ORD1958"/>
    <d v="2023-11-25T00:00:00"/>
    <s v="John Mendez"/>
    <s v="East"/>
    <s v="Technology"/>
    <s v="US Robotics 56K V.92 Internal PCI Faxmodem"/>
    <x v="1"/>
    <n v="1119.3399999999999"/>
    <n v="10"/>
    <s v="UPI"/>
    <n v="4029.62"/>
  </r>
  <r>
    <s v="ORD1959"/>
    <d v="2025-06-15T00:00:00"/>
    <s v="Richard Gordon"/>
    <s v="South"/>
    <s v="Office Supplies"/>
    <s v="Xerox 1923"/>
    <x v="5"/>
    <n v="1764.55"/>
    <n v="0"/>
    <s v="Net Banking"/>
    <n v="10587.3"/>
  </r>
  <r>
    <s v="ORD1960"/>
    <d v="2024-08-04T00:00:00"/>
    <s v="John Anderson"/>
    <s v="North"/>
    <s v="Office Supplies"/>
    <s v="Portfile® Personal File Boxes"/>
    <x v="5"/>
    <n v="1367.38"/>
    <n v="5"/>
    <s v="Credit Card"/>
    <n v="7794.07"/>
  </r>
  <r>
    <s v="ORD1961"/>
    <d v="2023-12-31T00:00:00"/>
    <s v="Samantha Prince"/>
    <s v="West"/>
    <s v="Office Supplies"/>
    <s v="Eldon Simplefile® Box Office®"/>
    <x v="2"/>
    <n v="1116.58"/>
    <n v="15"/>
    <s v="Net Banking"/>
    <n v="7592.74"/>
  </r>
  <r>
    <s v="ORD1962"/>
    <d v="2023-09-20T00:00:00"/>
    <s v="Marie Boyd"/>
    <s v="East"/>
    <s v="Technology"/>
    <s v="Accessory35"/>
    <x v="7"/>
    <n v="1668.04"/>
    <n v="5"/>
    <s v="Net Banking"/>
    <n v="1584.64"/>
  </r>
  <r>
    <s v="ORD1963"/>
    <d v="2024-03-01T00:00:00"/>
    <s v="Andrew Moreno"/>
    <s v="West"/>
    <s v="Office Supplies"/>
    <s v="Super Decoflex Portable Personal File"/>
    <x v="0"/>
    <n v="1231.99"/>
    <n v="5"/>
    <s v="UPI"/>
    <n v="8192.73"/>
  </r>
  <r>
    <s v="ORD1964"/>
    <d v="2024-06-01T00:00:00"/>
    <s v="Robert Clarke"/>
    <s v="North"/>
    <s v="Office Supplies"/>
    <s v="Eaton Premium Continuous-Feed Paper, 25% Cotton, Letter Size, White, 1000 Shts/Box"/>
    <x v="7"/>
    <n v="617.73"/>
    <n v="0"/>
    <s v="Credit Card"/>
    <n v="617.73"/>
  </r>
  <r>
    <s v="ORD1965"/>
    <d v="2024-04-22T00:00:00"/>
    <s v="Kevin Figueroa"/>
    <s v="South"/>
    <s v="Technology"/>
    <s v="StarTAC 7760"/>
    <x v="0"/>
    <n v="453.84"/>
    <n v="20"/>
    <s v="Net Banking"/>
    <n v="2541.5"/>
  </r>
  <r>
    <s v="ORD1966"/>
    <d v="2024-01-23T00:00:00"/>
    <s v="Melissa Davis"/>
    <s v="North"/>
    <s v="Office Supplies"/>
    <s v="Euro Pro Shark Stick Mini Vacuum"/>
    <x v="4"/>
    <n v="347.04"/>
    <n v="20"/>
    <s v="UPI"/>
    <n v="832.9"/>
  </r>
  <r>
    <s v="ORD1967"/>
    <d v="2024-07-30T00:00:00"/>
    <s v="John Hall"/>
    <s v="North"/>
    <s v="Office Supplies"/>
    <s v="Fellowes PB500 Electric Punch Plastic Comb Binding Machine with Manual Bind"/>
    <x v="2"/>
    <n v="1803.94"/>
    <n v="20"/>
    <s v="Cash"/>
    <n v="11545.22"/>
  </r>
  <r>
    <s v="ORD1968"/>
    <d v="2024-04-21T00:00:00"/>
    <s v="Diane Mcdowell"/>
    <s v="East"/>
    <s v="Office Supplies"/>
    <s v="Xerox 197"/>
    <x v="4"/>
    <n v="1434.76"/>
    <n v="5"/>
    <s v="Credit Card"/>
    <n v="4089.07"/>
  </r>
  <r>
    <s v="ORD1969"/>
    <d v="2024-04-30T00:00:00"/>
    <s v="Colin Fletcher"/>
    <s v="West"/>
    <s v="Office Supplies"/>
    <s v="Euro Pro Shark Stick Mini Vacuum"/>
    <x v="7"/>
    <n v="1877.89"/>
    <n v="0"/>
    <s v="UPI"/>
    <n v="1877.89"/>
  </r>
  <r>
    <s v="ORD1970"/>
    <d v="2025-03-25T00:00:00"/>
    <s v="Laura Wilson"/>
    <s v="North"/>
    <s v="Office Supplies"/>
    <s v="Fellowes PB500 Electric Punch Plastic Comb Binding Machine with Manual Bind"/>
    <x v="2"/>
    <n v="1226.42"/>
    <n v="10"/>
    <s v="Cash"/>
    <n v="8830.2199999999993"/>
  </r>
  <r>
    <s v="ORD1971"/>
    <d v="2025-06-25T00:00:00"/>
    <s v="Matthew Watts"/>
    <s v="North"/>
    <s v="Technology"/>
    <s v="StarTAC 8000"/>
    <x v="4"/>
    <n v="973.13"/>
    <n v="5"/>
    <s v="Net Banking"/>
    <n v="2773.42"/>
  </r>
  <r>
    <s v="ORD1972"/>
    <d v="2024-06-01T00:00:00"/>
    <s v="Jack Moore"/>
    <s v="South"/>
    <s v="Office Supplies"/>
    <s v="Xerox 197"/>
    <x v="6"/>
    <n v="166.45"/>
    <n v="5"/>
    <s v="Net Banking"/>
    <n v="316.25"/>
  </r>
  <r>
    <s v="ORD1973"/>
    <d v="2024-03-15T00:00:00"/>
    <s v="Dawn Wyatt"/>
    <s v="South"/>
    <s v="Furniture"/>
    <s v="Advantus Employee of the Month Certificate Frame, 11 x 13-1/2"/>
    <x v="7"/>
    <n v="1359.7"/>
    <n v="0"/>
    <s v="Net Banking"/>
    <n v="1359.7"/>
  </r>
  <r>
    <s v="ORD1974"/>
    <d v="2025-03-18T00:00:00"/>
    <s v="Jacob Hill"/>
    <s v="West"/>
    <s v="Office Supplies"/>
    <s v="Newell 308"/>
    <x v="4"/>
    <n v="1185.31"/>
    <n v="15"/>
    <s v="Cash"/>
    <n v="3022.54"/>
  </r>
  <r>
    <s v="ORD1975"/>
    <d v="2025-05-19T00:00:00"/>
    <s v="Nicole Gutierrez"/>
    <s v="West"/>
    <s v="Technology"/>
    <s v="5165"/>
    <x v="6"/>
    <n v="1980.91"/>
    <n v="5"/>
    <s v="Cash"/>
    <n v="3763.73"/>
  </r>
  <r>
    <s v="ORD1976"/>
    <d v="2024-07-04T00:00:00"/>
    <s v="Karen Wood"/>
    <s v="East"/>
    <s v="Office Supplies"/>
    <s v="Xerox 1880"/>
    <x v="6"/>
    <n v="516.36"/>
    <n v="15"/>
    <s v="Net Banking"/>
    <n v="877.81"/>
  </r>
  <r>
    <s v="ORD1977"/>
    <d v="2024-02-23T00:00:00"/>
    <s v="Dawn Parker"/>
    <s v="West"/>
    <s v="Furniture"/>
    <s v="SAFCO PlanMaster Heigh-Adjustable Drafting Table Base, 43w x 30d x 30-37h, Black"/>
    <x v="5"/>
    <n v="1084.94"/>
    <n v="15"/>
    <s v="Net Banking"/>
    <n v="5533.19"/>
  </r>
  <r>
    <s v="ORD1978"/>
    <d v="2025-05-21T00:00:00"/>
    <s v="Michael Fitzgerald"/>
    <s v="South"/>
    <s v="Technology"/>
    <s v="Accessory28"/>
    <x v="7"/>
    <n v="1319.37"/>
    <n v="20"/>
    <s v="Cash"/>
    <n v="1055.5"/>
  </r>
  <r>
    <s v="ORD1979"/>
    <d v="2023-10-14T00:00:00"/>
    <s v="Mary Adkins"/>
    <s v="West"/>
    <s v="Office Supplies"/>
    <s v="Avery 05222 Permanent Self-Adhesive File Folder Labels for Typewriters, on Rolls, White, 250/Roll"/>
    <x v="6"/>
    <n v="1306.95"/>
    <n v="0"/>
    <s v="UPI"/>
    <n v="2613.9"/>
  </r>
  <r>
    <s v="ORD1980"/>
    <d v="2024-08-11T00:00:00"/>
    <s v="Michael Martin"/>
    <s v="North"/>
    <s v="Furniture"/>
    <s v="Tenex Traditional Chairmats for Medium Pile Carpet, Standard Lip, 36&quot; x 48&quot;"/>
    <x v="5"/>
    <n v="1144.52"/>
    <n v="15"/>
    <s v="Credit Card"/>
    <n v="5837.05"/>
  </r>
  <r>
    <s v="ORD1981"/>
    <d v="2023-08-27T00:00:00"/>
    <s v="James Morgan"/>
    <s v="West"/>
    <s v="Furniture"/>
    <s v="Bevis 36 x 72 Conference Tables"/>
    <x v="4"/>
    <n v="1565.01"/>
    <n v="0"/>
    <s v="Net Banking"/>
    <n v="4695.03"/>
  </r>
  <r>
    <s v="ORD1982"/>
    <d v="2025-03-15T00:00:00"/>
    <s v="Melissa Mann"/>
    <s v="West"/>
    <s v="Technology"/>
    <s v="Accessory17"/>
    <x v="1"/>
    <n v="449.71"/>
    <n v="20"/>
    <s v="Cash"/>
    <n v="1439.07"/>
  </r>
  <r>
    <s v="ORD1983"/>
    <d v="2024-10-03T00:00:00"/>
    <s v="Vincent Smith"/>
    <s v="East"/>
    <s v="Furniture"/>
    <s v="Bevis 36 x 72 Conference Tables"/>
    <x v="7"/>
    <n v="1464.97"/>
    <n v="0"/>
    <s v="UPI"/>
    <n v="1464.97"/>
  </r>
  <r>
    <s v="ORD1984"/>
    <d v="2023-09-21T00:00:00"/>
    <s v="Charles Frost"/>
    <s v="North"/>
    <s v="Office Supplies"/>
    <s v="Avery 05222 Permanent Self-Adhesive File Folder Labels for Typewriters, on Rolls, White, 250/Roll"/>
    <x v="2"/>
    <n v="1258.48"/>
    <n v="5"/>
    <s v="UPI"/>
    <n v="9564.4500000000007"/>
  </r>
  <r>
    <s v="ORD1985"/>
    <d v="2024-05-09T00:00:00"/>
    <s v="Austin Walker"/>
    <s v="East"/>
    <s v="Furniture"/>
    <s v="Tenex Traditional Chairmats for Medium Pile Carpet, Standard Lip, 36&quot; x 48&quot;"/>
    <x v="0"/>
    <n v="1797.35"/>
    <n v="15"/>
    <s v="UPI"/>
    <n v="10694.23"/>
  </r>
  <r>
    <s v="ORD1986"/>
    <d v="2024-02-02T00:00:00"/>
    <s v="Andrew Cruz"/>
    <s v="South"/>
    <s v="Technology"/>
    <s v="Hewlett-Packard 4.7GB DVD+R Discs"/>
    <x v="0"/>
    <n v="1702.03"/>
    <n v="0"/>
    <s v="Net Banking"/>
    <n v="11914.21"/>
  </r>
  <r>
    <s v="ORD1987"/>
    <d v="2024-12-28T00:00:00"/>
    <s v="Miss Kelly Dawson"/>
    <s v="West"/>
    <s v="Technology"/>
    <s v="AT&amp;T Black Trimline Phone, Model 210"/>
    <x v="4"/>
    <n v="664.54"/>
    <n v="10"/>
    <s v="Cash"/>
    <n v="1794.26"/>
  </r>
  <r>
    <s v="ORD1988"/>
    <d v="2023-10-04T00:00:00"/>
    <s v="Theresa Wilkins"/>
    <s v="West"/>
    <s v="Technology"/>
    <s v="600 Series Flip"/>
    <x v="4"/>
    <n v="588.66"/>
    <n v="0"/>
    <s v="Credit Card"/>
    <n v="1765.98"/>
  </r>
  <r>
    <s v="ORD1989"/>
    <d v="2025-04-09T00:00:00"/>
    <s v="Jessica Harris"/>
    <s v="South"/>
    <s v="Technology"/>
    <s v="8890"/>
    <x v="6"/>
    <n v="1964.22"/>
    <n v="15"/>
    <s v="Cash"/>
    <n v="3339.17"/>
  </r>
  <r>
    <s v="ORD1990"/>
    <d v="2024-12-30T00:00:00"/>
    <s v="Regina Mitchell"/>
    <s v="East"/>
    <s v="Furniture"/>
    <s v="12-1/2 Diameter Round Wall Clock"/>
    <x v="7"/>
    <n v="1078.17"/>
    <n v="20"/>
    <s v="Cash"/>
    <n v="862.54"/>
  </r>
  <r>
    <s v="ORD1991"/>
    <d v="2023-09-12T00:00:00"/>
    <s v="Kyle Black"/>
    <s v="North"/>
    <s v="Furniture"/>
    <s v="Regeneration Desk Collection"/>
    <x v="0"/>
    <n v="1817.52"/>
    <n v="20"/>
    <s v="UPI"/>
    <n v="10178.11"/>
  </r>
  <r>
    <s v="ORD1992"/>
    <d v="2025-03-19T00:00:00"/>
    <s v="Christopher Johnson"/>
    <s v="East"/>
    <s v="Office Supplies"/>
    <s v="Avery Binding System Hidden Tab™ Executive Style Index Sets"/>
    <x v="0"/>
    <n v="369.57"/>
    <n v="15"/>
    <s v="Credit Card"/>
    <n v="2198.94"/>
  </r>
  <r>
    <s v="ORD1993"/>
    <d v="2023-09-05T00:00:00"/>
    <s v="Aaron Moore"/>
    <s v="East"/>
    <s v="Technology"/>
    <s v="Microsoft Natural Multimedia Keyboard"/>
    <x v="6"/>
    <n v="1303.5"/>
    <n v="5"/>
    <s v="Net Banking"/>
    <n v="2476.65"/>
  </r>
  <r>
    <s v="ORD1994"/>
    <d v="2024-02-20T00:00:00"/>
    <s v="Penny Gomez MD"/>
    <s v="North"/>
    <s v="Office Supplies"/>
    <s v="Euro Pro Shark Stick Mini Vacuum"/>
    <x v="0"/>
    <n v="1629.23"/>
    <n v="5"/>
    <s v="Net Banking"/>
    <n v="10834.38"/>
  </r>
  <r>
    <s v="ORD1995"/>
    <d v="2024-01-13T00:00:00"/>
    <s v="Kelly Mclaughlin"/>
    <s v="West"/>
    <s v="Office Supplies"/>
    <s v="GBC Binding covers"/>
    <x v="2"/>
    <n v="1897.42"/>
    <n v="20"/>
    <s v="UPI"/>
    <n v="12143.49"/>
  </r>
  <r>
    <s v="ORD1996"/>
    <d v="2025-05-24T00:00:00"/>
    <s v="Brandon Mitchell"/>
    <s v="East"/>
    <s v="Office Supplies"/>
    <s v="Xerox 1978"/>
    <x v="7"/>
    <n v="707.81"/>
    <n v="20"/>
    <s v="Net Banking"/>
    <n v="566.25"/>
  </r>
  <r>
    <s v="ORD1997"/>
    <d v="2023-08-27T00:00:00"/>
    <s v="Suzanne Bailey"/>
    <s v="South"/>
    <s v="Office Supplies"/>
    <s v="Wirebound Message Book, 4 per Page"/>
    <x v="8"/>
    <n v="1463.71"/>
    <n v="15"/>
    <s v="Cash"/>
    <n v="11197.38"/>
  </r>
  <r>
    <s v="ORD1998"/>
    <d v="2024-12-06T00:00:00"/>
    <s v="Destiny Obrien"/>
    <s v="North"/>
    <s v="Office Supplies"/>
    <s v="Riverleaf Stik-Withit® Designer Note Cubes®"/>
    <x v="0"/>
    <n v="1100.69"/>
    <n v="5"/>
    <s v="UPI"/>
    <n v="7319.59"/>
  </r>
  <r>
    <s v="ORD1999"/>
    <d v="2023-12-08T00:00:00"/>
    <s v="Timothy Andrews"/>
    <s v="West"/>
    <s v="Furniture"/>
    <s v="Telescoping Adjustable Floor Lamp"/>
    <x v="4"/>
    <n v="168.23"/>
    <n v="20"/>
    <s v="Credit Card"/>
    <n v="403.75"/>
  </r>
  <r>
    <s v="ORD2000"/>
    <d v="2024-02-13T00:00:00"/>
    <s v="Jason Rodriguez"/>
    <s v="North"/>
    <s v="Technology"/>
    <s v="Sharp EL500L Fraction Calculator"/>
    <x v="2"/>
    <n v="1395.5"/>
    <n v="5"/>
    <s v="Cash"/>
    <n v="10605.8"/>
  </r>
  <r>
    <s v="ORD2001"/>
    <d v="2023-11-18T00:00:00"/>
    <s v="Edward Arroyo"/>
    <s v="South"/>
    <s v="Office Supplies"/>
    <s v="White GlueTop Scratch Pads"/>
    <x v="0"/>
    <n v="1395.69"/>
    <n v="20"/>
    <s v="Credit Card"/>
    <n v="7815.86"/>
  </r>
  <r>
    <s v="ORD2002"/>
    <d v="2024-08-13T00:00:00"/>
    <s v="Tina Walter"/>
    <s v="North"/>
    <s v="Office Supplies"/>
    <s v="Xerox 194"/>
    <x v="2"/>
    <n v="1864.68"/>
    <n v="0"/>
    <s v="Credit Card"/>
    <n v="14917.44"/>
  </r>
  <r>
    <s v="ORD2003"/>
    <d v="2025-01-12T00:00:00"/>
    <s v="Laura Benson"/>
    <s v="North"/>
    <s v="Furniture"/>
    <s v="Master Caster Door Stop, Brown"/>
    <x v="5"/>
    <n v="1019.76"/>
    <n v="10"/>
    <s v="Cash"/>
    <n v="5506.7"/>
  </r>
  <r>
    <s v="ORD2004"/>
    <d v="2023-11-08T00:00:00"/>
    <s v="Kristine Carrillo"/>
    <s v="East"/>
    <s v="Office Supplies"/>
    <s v="Newell 342"/>
    <x v="8"/>
    <n v="498.99"/>
    <n v="0"/>
    <s v="Credit Card"/>
    <n v="4490.91"/>
  </r>
  <r>
    <s v="ORD2005"/>
    <d v="2024-10-23T00:00:00"/>
    <s v="Tonya Ellis"/>
    <s v="South"/>
    <s v="Technology"/>
    <s v="TimeportP7382"/>
    <x v="3"/>
    <n v="136.9"/>
    <n v="20"/>
    <s v="UPI"/>
    <n v="547.6"/>
  </r>
  <r>
    <s v="ORD2006"/>
    <d v="2024-01-28T00:00:00"/>
    <s v="Kevin Johnson"/>
    <s v="South"/>
    <s v="Furniture"/>
    <s v="Riverside Palais Royal Lawyers Bookcase, Royale Cherry Finish"/>
    <x v="4"/>
    <n v="860.5"/>
    <n v="10"/>
    <s v="UPI"/>
    <n v="2323.35"/>
  </r>
  <r>
    <s v="ORD2007"/>
    <d v="2024-08-07T00:00:00"/>
    <s v="Austin Schultz"/>
    <s v="South"/>
    <s v="Office Supplies"/>
    <s v="*Staples* vLetter Openers, 2/Pack"/>
    <x v="4"/>
    <n v="638.74"/>
    <n v="10"/>
    <s v="Cash"/>
    <n v="1724.6"/>
  </r>
  <r>
    <s v="ORD2008"/>
    <d v="2025-02-05T00:00:00"/>
    <s v="Megan Hall MD"/>
    <s v="North"/>
    <s v="Technology"/>
    <s v="Imation Neon Mac Format Diskettes, 10/Pack"/>
    <x v="7"/>
    <n v="1534.12"/>
    <n v="20"/>
    <s v="Net Banking"/>
    <n v="1227.3"/>
  </r>
  <r>
    <s v="ORD2009"/>
    <d v="2024-02-27T00:00:00"/>
    <s v="Kelli Smith"/>
    <s v="South"/>
    <s v="Technology"/>
    <s v="Micro Innovations Media Access Pro Keyboard"/>
    <x v="2"/>
    <n v="740.82"/>
    <n v="20"/>
    <s v="Credit Card"/>
    <n v="4741.25"/>
  </r>
  <r>
    <s v="ORD2010"/>
    <d v="2025-03-29T00:00:00"/>
    <s v="Danielle Davis"/>
    <s v="South"/>
    <s v="Office Supplies"/>
    <s v="Newell 340"/>
    <x v="6"/>
    <n v="1900.69"/>
    <n v="5"/>
    <s v="Cash"/>
    <n v="3611.31"/>
  </r>
  <r>
    <s v="ORD2011"/>
    <d v="2024-05-24T00:00:00"/>
    <s v="Samantha Jones"/>
    <s v="South"/>
    <s v="Technology"/>
    <s v="Lexmark Z54se Color Inkjet Printer"/>
    <x v="4"/>
    <n v="1926.5"/>
    <n v="20"/>
    <s v="Credit Card"/>
    <n v="4623.6000000000004"/>
  </r>
  <r>
    <s v="ORD2012"/>
    <d v="2023-12-20T00:00:00"/>
    <s v="Karen Gomez"/>
    <s v="East"/>
    <s v="Office Supplies"/>
    <s v="Staples Battery-Operated Desktop Pencil Sharpener"/>
    <x v="2"/>
    <n v="1260.77"/>
    <n v="15"/>
    <s v="Cash"/>
    <n v="8573.24"/>
  </r>
  <r>
    <s v="ORD2013"/>
    <d v="2024-11-24T00:00:00"/>
    <s v="Debra Valentine"/>
    <s v="South"/>
    <s v="Technology"/>
    <s v="Canon P1-DHIII Palm Printing Calculator"/>
    <x v="2"/>
    <n v="1860.89"/>
    <n v="20"/>
    <s v="Credit Card"/>
    <n v="11909.7"/>
  </r>
  <r>
    <s v="ORD2014"/>
    <d v="2024-11-25T00:00:00"/>
    <s v="Susan Porter"/>
    <s v="North"/>
    <s v="Office Supplies"/>
    <s v="Xerox 1896"/>
    <x v="1"/>
    <n v="1533.67"/>
    <n v="15"/>
    <s v="Net Banking"/>
    <n v="5214.4799999999996"/>
  </r>
  <r>
    <s v="ORD2015"/>
    <d v="2025-03-14T00:00:00"/>
    <s v="Nicolas Salas"/>
    <s v="East"/>
    <s v="Office Supplies"/>
    <s v="Staples Battery-Operated Desktop Pencil Sharpener"/>
    <x v="1"/>
    <n v="1116.3800000000001"/>
    <n v="20"/>
    <s v="Cash"/>
    <n v="3572.42"/>
  </r>
  <r>
    <s v="ORD2016"/>
    <d v="2025-02-19T00:00:00"/>
    <s v="Dale Wright"/>
    <s v="South"/>
    <s v="Furniture"/>
    <s v="3M Polarizing Light Filter Sleeves"/>
    <x v="3"/>
    <n v="401.6"/>
    <n v="5"/>
    <s v="UPI"/>
    <n v="1907.6"/>
  </r>
  <r>
    <s v="ORD2017"/>
    <d v="2023-11-08T00:00:00"/>
    <s v="Brittney Rodriguez"/>
    <s v="South"/>
    <s v="Technology"/>
    <s v="Canon P1-DHIII Palm Printing Calculator"/>
    <x v="5"/>
    <n v="944.27"/>
    <n v="15"/>
    <s v="Net Banking"/>
    <n v="4815.78"/>
  </r>
  <r>
    <s v="ORD2018"/>
    <d v="2025-04-07T00:00:00"/>
    <s v="Megan Alvarado"/>
    <s v="East"/>
    <s v="Office Supplies"/>
    <s v="Xerox 1896"/>
    <x v="3"/>
    <n v="1143.71"/>
    <n v="0"/>
    <s v="UPI"/>
    <n v="5718.55"/>
  </r>
  <r>
    <s v="ORD2019"/>
    <d v="2025-05-09T00:00:00"/>
    <s v="Pamela Weaver"/>
    <s v="South"/>
    <s v="Technology"/>
    <s v="2180"/>
    <x v="0"/>
    <n v="1734.73"/>
    <n v="15"/>
    <s v="Net Banking"/>
    <n v="10321.64"/>
  </r>
  <r>
    <s v="ORD2020"/>
    <d v="2023-12-17T00:00:00"/>
    <s v="John Oliver"/>
    <s v="North"/>
    <s v="Office Supplies"/>
    <s v="Gould Plastics 9-Pocket Panel Bin, 18-3/8w x 5-1/4d x 20-1/2h, Black"/>
    <x v="6"/>
    <n v="988.6"/>
    <n v="5"/>
    <s v="UPI"/>
    <n v="1878.34"/>
  </r>
  <r>
    <s v="ORD2021"/>
    <d v="2024-04-09T00:00:00"/>
    <s v="William Prince PhD"/>
    <s v="North"/>
    <s v="Office Supplies"/>
    <s v="Wirebound Message Books, Four 2 3/4&quot; x 5&quot; Forms per Page, 600 Sets per Book"/>
    <x v="0"/>
    <n v="1800.47"/>
    <n v="15"/>
    <s v="Net Banking"/>
    <n v="10712.8"/>
  </r>
  <r>
    <s v="ORD2022"/>
    <d v="2023-11-03T00:00:00"/>
    <s v="William Moon IV"/>
    <s v="South"/>
    <s v="Office Supplies"/>
    <s v="Newell 315"/>
    <x v="0"/>
    <n v="1364.98"/>
    <n v="20"/>
    <s v="Credit Card"/>
    <n v="7643.89"/>
  </r>
  <r>
    <s v="ORD2023"/>
    <d v="2024-11-03T00:00:00"/>
    <s v="Kenneth Brown"/>
    <s v="North"/>
    <s v="Furniture"/>
    <s v="Bush Westfield Collection Bookcases, Dark Cherry Finish, Fully Assembled"/>
    <x v="7"/>
    <n v="317.14999999999998"/>
    <n v="20"/>
    <s v="UPI"/>
    <n v="253.72"/>
  </r>
  <r>
    <s v="ORD2024"/>
    <d v="2023-08-31T00:00:00"/>
    <s v="Karen Fernandez"/>
    <s v="East"/>
    <s v="Technology"/>
    <s v="Accessory34"/>
    <x v="0"/>
    <n v="1990.21"/>
    <n v="5"/>
    <s v="Credit Card"/>
    <n v="13234.9"/>
  </r>
  <r>
    <s v="ORD2025"/>
    <d v="2025-08-02T00:00:00"/>
    <s v="Jennifer Parks"/>
    <s v="South"/>
    <s v="Office Supplies"/>
    <s v="Xerox 1983"/>
    <x v="3"/>
    <n v="1078.0999999999999"/>
    <n v="10"/>
    <s v="Cash"/>
    <n v="4851.45"/>
  </r>
  <r>
    <s v="ORD2026"/>
    <d v="2024-04-10T00:00:00"/>
    <s v="William Wolfe"/>
    <s v="East"/>
    <s v="Office Supplies"/>
    <s v="Wilson Jones Hanging View Binder, White, 1&quot;"/>
    <x v="4"/>
    <n v="814.12"/>
    <n v="20"/>
    <s v="Credit Card"/>
    <n v="1953.89"/>
  </r>
  <r>
    <s v="ORD2027"/>
    <d v="2024-11-01T00:00:00"/>
    <s v="Michael Smith"/>
    <s v="North"/>
    <s v="Technology"/>
    <s v="Fellowes Basic 104-Key Keyboard, Platinum"/>
    <x v="4"/>
    <n v="1335.27"/>
    <n v="0"/>
    <s v="UPI"/>
    <n v="4005.81"/>
  </r>
  <r>
    <s v="ORD2028"/>
    <d v="2025-01-19T00:00:00"/>
    <s v="Kevin Nguyen"/>
    <s v="South"/>
    <s v="Furniture"/>
    <s v="Eldon Expressions Punched Metal &amp; Wood Desk Accessories, Pewter &amp; Cherry"/>
    <x v="1"/>
    <n v="262.33999999999997"/>
    <n v="5"/>
    <s v="Net Banking"/>
    <n v="996.89"/>
  </r>
  <r>
    <s v="ORD2029"/>
    <d v="2025-07-17T00:00:00"/>
    <s v="Debbie Dunn"/>
    <s v="East"/>
    <s v="Office Supplies"/>
    <s v="Ibico Recycled Linen-Style Covers"/>
    <x v="6"/>
    <n v="1291.25"/>
    <n v="15"/>
    <s v="Credit Card"/>
    <n v="2195.12"/>
  </r>
  <r>
    <s v="ORD2030"/>
    <d v="2024-05-29T00:00:00"/>
    <s v="John Austin"/>
    <s v="North"/>
    <s v="Office Supplies"/>
    <s v="Self-Adhesive Ring Binder Labels"/>
    <x v="6"/>
    <n v="1021.56"/>
    <n v="15"/>
    <s v="Net Banking"/>
    <n v="1736.65"/>
  </r>
  <r>
    <s v="ORD2031"/>
    <d v="2024-06-15T00:00:00"/>
    <s v="Jonathan Clark"/>
    <s v="South"/>
    <s v="Office Supplies"/>
    <s v="Tenex File Box, Personal Filing Tote with Lid, Black"/>
    <x v="7"/>
    <n v="843.01"/>
    <n v="0"/>
    <s v="Cash"/>
    <n v="843.01"/>
  </r>
  <r>
    <s v="ORD2032"/>
    <d v="2025-02-17T00:00:00"/>
    <s v="Jacqueline Dickerson"/>
    <s v="West"/>
    <s v="Technology"/>
    <s v="CF 688"/>
    <x v="3"/>
    <n v="1908.39"/>
    <n v="20"/>
    <s v="Cash"/>
    <n v="7633.56"/>
  </r>
  <r>
    <s v="ORD2033"/>
    <d v="2024-01-13T00:00:00"/>
    <s v="Christopher Anderson"/>
    <s v="North"/>
    <s v="Office Supplies"/>
    <s v="Xerox 1983"/>
    <x v="1"/>
    <n v="1068.95"/>
    <n v="5"/>
    <s v="UPI"/>
    <n v="4062.01"/>
  </r>
  <r>
    <s v="ORD2034"/>
    <d v="2023-10-10T00:00:00"/>
    <s v="Crystal Garcia"/>
    <s v="North"/>
    <s v="Office Supplies"/>
    <s v="Avery Trapezoid Ring Binder, 3&quot; Capacity, Black, 1040 sheets"/>
    <x v="6"/>
    <n v="477.28"/>
    <n v="0"/>
    <s v="Net Banking"/>
    <n v="954.56"/>
  </r>
  <r>
    <s v="ORD2035"/>
    <d v="2024-11-13T00:00:00"/>
    <s v="David Reynolds"/>
    <s v="West"/>
    <s v="Technology"/>
    <s v="Accessory35"/>
    <x v="4"/>
    <n v="944.98"/>
    <n v="20"/>
    <s v="Credit Card"/>
    <n v="2267.9499999999998"/>
  </r>
  <r>
    <s v="ORD2036"/>
    <d v="2025-01-29T00:00:00"/>
    <s v="Charles Haley"/>
    <s v="West"/>
    <s v="Technology"/>
    <s v="i2000"/>
    <x v="0"/>
    <n v="1842.81"/>
    <n v="5"/>
    <s v="Credit Card"/>
    <n v="12254.69"/>
  </r>
  <r>
    <s v="ORD2037"/>
    <d v="2025-05-18T00:00:00"/>
    <s v="Robert Thompson"/>
    <s v="East"/>
    <s v="Office Supplies"/>
    <s v="Xerox 23"/>
    <x v="0"/>
    <n v="393.39"/>
    <n v="15"/>
    <s v="Cash"/>
    <n v="2340.67"/>
  </r>
  <r>
    <s v="ORD2038"/>
    <d v="2024-12-11T00:00:00"/>
    <s v="Dr. Samuel Holmes DDS"/>
    <s v="North"/>
    <s v="Technology"/>
    <s v="Fellowes 17-key keypad for PS/2 interface"/>
    <x v="1"/>
    <n v="467.22"/>
    <n v="5"/>
    <s v="Net Banking"/>
    <n v="1775.44"/>
  </r>
  <r>
    <s v="ORD2039"/>
    <d v="2024-02-16T00:00:00"/>
    <s v="Elizabeth Hart"/>
    <s v="West"/>
    <s v="Office Supplies"/>
    <s v="Avery Hanging File Binders"/>
    <x v="3"/>
    <n v="75.41"/>
    <n v="10"/>
    <s v="Net Banking"/>
    <n v="339.34"/>
  </r>
  <r>
    <s v="ORD2040"/>
    <d v="2023-10-30T00:00:00"/>
    <s v="Jennifer Vaughn"/>
    <s v="South"/>
    <s v="Furniture"/>
    <s v="6&quot; Cubicle Wall Clock, Black"/>
    <x v="3"/>
    <n v="77.67"/>
    <n v="5"/>
    <s v="Cash"/>
    <n v="368.93"/>
  </r>
  <r>
    <s v="ORD2041"/>
    <d v="2025-02-03T00:00:00"/>
    <s v="Robert Woods"/>
    <s v="North"/>
    <s v="Office Supplies"/>
    <s v="Tyvek® Side-Opening Peel &amp; Seel® Expanding Envelopes"/>
    <x v="5"/>
    <n v="1667.31"/>
    <n v="10"/>
    <s v="Credit Card"/>
    <n v="9003.4699999999993"/>
  </r>
  <r>
    <s v="ORD2042"/>
    <d v="2025-04-03T00:00:00"/>
    <s v="Joanna Cook"/>
    <s v="East"/>
    <s v="Office Supplies"/>
    <s v="Xerox 1991"/>
    <x v="8"/>
    <n v="1477.64"/>
    <n v="5"/>
    <s v="Cash"/>
    <n v="12633.82"/>
  </r>
  <r>
    <s v="ORD2043"/>
    <d v="2024-04-02T00:00:00"/>
    <s v="Justin Frederick"/>
    <s v="West"/>
    <s v="Technology"/>
    <s v="T60"/>
    <x v="6"/>
    <n v="742.33"/>
    <n v="10"/>
    <s v="Net Banking"/>
    <n v="1336.19"/>
  </r>
  <r>
    <s v="ORD2044"/>
    <d v="2025-06-02T00:00:00"/>
    <s v="Alejandro Martinez"/>
    <s v="North"/>
    <s v="Office Supplies"/>
    <s v="Xerox 1978"/>
    <x v="3"/>
    <n v="1411.71"/>
    <n v="15"/>
    <s v="Credit Card"/>
    <n v="5999.77"/>
  </r>
  <r>
    <s v="ORD2045"/>
    <d v="2025-01-24T00:00:00"/>
    <s v="Tracey Gonzalez"/>
    <s v="North"/>
    <s v="Technology"/>
    <s v="Epson LQ-870 Dot Matrix Printer"/>
    <x v="4"/>
    <n v="820.65"/>
    <n v="20"/>
    <s v="Cash"/>
    <n v="1969.56"/>
  </r>
  <r>
    <s v="ORD2046"/>
    <d v="2024-11-20T00:00:00"/>
    <s v="Mariah Thompson"/>
    <s v="West"/>
    <s v="Office Supplies"/>
    <s v="Space Solutions™ Industrial Galvanized Steel Shelving."/>
    <x v="1"/>
    <n v="1908.15"/>
    <n v="10"/>
    <s v="Net Banking"/>
    <n v="6869.34"/>
  </r>
  <r>
    <s v="ORD2047"/>
    <d v="2025-04-28T00:00:00"/>
    <s v="Heather Nunez"/>
    <s v="West"/>
    <s v="Furniture"/>
    <s v="Chromcraft 48&quot; x 96&quot; Racetrack Double Pedestal Table"/>
    <x v="5"/>
    <n v="1935.75"/>
    <n v="10"/>
    <s v="Net Banking"/>
    <n v="10453.049999999999"/>
  </r>
  <r>
    <s v="ORD2048"/>
    <d v="2023-11-14T00:00:00"/>
    <s v="Dr. Steve James"/>
    <s v="West"/>
    <s v="Furniture"/>
    <s v="Global Ergonomic Managers Chair"/>
    <x v="2"/>
    <n v="815.95"/>
    <n v="15"/>
    <s v="UPI"/>
    <n v="5548.46"/>
  </r>
  <r>
    <s v="ORD2049"/>
    <d v="2025-04-21T00:00:00"/>
    <s v="Mark Thomas"/>
    <s v="North"/>
    <s v="Furniture"/>
    <s v="Global Leather and Oak Executive Chair, Black"/>
    <x v="7"/>
    <n v="1715.73"/>
    <n v="10"/>
    <s v="UPI"/>
    <n v="1544.16"/>
  </r>
  <r>
    <s v="ORD2050"/>
    <d v="2024-10-24T00:00:00"/>
    <s v="Robert Rogers"/>
    <s v="West"/>
    <s v="Office Supplies"/>
    <s v="Newell 343"/>
    <x v="2"/>
    <n v="1557.52"/>
    <n v="0"/>
    <s v="Cash"/>
    <n v="12460.16"/>
  </r>
  <r>
    <s v="ORD2051"/>
    <d v="2025-04-10T00:00:00"/>
    <s v="Laura Sweeney"/>
    <s v="West"/>
    <s v="Office Supplies"/>
    <s v="Quality Park Security Envelopes"/>
    <x v="0"/>
    <n v="654.5"/>
    <n v="15"/>
    <s v="Credit Card"/>
    <n v="3894.28"/>
  </r>
  <r>
    <s v="ORD2052"/>
    <d v="2023-09-12T00:00:00"/>
    <s v="Christopher Perez"/>
    <s v="North"/>
    <s v="Office Supplies"/>
    <s v="Ibico EB-19 Dual Function Manual Binding System"/>
    <x v="7"/>
    <n v="502.48"/>
    <n v="0"/>
    <s v="Credit Card"/>
    <n v="502.48"/>
  </r>
  <r>
    <s v="ORD2053"/>
    <d v="2024-05-07T00:00:00"/>
    <s v="Eddie Adams"/>
    <s v="North"/>
    <s v="Office Supplies"/>
    <s v="#10- 4 1/8&quot; x 9 1/2&quot; Security-Tint Envelopes"/>
    <x v="6"/>
    <n v="943.56"/>
    <n v="15"/>
    <s v="UPI"/>
    <n v="1604.05"/>
  </r>
  <r>
    <s v="ORD2054"/>
    <d v="2024-09-28T00:00:00"/>
    <s v="Denise Wallace"/>
    <s v="East"/>
    <s v="Office Supplies"/>
    <s v="Binding Machine Supplies"/>
    <x v="4"/>
    <n v="1573.63"/>
    <n v="10"/>
    <s v="Net Banking"/>
    <n v="4248.8"/>
  </r>
  <r>
    <s v="ORD2055"/>
    <d v="2024-07-09T00:00:00"/>
    <s v="Heidi Matthews"/>
    <s v="South"/>
    <s v="Technology"/>
    <s v="TI 30X Scientific Calculator"/>
    <x v="7"/>
    <n v="1922.33"/>
    <n v="0"/>
    <s v="UPI"/>
    <n v="1922.33"/>
  </r>
  <r>
    <s v="ORD2056"/>
    <d v="2025-01-06T00:00:00"/>
    <s v="Jennifer White"/>
    <s v="North"/>
    <s v="Technology"/>
    <s v="SC7868i"/>
    <x v="8"/>
    <n v="1538.98"/>
    <n v="10"/>
    <s v="Cash"/>
    <n v="12465.74"/>
  </r>
  <r>
    <s v="ORD2057"/>
    <d v="2024-05-25T00:00:00"/>
    <s v="Nicholas Stanley"/>
    <s v="South"/>
    <s v="Furniture"/>
    <s v="Executive Impressions 13-1/2&quot; Indoor/Outdoor Wall Clock"/>
    <x v="2"/>
    <n v="1717.65"/>
    <n v="15"/>
    <s v="UPI"/>
    <n v="11680.02"/>
  </r>
  <r>
    <s v="ORD2058"/>
    <d v="2023-10-04T00:00:00"/>
    <s v="Mercedes Miller"/>
    <s v="East"/>
    <s v="Furniture"/>
    <s v="Executive Impressions 14&quot; Contract Wall Clock"/>
    <x v="6"/>
    <n v="1225.98"/>
    <n v="10"/>
    <s v="Credit Card"/>
    <n v="2206.7600000000002"/>
  </r>
  <r>
    <s v="ORD2059"/>
    <d v="2024-09-07T00:00:00"/>
    <s v="Brian Brown"/>
    <s v="East"/>
    <s v="Office Supplies"/>
    <s v="Avery® 3 1/2&quot; Diskette Storage Pages, 10/Pack"/>
    <x v="8"/>
    <n v="1679.05"/>
    <n v="0"/>
    <s v="Cash"/>
    <n v="15111.45"/>
  </r>
  <r>
    <s v="ORD2060"/>
    <d v="2024-12-26T00:00:00"/>
    <s v="Kimberly Johnson"/>
    <s v="West"/>
    <s v="Technology"/>
    <s v="T28 WORLD"/>
    <x v="0"/>
    <n v="1579.62"/>
    <n v="0"/>
    <s v="Credit Card"/>
    <n v="11057.34"/>
  </r>
  <r>
    <s v="ORD2061"/>
    <d v="2024-05-03T00:00:00"/>
    <s v="Phillip Miller"/>
    <s v="East"/>
    <s v="Furniture"/>
    <s v="Bevis Round Bullnose 29&quot; High Table Top"/>
    <x v="8"/>
    <n v="785.12"/>
    <n v="10"/>
    <s v="Cash"/>
    <n v="6359.47"/>
  </r>
  <r>
    <s v="ORD2062"/>
    <d v="2023-08-21T00:00:00"/>
    <s v="Christopher Pena"/>
    <s v="West"/>
    <s v="Office Supplies"/>
    <s v="Ibico EPK-21 Electric Binding System"/>
    <x v="5"/>
    <n v="1126.3800000000001"/>
    <n v="5"/>
    <s v="Net Banking"/>
    <n v="6420.37"/>
  </r>
  <r>
    <s v="ORD2063"/>
    <d v="2025-06-01T00:00:00"/>
    <s v="Ellen Wright"/>
    <s v="West"/>
    <s v="Office Supplies"/>
    <s v="OIC Colored Binder Clips, Assorted Sizes"/>
    <x v="5"/>
    <n v="1619.27"/>
    <n v="15"/>
    <s v="UPI"/>
    <n v="8258.2800000000007"/>
  </r>
  <r>
    <s v="ORD2064"/>
    <d v="2024-07-03T00:00:00"/>
    <s v="Mark Anderson"/>
    <s v="North"/>
    <s v="Furniture"/>
    <s v="Office Star - Ergonomic Mid Back Chair with 2-Way Adjustable Arms"/>
    <x v="1"/>
    <n v="139.81"/>
    <n v="15"/>
    <s v="Credit Card"/>
    <n v="475.35"/>
  </r>
  <r>
    <s v="ORD2065"/>
    <d v="2025-05-11T00:00:00"/>
    <s v="Alyssa Alvarado"/>
    <s v="North"/>
    <s v="Office Supplies"/>
    <s v="Belkin F9M820V08 8 Outlet Surge"/>
    <x v="6"/>
    <n v="1625.75"/>
    <n v="10"/>
    <s v="Cash"/>
    <n v="2926.35"/>
  </r>
  <r>
    <s v="ORD2066"/>
    <d v="2024-08-26T00:00:00"/>
    <s v="Erika Alvarez"/>
    <s v="South"/>
    <s v="Office Supplies"/>
    <s v="Bravo II™ Megaboss® 12-Amp Hard Body Upright, Replacement Belts, 2 Belts per Pack"/>
    <x v="0"/>
    <n v="396.88"/>
    <n v="5"/>
    <s v="UPI"/>
    <n v="2639.25"/>
  </r>
  <r>
    <s v="ORD2067"/>
    <d v="2023-11-01T00:00:00"/>
    <s v="Kimberly Nelson"/>
    <s v="West"/>
    <s v="Furniture"/>
    <s v="Rubbermaid ClusterMat Chairmats, Mat Size- 66&quot; x 60&quot;, Lip 20&quot; x 11&quot; -90 Degree Angle"/>
    <x v="3"/>
    <n v="1053.6300000000001"/>
    <n v="0"/>
    <s v="Credit Card"/>
    <n v="5268.15"/>
  </r>
  <r>
    <s v="ORD2068"/>
    <d v="2024-07-13T00:00:00"/>
    <s v="Wayne Wolfe"/>
    <s v="West"/>
    <s v="Office Supplies"/>
    <s v="Advantus Map Pennant Flags and Round Head Tacks"/>
    <x v="5"/>
    <n v="1626.14"/>
    <n v="20"/>
    <s v="Net Banking"/>
    <n v="7805.47"/>
  </r>
  <r>
    <s v="ORD2069"/>
    <d v="2024-05-19T00:00:00"/>
    <s v="Kyle Welch"/>
    <s v="South"/>
    <s v="Technology"/>
    <s v="Adesso Programmable 142-Key Keyboard"/>
    <x v="6"/>
    <n v="544.95000000000005"/>
    <n v="20"/>
    <s v="Cash"/>
    <n v="871.92"/>
  </r>
  <r>
    <s v="ORD2070"/>
    <d v="2024-12-17T00:00:00"/>
    <s v="Kristy Mills"/>
    <s v="West"/>
    <s v="Office Supplies"/>
    <s v="Acme Design Line 8&quot; Stainless Steel Bent Scissors w/Champagne Handles, 3-1/8&quot; Cut"/>
    <x v="3"/>
    <n v="529.32000000000005"/>
    <n v="10"/>
    <s v="Credit Card"/>
    <n v="2381.94"/>
  </r>
  <r>
    <s v="ORD2071"/>
    <d v="2025-07-04T00:00:00"/>
    <s v="Emily Reed"/>
    <s v="East"/>
    <s v="Office Supplies"/>
    <s v="Honeywell Quietcare HEPA Air Cleaner"/>
    <x v="1"/>
    <n v="835.39"/>
    <n v="5"/>
    <s v="Credit Card"/>
    <n v="3174.48"/>
  </r>
  <r>
    <s v="ORD2072"/>
    <d v="2025-05-16T00:00:00"/>
    <s v="Regina Ramos"/>
    <s v="West"/>
    <s v="Furniture"/>
    <s v="Global High-Back Leather Tilter, Burgundy"/>
    <x v="8"/>
    <n v="1794.55"/>
    <n v="5"/>
    <s v="Net Banking"/>
    <n v="15343.4"/>
  </r>
  <r>
    <s v="ORD2073"/>
    <d v="2024-08-03T00:00:00"/>
    <s v="David Torres"/>
    <s v="West"/>
    <s v="Furniture"/>
    <s v="Eldon ClusterMat Chair Mat with Cordless Antistatic Protection"/>
    <x v="5"/>
    <n v="50.86"/>
    <n v="15"/>
    <s v="Cash"/>
    <n v="259.39"/>
  </r>
  <r>
    <s v="ORD2074"/>
    <d v="2025-02-11T00:00:00"/>
    <s v="Robert Charles"/>
    <s v="West"/>
    <s v="Office Supplies"/>
    <s v="Xerox 1947"/>
    <x v="6"/>
    <n v="1807.7"/>
    <n v="0"/>
    <s v="UPI"/>
    <n v="3615.4"/>
  </r>
  <r>
    <s v="ORD2075"/>
    <d v="2023-12-08T00:00:00"/>
    <s v="John Smith"/>
    <s v="North"/>
    <s v="Furniture"/>
    <s v="Bush Advantage Collection® Racetrack Conference Table"/>
    <x v="7"/>
    <n v="349.92"/>
    <n v="5"/>
    <s v="Credit Card"/>
    <n v="332.42"/>
  </r>
  <r>
    <s v="ORD2076"/>
    <d v="2024-07-15T00:00:00"/>
    <s v="Theresa Woods"/>
    <s v="East"/>
    <s v="Office Supplies"/>
    <s v="Xerox 1986"/>
    <x v="3"/>
    <n v="1980.67"/>
    <n v="20"/>
    <s v="Cash"/>
    <n v="7922.68"/>
  </r>
  <r>
    <s v="ORD2077"/>
    <d v="2023-12-26T00:00:00"/>
    <s v="Jeffrey Carter"/>
    <s v="West"/>
    <s v="Technology"/>
    <s v="Targus USB Numeric Keypad"/>
    <x v="8"/>
    <n v="1911.95"/>
    <n v="0"/>
    <s v="Cash"/>
    <n v="17207.55"/>
  </r>
  <r>
    <s v="ORD2078"/>
    <d v="2025-03-03T00:00:00"/>
    <s v="Adam Brooks"/>
    <s v="East"/>
    <s v="Technology"/>
    <s v="Micro Innovations Media Access Pro Keyboard"/>
    <x v="5"/>
    <n v="1014.62"/>
    <n v="0"/>
    <s v="Net Banking"/>
    <n v="6087.72"/>
  </r>
  <r>
    <s v="ORD2079"/>
    <d v="2024-09-20T00:00:00"/>
    <s v="Justin Foster"/>
    <s v="East"/>
    <s v="Technology"/>
    <s v="Belkin ErgoBoard™ Keyboard"/>
    <x v="0"/>
    <n v="1049.8"/>
    <n v="10"/>
    <s v="Credit Card"/>
    <n v="6613.74"/>
  </r>
  <r>
    <s v="ORD2080"/>
    <d v="2024-12-29T00:00:00"/>
    <s v="Omar Price"/>
    <s v="East"/>
    <s v="Furniture"/>
    <s v="Career Cubicle Clock, 8 1/4&quot;, Black"/>
    <x v="3"/>
    <n v="989.02"/>
    <n v="5"/>
    <s v="UPI"/>
    <n v="4697.84"/>
  </r>
  <r>
    <s v="ORD2081"/>
    <d v="2024-03-08T00:00:00"/>
    <s v="Dennis Henderson"/>
    <s v="South"/>
    <s v="Office Supplies"/>
    <s v="Hammermill Color Copier Paper (28Lb. and 96 Bright)"/>
    <x v="5"/>
    <n v="1289.1199999999999"/>
    <n v="10"/>
    <s v="Credit Card"/>
    <n v="6961.25"/>
  </r>
  <r>
    <s v="ORD2082"/>
    <d v="2024-12-02T00:00:00"/>
    <s v="Phillip Kent"/>
    <s v="West"/>
    <s v="Office Supplies"/>
    <s v="Xerox 1937"/>
    <x v="3"/>
    <n v="226.91"/>
    <n v="5"/>
    <s v="Credit Card"/>
    <n v="1077.82"/>
  </r>
  <r>
    <s v="ORD2083"/>
    <d v="2025-04-30T00:00:00"/>
    <s v="Melinda Mitchell"/>
    <s v="North"/>
    <s v="Office Supplies"/>
    <s v="Xerox 1986"/>
    <x v="8"/>
    <n v="113.6"/>
    <n v="15"/>
    <s v="UPI"/>
    <n v="869.04"/>
  </r>
  <r>
    <s v="ORD2084"/>
    <d v="2025-07-26T00:00:00"/>
    <s v="Rhonda Gutierrez"/>
    <s v="North"/>
    <s v="Office Supplies"/>
    <s v="Xerox 1937"/>
    <x v="5"/>
    <n v="162.52000000000001"/>
    <n v="10"/>
    <s v="Cash"/>
    <n v="877.61"/>
  </r>
  <r>
    <s v="ORD2085"/>
    <d v="2024-10-03T00:00:00"/>
    <s v="Catherine Roberts"/>
    <s v="North"/>
    <s v="Office Supplies"/>
    <s v="Xerox 1986"/>
    <x v="2"/>
    <n v="916.51"/>
    <n v="10"/>
    <s v="Credit Card"/>
    <n v="6598.87"/>
  </r>
  <r>
    <s v="ORD2086"/>
    <d v="2025-04-04T00:00:00"/>
    <s v="Lisa Nelson"/>
    <s v="North"/>
    <s v="Office Supplies"/>
    <s v="Honeywell Quietcare HEPA Air Cleaner"/>
    <x v="6"/>
    <n v="587.32000000000005"/>
    <n v="20"/>
    <s v="Cash"/>
    <n v="939.71"/>
  </r>
  <r>
    <s v="ORD2087"/>
    <d v="2024-08-21T00:00:00"/>
    <s v="Chelsea Smith"/>
    <s v="West"/>
    <s v="Office Supplies"/>
    <s v="Peel &amp; Seel® Recycled Catalog Envelopes, Brown"/>
    <x v="8"/>
    <n v="1262.98"/>
    <n v="10"/>
    <s v="Net Banking"/>
    <n v="10230.14"/>
  </r>
  <r>
    <s v="ORD2088"/>
    <d v="2024-08-07T00:00:00"/>
    <s v="Joseph Lopez"/>
    <s v="North"/>
    <s v="Furniture"/>
    <s v="Global Leather Executive Chair"/>
    <x v="3"/>
    <n v="1985.26"/>
    <n v="5"/>
    <s v="Cash"/>
    <n v="9429.98"/>
  </r>
  <r>
    <s v="ORD2089"/>
    <d v="2024-07-15T00:00:00"/>
    <s v="Derrick Espinoza"/>
    <s v="East"/>
    <s v="Technology"/>
    <s v="AT&amp;T Black Trimline Phone, Model 210"/>
    <x v="0"/>
    <n v="803.33"/>
    <n v="20"/>
    <s v="UPI"/>
    <n v="4498.6499999999996"/>
  </r>
  <r>
    <s v="ORD2090"/>
    <d v="2025-05-14T00:00:00"/>
    <s v="Crystal Hernandez"/>
    <s v="South"/>
    <s v="Office Supplies"/>
    <s v="Kensington 6 Outlet Guardian Standard Surge Protector"/>
    <x v="7"/>
    <n v="1168.99"/>
    <n v="10"/>
    <s v="UPI"/>
    <n v="1052.0899999999999"/>
  </r>
  <r>
    <s v="ORD2091"/>
    <d v="2025-03-01T00:00:00"/>
    <s v="Glenn Collins DDS"/>
    <s v="North"/>
    <s v="Office Supplies"/>
    <s v="#10 White Business Envelopes,4 1/8 x 9 1/2"/>
    <x v="3"/>
    <n v="860.43"/>
    <n v="10"/>
    <s v="Net Banking"/>
    <n v="3871.94"/>
  </r>
  <r>
    <s v="ORD2092"/>
    <d v="2024-11-14T00:00:00"/>
    <s v="Mrs. Raven Rivera DVM"/>
    <s v="East"/>
    <s v="Furniture"/>
    <s v="Hon Metal Bookcases, Putty"/>
    <x v="6"/>
    <n v="1702.18"/>
    <n v="15"/>
    <s v="Cash"/>
    <n v="2893.71"/>
  </r>
  <r>
    <s v="ORD2093"/>
    <d v="2024-03-07T00:00:00"/>
    <s v="Amy Rowe"/>
    <s v="North"/>
    <s v="Office Supplies"/>
    <s v="Newell 309"/>
    <x v="5"/>
    <n v="1809.36"/>
    <n v="10"/>
    <s v="Credit Card"/>
    <n v="9770.5400000000009"/>
  </r>
  <r>
    <s v="ORD2094"/>
    <d v="2024-04-18T00:00:00"/>
    <s v="John Lee"/>
    <s v="West"/>
    <s v="Office Supplies"/>
    <s v="Xerox 1893"/>
    <x v="7"/>
    <n v="1760.84"/>
    <n v="0"/>
    <s v="Net Banking"/>
    <n v="1760.84"/>
  </r>
  <r>
    <s v="ORD2095"/>
    <d v="2025-06-03T00:00:00"/>
    <s v="Ruth Clayton"/>
    <s v="East"/>
    <s v="Technology"/>
    <s v="Accessory39"/>
    <x v="4"/>
    <n v="1950.03"/>
    <n v="20"/>
    <s v="UPI"/>
    <n v="4680.07"/>
  </r>
  <r>
    <s v="ORD2096"/>
    <d v="2024-02-18T00:00:00"/>
    <s v="Randy Wright"/>
    <s v="West"/>
    <s v="Technology"/>
    <s v="Imation 3.5&quot; Unformatted DS/HD Diskettes, 10/Box"/>
    <x v="3"/>
    <n v="103.66"/>
    <n v="0"/>
    <s v="Cash"/>
    <n v="518.29999999999995"/>
  </r>
  <r>
    <s v="ORD2097"/>
    <d v="2025-05-18T00:00:00"/>
    <s v="Jessica Rojas"/>
    <s v="North"/>
    <s v="Office Supplies"/>
    <s v="Eldon Jumbo ProFile™ Portable File Boxes Graphite/Black"/>
    <x v="1"/>
    <n v="1687.64"/>
    <n v="20"/>
    <s v="UPI"/>
    <n v="5400.45"/>
  </r>
  <r>
    <s v="ORD2098"/>
    <d v="2025-08-06T00:00:00"/>
    <s v="Joel Wise"/>
    <s v="East"/>
    <s v="Technology"/>
    <s v="Bell Sonecor JB700 Caller ID"/>
    <x v="4"/>
    <n v="1515.96"/>
    <n v="15"/>
    <s v="Credit Card"/>
    <n v="3865.7"/>
  </r>
  <r>
    <s v="ORD2099"/>
    <d v="2023-10-18T00:00:00"/>
    <s v="Vickie Kennedy"/>
    <s v="East"/>
    <s v="Furniture"/>
    <s v="36X48 HARDFLOOR CHAIRMAT"/>
    <x v="3"/>
    <n v="495.95"/>
    <n v="10"/>
    <s v="Net Banking"/>
    <n v="2231.7800000000002"/>
  </r>
  <r>
    <s v="ORD2100"/>
    <d v="2024-03-15T00:00:00"/>
    <s v="Emily Morris"/>
    <s v="East"/>
    <s v="Furniture"/>
    <s v="Hon 4700 Series Mobuis™ Mid-Back Task Chairs with Adjustable Arms"/>
    <x v="2"/>
    <n v="1914.82"/>
    <n v="10"/>
    <s v="Net Banking"/>
    <n v="13786.7"/>
  </r>
  <r>
    <s v="ORD2101"/>
    <d v="2025-06-26T00:00:00"/>
    <s v="Amanda Pineda"/>
    <s v="North"/>
    <s v="Office Supplies"/>
    <s v="Southworth 25% Cotton Premium Laser Paper and Envelopes"/>
    <x v="1"/>
    <n v="338.95"/>
    <n v="10"/>
    <s v="UPI"/>
    <n v="1220.22"/>
  </r>
  <r>
    <s v="ORD2102"/>
    <d v="2024-07-27T00:00:00"/>
    <s v="Dawn Little"/>
    <s v="South"/>
    <s v="Technology"/>
    <s v="Belkin ErgoBoard™ Keyboard"/>
    <x v="7"/>
    <n v="1375.12"/>
    <n v="20"/>
    <s v="Net Banking"/>
    <n v="1100.0999999999999"/>
  </r>
  <r>
    <s v="ORD2103"/>
    <d v="2024-02-17T00:00:00"/>
    <s v="Stephen Boyer"/>
    <s v="South"/>
    <s v="Office Supplies"/>
    <s v="White Dual Perf Computer Printout Paper, 2700 Sheets, 1 Part, Heavyweight, 20 lbs., 14 7/8 x 11"/>
    <x v="0"/>
    <n v="488.54"/>
    <n v="10"/>
    <s v="Cash"/>
    <n v="3077.8"/>
  </r>
  <r>
    <s v="ORD2104"/>
    <d v="2025-03-16T00:00:00"/>
    <s v="Brian Chen"/>
    <s v="West"/>
    <s v="Office Supplies"/>
    <s v="Sanford Pocket Accent® Highlighters"/>
    <x v="2"/>
    <n v="891.19"/>
    <n v="0"/>
    <s v="Cash"/>
    <n v="7129.52"/>
  </r>
  <r>
    <s v="ORD2105"/>
    <d v="2024-08-06T00:00:00"/>
    <s v="Christopher Hill"/>
    <s v="South"/>
    <s v="Office Supplies"/>
    <s v="Xerox 1938"/>
    <x v="4"/>
    <n v="1452.36"/>
    <n v="10"/>
    <s v="UPI"/>
    <n v="3921.37"/>
  </r>
  <r>
    <s v="ORD2106"/>
    <d v="2024-10-27T00:00:00"/>
    <s v="Richard Smith"/>
    <s v="North"/>
    <s v="Technology"/>
    <s v="5170i"/>
    <x v="5"/>
    <n v="1148.48"/>
    <n v="15"/>
    <s v="UPI"/>
    <n v="5857.25"/>
  </r>
  <r>
    <s v="ORD2107"/>
    <d v="2024-11-28T00:00:00"/>
    <s v="Richard Alvarez"/>
    <s v="East"/>
    <s v="Technology"/>
    <s v="Maxell DVD-RAM Discs"/>
    <x v="6"/>
    <n v="883.63"/>
    <n v="0"/>
    <s v="Net Banking"/>
    <n v="1767.26"/>
  </r>
  <r>
    <s v="ORD2108"/>
    <d v="2025-01-11T00:00:00"/>
    <s v="Jacqueline Davis"/>
    <s v="East"/>
    <s v="Office Supplies"/>
    <s v="GBC Standard Therm-A-Bind Covers"/>
    <x v="0"/>
    <n v="686.36"/>
    <n v="10"/>
    <s v="UPI"/>
    <n v="4324.07"/>
  </r>
  <r>
    <s v="ORD2109"/>
    <d v="2024-06-01T00:00:00"/>
    <s v="Brandon Montgomery"/>
    <s v="North"/>
    <s v="Office Supplies"/>
    <s v="Grip Seal Envelopes"/>
    <x v="2"/>
    <n v="1687.34"/>
    <n v="10"/>
    <s v="Cash"/>
    <n v="12148.85"/>
  </r>
  <r>
    <s v="ORD2110"/>
    <d v="2024-04-29T00:00:00"/>
    <s v="Yolanda Garrett"/>
    <s v="East"/>
    <s v="Office Supplies"/>
    <s v="Storex DuraTech Recycled Plastic Frosted Binders"/>
    <x v="5"/>
    <n v="330.44"/>
    <n v="5"/>
    <s v="Credit Card"/>
    <n v="1883.51"/>
  </r>
  <r>
    <s v="ORD2111"/>
    <d v="2023-09-03T00:00:00"/>
    <s v="Matthew Miles"/>
    <s v="South"/>
    <s v="Technology"/>
    <s v="Polycom ViewStation™ ISDN Videoconferencing Unit"/>
    <x v="5"/>
    <n v="888.7"/>
    <n v="20"/>
    <s v="Cash"/>
    <n v="4265.76"/>
  </r>
  <r>
    <s v="ORD2112"/>
    <d v="2024-08-29T00:00:00"/>
    <s v="Beth Hall"/>
    <s v="West"/>
    <s v="Office Supplies"/>
    <s v="Xerox 1950"/>
    <x v="3"/>
    <n v="1812.33"/>
    <n v="0"/>
    <s v="Net Banking"/>
    <n v="9061.65"/>
  </r>
  <r>
    <s v="ORD2113"/>
    <d v="2025-06-02T00:00:00"/>
    <s v="Dr. Nicole Trujillo"/>
    <s v="North"/>
    <s v="Office Supplies"/>
    <s v="Staples Battery-Operated Desktop Pencil Sharpener"/>
    <x v="2"/>
    <n v="1699.41"/>
    <n v="5"/>
    <s v="UPI"/>
    <n v="12915.52"/>
  </r>
  <r>
    <s v="ORD2114"/>
    <d v="2024-04-20T00:00:00"/>
    <s v="Corey Norris"/>
    <s v="East"/>
    <s v="Technology"/>
    <s v="80 Minute CD-R Spindle, 100/Pack - Staples"/>
    <x v="7"/>
    <n v="831.84"/>
    <n v="15"/>
    <s v="UPI"/>
    <n v="707.06"/>
  </r>
  <r>
    <s v="ORD2115"/>
    <d v="2023-12-31T00:00:00"/>
    <s v="Chad Roach"/>
    <s v="North"/>
    <s v="Office Supplies"/>
    <s v="Avery 493"/>
    <x v="1"/>
    <n v="1538.06"/>
    <n v="20"/>
    <s v="UPI"/>
    <n v="4921.79"/>
  </r>
  <r>
    <s v="ORD2116"/>
    <d v="2024-08-24T00:00:00"/>
    <s v="Mr. Edward Terry"/>
    <s v="South"/>
    <s v="Office Supplies"/>
    <s v="Xerox 220"/>
    <x v="1"/>
    <n v="1655.16"/>
    <n v="0"/>
    <s v="Net Banking"/>
    <n v="6620.64"/>
  </r>
  <r>
    <s v="ORD2117"/>
    <d v="2024-01-23T00:00:00"/>
    <s v="Cody Bailey"/>
    <s v="East"/>
    <s v="Furniture"/>
    <s v="O'Sullivan Living Dimensions 2-Shelf Bookcases"/>
    <x v="4"/>
    <n v="1783.33"/>
    <n v="10"/>
    <s v="Credit Card"/>
    <n v="4814.99"/>
  </r>
  <r>
    <s v="ORD2118"/>
    <d v="2024-05-13T00:00:00"/>
    <s v="Denise Guerra"/>
    <s v="East"/>
    <s v="Technology"/>
    <s v="Canon BP1200DH 12-Digit Bubble Jet Printing Calculator"/>
    <x v="4"/>
    <n v="1111.79"/>
    <n v="0"/>
    <s v="Net Banking"/>
    <n v="3335.37"/>
  </r>
  <r>
    <s v="ORD2119"/>
    <d v="2025-04-22T00:00:00"/>
    <s v="Kristen Jones"/>
    <s v="East"/>
    <s v="Technology"/>
    <s v="688"/>
    <x v="1"/>
    <n v="448.7"/>
    <n v="10"/>
    <s v="Cash"/>
    <n v="1615.32"/>
  </r>
  <r>
    <s v="ORD2120"/>
    <d v="2024-02-28T00:00:00"/>
    <s v="Edward Baker"/>
    <s v="East"/>
    <s v="Office Supplies"/>
    <s v="Xerox 1908"/>
    <x v="7"/>
    <n v="547.85"/>
    <n v="20"/>
    <s v="Credit Card"/>
    <n v="438.28"/>
  </r>
  <r>
    <s v="ORD2121"/>
    <d v="2024-05-02T00:00:00"/>
    <s v="Aaron Little"/>
    <s v="North"/>
    <s v="Office Supplies"/>
    <s v="Revere Boxed Rubber Bands by Revere"/>
    <x v="6"/>
    <n v="626.6"/>
    <n v="10"/>
    <s v="UPI"/>
    <n v="1127.8800000000001"/>
  </r>
  <r>
    <s v="ORD2122"/>
    <d v="2024-03-16T00:00:00"/>
    <s v="Cody Smith"/>
    <s v="South"/>
    <s v="Technology"/>
    <s v="Keytronic French Keyboard"/>
    <x v="8"/>
    <n v="1207.9100000000001"/>
    <n v="15"/>
    <s v="Cash"/>
    <n v="9240.51"/>
  </r>
  <r>
    <s v="ORD2123"/>
    <d v="2025-06-25T00:00:00"/>
    <s v="Patty Allen"/>
    <s v="South"/>
    <s v="Office Supplies"/>
    <s v="Xerox 1893"/>
    <x v="6"/>
    <n v="113.98"/>
    <n v="10"/>
    <s v="UPI"/>
    <n v="205.16"/>
  </r>
  <r>
    <s v="ORD2124"/>
    <d v="2024-11-17T00:00:00"/>
    <s v="Mary Ryan"/>
    <s v="West"/>
    <s v="Technology"/>
    <s v="Accessory37"/>
    <x v="3"/>
    <n v="1290.28"/>
    <n v="15"/>
    <s v="Credit Card"/>
    <n v="5483.69"/>
  </r>
  <r>
    <s v="ORD2125"/>
    <d v="2025-02-06T00:00:00"/>
    <s v="Joseph Jimenez"/>
    <s v="North"/>
    <s v="Office Supplies"/>
    <s v="Xerox 199"/>
    <x v="8"/>
    <n v="760.49"/>
    <n v="20"/>
    <s v="Net Banking"/>
    <n v="5475.53"/>
  </r>
  <r>
    <s v="ORD2126"/>
    <d v="2025-06-25T00:00:00"/>
    <s v="Lisa Morris"/>
    <s v="South"/>
    <s v="Furniture"/>
    <s v="Bretford Rectangular Conference Table Tops"/>
    <x v="8"/>
    <n v="625.72"/>
    <n v="20"/>
    <s v="Cash"/>
    <n v="4505.18"/>
  </r>
  <r>
    <s v="ORD2127"/>
    <d v="2024-03-13T00:00:00"/>
    <s v="Ashley Mills"/>
    <s v="North"/>
    <s v="Furniture"/>
    <s v="Bush Advantage Collection® Racetrack Conference Table"/>
    <x v="2"/>
    <n v="1765.02"/>
    <n v="0"/>
    <s v="Net Banking"/>
    <n v="14120.16"/>
  </r>
  <r>
    <s v="ORD2128"/>
    <d v="2024-10-16T00:00:00"/>
    <s v="Russell Anderson"/>
    <s v="North"/>
    <s v="Technology"/>
    <s v="T28 WORLD"/>
    <x v="7"/>
    <n v="947"/>
    <n v="15"/>
    <s v="Cash"/>
    <n v="804.95"/>
  </r>
  <r>
    <s v="ORD2129"/>
    <d v="2023-08-19T00:00:00"/>
    <s v="Christina Washington"/>
    <s v="South"/>
    <s v="Technology"/>
    <s v="Memorex 4.7GB DVD+R, 3/Pack"/>
    <x v="7"/>
    <n v="235.35"/>
    <n v="15"/>
    <s v="UPI"/>
    <n v="200.05"/>
  </r>
  <r>
    <s v="ORD2130"/>
    <d v="2024-09-16T00:00:00"/>
    <s v="Kenneth Huff"/>
    <s v="West"/>
    <s v="Office Supplies"/>
    <s v="Newell 326"/>
    <x v="8"/>
    <n v="1662.16"/>
    <n v="5"/>
    <s v="UPI"/>
    <n v="14211.47"/>
  </r>
  <r>
    <s v="ORD2131"/>
    <d v="2024-01-07T00:00:00"/>
    <s v="Kelly Miles"/>
    <s v="West"/>
    <s v="Technology"/>
    <s v="Memorex 4.7GB DVD-RAM, 3/Pack"/>
    <x v="2"/>
    <n v="142.9"/>
    <n v="5"/>
    <s v="Net Banking"/>
    <n v="1086.04"/>
  </r>
  <r>
    <s v="ORD2132"/>
    <d v="2023-10-17T00:00:00"/>
    <s v="Jacob Obrien"/>
    <s v="West"/>
    <s v="Office Supplies"/>
    <s v="Wausau Papers Astrobrights® Colored Envelopes"/>
    <x v="8"/>
    <n v="1467.16"/>
    <n v="5"/>
    <s v="UPI"/>
    <n v="12544.22"/>
  </r>
  <r>
    <s v="ORD2133"/>
    <d v="2024-02-15T00:00:00"/>
    <s v="Timothy Clark"/>
    <s v="East"/>
    <s v="Technology"/>
    <s v="Accessory35"/>
    <x v="0"/>
    <n v="1559.12"/>
    <n v="10"/>
    <s v="Credit Card"/>
    <n v="9822.4599999999991"/>
  </r>
  <r>
    <s v="ORD2134"/>
    <d v="2025-02-21T00:00:00"/>
    <s v="Steve Miller PhD"/>
    <s v="South"/>
    <s v="Office Supplies"/>
    <s v="Xerox 1983"/>
    <x v="4"/>
    <n v="737.58"/>
    <n v="5"/>
    <s v="Credit Card"/>
    <n v="2102.1"/>
  </r>
  <r>
    <s v="ORD2135"/>
    <d v="2024-06-22T00:00:00"/>
    <s v="Justin Hurley"/>
    <s v="East"/>
    <s v="Technology"/>
    <s v="Memorex 4.7GB DVD+RW, 3/Pack"/>
    <x v="4"/>
    <n v="1658.34"/>
    <n v="15"/>
    <s v="Credit Card"/>
    <n v="4228.7700000000004"/>
  </r>
  <r>
    <s v="ORD2136"/>
    <d v="2024-08-25T00:00:00"/>
    <s v="Jacob Erickson"/>
    <s v="East"/>
    <s v="Office Supplies"/>
    <s v="Lumber Crayons"/>
    <x v="6"/>
    <n v="1055.54"/>
    <n v="10"/>
    <s v="Credit Card"/>
    <n v="1899.97"/>
  </r>
  <r>
    <s v="ORD2137"/>
    <d v="2024-10-16T00:00:00"/>
    <s v="Deborah Williams"/>
    <s v="East"/>
    <s v="Technology"/>
    <s v="Timeport L7089"/>
    <x v="3"/>
    <n v="953.42"/>
    <n v="20"/>
    <s v="Cash"/>
    <n v="3813.68"/>
  </r>
  <r>
    <s v="ORD2138"/>
    <d v="2025-03-22T00:00:00"/>
    <s v="Eric Blackburn"/>
    <s v="North"/>
    <s v="Furniture"/>
    <s v="Atlantic Metals Mobile 2-Shelf Bookcases, Custom Colors"/>
    <x v="4"/>
    <n v="138.54"/>
    <n v="0"/>
    <s v="Cash"/>
    <n v="415.62"/>
  </r>
  <r>
    <s v="ORD2139"/>
    <d v="2024-02-14T00:00:00"/>
    <s v="Anne Hardy"/>
    <s v="North"/>
    <s v="Office Supplies"/>
    <s v="GBC DocuBind 200 Manual Binding Machine"/>
    <x v="5"/>
    <n v="615.55999999999995"/>
    <n v="5"/>
    <s v="Credit Card"/>
    <n v="3508.69"/>
  </r>
  <r>
    <s v="ORD2140"/>
    <d v="2025-01-29T00:00:00"/>
    <s v="Chelsey Fox"/>
    <s v="South"/>
    <s v="Furniture"/>
    <s v="Hon 4070 Series Pagoda™ Armless Upholstered Stacking Chairs"/>
    <x v="6"/>
    <n v="1865.47"/>
    <n v="20"/>
    <s v="Cash"/>
    <n v="2984.75"/>
  </r>
  <r>
    <s v="ORD2141"/>
    <d v="2024-08-15T00:00:00"/>
    <s v="Mario White"/>
    <s v="South"/>
    <s v="Technology"/>
    <s v="Gyration Ultra Professional Cordless Optical Suite"/>
    <x v="4"/>
    <n v="814.06"/>
    <n v="15"/>
    <s v="Credit Card"/>
    <n v="2075.85"/>
  </r>
  <r>
    <s v="ORD2142"/>
    <d v="2024-12-25T00:00:00"/>
    <s v="Jennifer Garcia"/>
    <s v="North"/>
    <s v="Office Supplies"/>
    <s v="Iris® 3-Drawer Stacking Bin, Black"/>
    <x v="3"/>
    <n v="1116.07"/>
    <n v="0"/>
    <s v="Net Banking"/>
    <n v="5580.35"/>
  </r>
  <r>
    <s v="ORD2143"/>
    <d v="2025-02-14T00:00:00"/>
    <s v="Heather Ellis"/>
    <s v="North"/>
    <s v="Technology"/>
    <s v="1726 Digital Answering Machine"/>
    <x v="7"/>
    <n v="1087.44"/>
    <n v="20"/>
    <s v="Cash"/>
    <n v="869.95"/>
  </r>
  <r>
    <s v="ORD2144"/>
    <d v="2024-08-27T00:00:00"/>
    <s v="Sonya Jackson"/>
    <s v="East"/>
    <s v="Office Supplies"/>
    <s v="Storex DuraTech Recycled Plastic Frosted Binders"/>
    <x v="7"/>
    <n v="1201.3399999999999"/>
    <n v="0"/>
    <s v="Credit Card"/>
    <n v="1201.3399999999999"/>
  </r>
  <r>
    <s v="ORD2145"/>
    <d v="2024-07-25T00:00:00"/>
    <s v="James Morgan"/>
    <s v="West"/>
    <s v="Technology"/>
    <s v="Targus USB Numeric Keypad"/>
    <x v="8"/>
    <n v="169.6"/>
    <n v="5"/>
    <s v="Credit Card"/>
    <n v="1450.08"/>
  </r>
  <r>
    <s v="ORD2146"/>
    <d v="2025-04-18T00:00:00"/>
    <s v="Zachary Ramos"/>
    <s v="West"/>
    <s v="Technology"/>
    <s v="Accessory41"/>
    <x v="0"/>
    <n v="756.24"/>
    <n v="15"/>
    <s v="Net Banking"/>
    <n v="4499.63"/>
  </r>
  <r>
    <s v="ORD2147"/>
    <d v="2023-08-25T00:00:00"/>
    <s v="Ethan Frey"/>
    <s v="West"/>
    <s v="Technology"/>
    <s v="Imation 5.2GB DVD-RAM"/>
    <x v="7"/>
    <n v="1460.1"/>
    <n v="0"/>
    <s v="Net Banking"/>
    <n v="1460.1"/>
  </r>
  <r>
    <s v="ORD2148"/>
    <d v="2023-10-23T00:00:00"/>
    <s v="Jacob Duran"/>
    <s v="West"/>
    <s v="Office Supplies"/>
    <s v="Avery 481"/>
    <x v="2"/>
    <n v="441.09"/>
    <n v="20"/>
    <s v="UPI"/>
    <n v="2822.98"/>
  </r>
  <r>
    <s v="ORD2149"/>
    <d v="2024-03-27T00:00:00"/>
    <s v="Nicholas Franklin"/>
    <s v="West"/>
    <s v="Technology"/>
    <s v="i500plus"/>
    <x v="4"/>
    <n v="446.98"/>
    <n v="5"/>
    <s v="Credit Card"/>
    <n v="1273.8900000000001"/>
  </r>
  <r>
    <s v="ORD2150"/>
    <d v="2024-01-31T00:00:00"/>
    <s v="Cindy Cannon"/>
    <s v="East"/>
    <s v="Office Supplies"/>
    <s v="Speediset Carbonless Redi-Letter® 7&quot; x 8 1/2&quot;"/>
    <x v="2"/>
    <n v="69.680000000000007"/>
    <n v="5"/>
    <s v="UPI"/>
    <n v="529.57000000000005"/>
  </r>
  <r>
    <s v="ORD2151"/>
    <d v="2024-06-21T00:00:00"/>
    <s v="Dawn Nixon"/>
    <s v="South"/>
    <s v="Furniture"/>
    <s v="Atlantic Metals Mobile 3-Shelf Bookcases, Custom Colors"/>
    <x v="3"/>
    <n v="903.09"/>
    <n v="20"/>
    <s v="Cash"/>
    <n v="3612.36"/>
  </r>
  <r>
    <s v="ORD2152"/>
    <d v="2025-01-30T00:00:00"/>
    <s v="James Barber"/>
    <s v="North"/>
    <s v="Furniture"/>
    <s v="Ultra Door Pull Handle"/>
    <x v="7"/>
    <n v="1771.33"/>
    <n v="20"/>
    <s v="Credit Card"/>
    <n v="1417.06"/>
  </r>
  <r>
    <s v="ORD2153"/>
    <d v="2024-02-16T00:00:00"/>
    <s v="Ms. Kelly Holder"/>
    <s v="East"/>
    <s v="Office Supplies"/>
    <s v="Xerox 1920"/>
    <x v="0"/>
    <n v="151.21"/>
    <n v="0"/>
    <s v="Credit Card"/>
    <n v="1058.47"/>
  </r>
  <r>
    <s v="ORD2154"/>
    <d v="2024-04-05T00:00:00"/>
    <s v="Eric Walker"/>
    <s v="West"/>
    <s v="Furniture"/>
    <s v="Hon 4070 Series Pagoda™ Armless Upholstered Stacking Chairs"/>
    <x v="3"/>
    <n v="422.68"/>
    <n v="10"/>
    <s v="Cash"/>
    <n v="1902.06"/>
  </r>
  <r>
    <s v="ORD2155"/>
    <d v="2025-01-08T00:00:00"/>
    <s v="Alison Short"/>
    <s v="North"/>
    <s v="Office Supplies"/>
    <s v="Binder Clips by OIC"/>
    <x v="5"/>
    <n v="654.66"/>
    <n v="5"/>
    <s v="Net Banking"/>
    <n v="3731.56"/>
  </r>
  <r>
    <s v="ORD2156"/>
    <d v="2024-11-05T00:00:00"/>
    <s v="Desiree Spencer"/>
    <s v="East"/>
    <s v="Office Supplies"/>
    <s v="Fellowes Superior 10 Outlet Split Surge Protector"/>
    <x v="5"/>
    <n v="1476.86"/>
    <n v="0"/>
    <s v="Credit Card"/>
    <n v="8861.16"/>
  </r>
  <r>
    <s v="ORD2157"/>
    <d v="2024-05-24T00:00:00"/>
    <s v="Tammy Moore"/>
    <s v="West"/>
    <s v="Technology"/>
    <s v="Hewlett Packard LaserJet 3310 Copier"/>
    <x v="2"/>
    <n v="1299.24"/>
    <n v="20"/>
    <s v="Net Banking"/>
    <n v="8315.14"/>
  </r>
  <r>
    <s v="ORD2158"/>
    <d v="2024-08-13T00:00:00"/>
    <s v="Henry Taylor"/>
    <s v="East"/>
    <s v="Office Supplies"/>
    <s v="Unpadded Memo Slips"/>
    <x v="8"/>
    <n v="861.09"/>
    <n v="0"/>
    <s v="Credit Card"/>
    <n v="7749.81"/>
  </r>
  <r>
    <s v="ORD2159"/>
    <d v="2024-10-14T00:00:00"/>
    <s v="Kevin Hall"/>
    <s v="North"/>
    <s v="Furniture"/>
    <s v="Bretford CR8500 Series Meeting Room Furniture"/>
    <x v="6"/>
    <n v="1530.18"/>
    <n v="20"/>
    <s v="UPI"/>
    <n v="2448.29"/>
  </r>
  <r>
    <s v="ORD2160"/>
    <d v="2024-09-27T00:00:00"/>
    <s v="Anna Ross"/>
    <s v="South"/>
    <s v="Technology"/>
    <s v="Gyration Ultra Professional Cordless Optical Suite"/>
    <x v="8"/>
    <n v="1238.78"/>
    <n v="15"/>
    <s v="Net Banking"/>
    <n v="9476.67"/>
  </r>
  <r>
    <s v="ORD2161"/>
    <d v="2024-05-05T00:00:00"/>
    <s v="Morgan Cummings"/>
    <s v="West"/>
    <s v="Furniture"/>
    <s v="Ultra Commercial Grade Dual Valve Door Closer"/>
    <x v="8"/>
    <n v="1797.28"/>
    <n v="20"/>
    <s v="UPI"/>
    <n v="12940.42"/>
  </r>
  <r>
    <s v="ORD2162"/>
    <d v="2024-07-07T00:00:00"/>
    <s v="Carrie Petersen"/>
    <s v="North"/>
    <s v="Office Supplies"/>
    <s v="Acco 6 Outlet Guardian Premium Surge Suppressor"/>
    <x v="0"/>
    <n v="1645.15"/>
    <n v="20"/>
    <s v="Credit Card"/>
    <n v="9212.84"/>
  </r>
  <r>
    <s v="ORD2163"/>
    <d v="2025-03-13T00:00:00"/>
    <s v="Laura Velez"/>
    <s v="North"/>
    <s v="Technology"/>
    <s v="Okidata ML320 Series Turbo Dot Matrix Printers"/>
    <x v="7"/>
    <n v="542.99"/>
    <n v="20"/>
    <s v="UPI"/>
    <n v="434.39"/>
  </r>
  <r>
    <s v="ORD2164"/>
    <d v="2024-10-12T00:00:00"/>
    <s v="Elizabeth Cross"/>
    <s v="South"/>
    <s v="Office Supplies"/>
    <s v="Xerox 1994"/>
    <x v="0"/>
    <n v="579.30999999999995"/>
    <n v="10"/>
    <s v="Credit Card"/>
    <n v="3649.65"/>
  </r>
  <r>
    <s v="ORD2165"/>
    <d v="2024-04-24T00:00:00"/>
    <s v="Angela Brown"/>
    <s v="East"/>
    <s v="Office Supplies"/>
    <s v="Xerox 1994"/>
    <x v="3"/>
    <n v="294.45"/>
    <n v="20"/>
    <s v="Credit Card"/>
    <n v="1177.8"/>
  </r>
  <r>
    <s v="ORD2166"/>
    <d v="2024-05-11T00:00:00"/>
    <s v="Hannah Montoya"/>
    <s v="South"/>
    <s v="Office Supplies"/>
    <s v="Sanford Liquid Accent Highlighters"/>
    <x v="5"/>
    <n v="707.08"/>
    <n v="5"/>
    <s v="UPI"/>
    <n v="4030.36"/>
  </r>
  <r>
    <s v="ORD2167"/>
    <d v="2025-02-07T00:00:00"/>
    <s v="Sean Kane"/>
    <s v="South"/>
    <s v="Office Supplies"/>
    <s v="*Staples* Packaging Labels"/>
    <x v="0"/>
    <n v="1999.11"/>
    <n v="5"/>
    <s v="Credit Card"/>
    <n v="13294.08"/>
  </r>
  <r>
    <s v="ORD2168"/>
    <d v="2024-07-29T00:00:00"/>
    <s v="Matthew Guzman"/>
    <s v="East"/>
    <s v="Furniture"/>
    <s v="Hon GuestStacker Chair"/>
    <x v="3"/>
    <n v="841.21"/>
    <n v="0"/>
    <s v="Cash"/>
    <n v="4206.05"/>
  </r>
  <r>
    <s v="ORD2169"/>
    <d v="2024-03-09T00:00:00"/>
    <s v="Richard Reyes"/>
    <s v="East"/>
    <s v="Office Supplies"/>
    <s v="Tennsco Lockers, Gray"/>
    <x v="0"/>
    <n v="479.95"/>
    <n v="10"/>
    <s v="Credit Card"/>
    <n v="3023.68"/>
  </r>
  <r>
    <s v="ORD2170"/>
    <d v="2024-04-06T00:00:00"/>
    <s v="Andrew Fernandez"/>
    <s v="East"/>
    <s v="Furniture"/>
    <s v="Bevis Steel Folding Chairs"/>
    <x v="8"/>
    <n v="1536.84"/>
    <n v="0"/>
    <s v="Credit Card"/>
    <n v="13831.56"/>
  </r>
  <r>
    <s v="ORD2171"/>
    <d v="2024-02-23T00:00:00"/>
    <s v="Jonathan Walker"/>
    <s v="North"/>
    <s v="Furniture"/>
    <s v="Hon Pagoda™ Stacking Chairs"/>
    <x v="4"/>
    <n v="1107.82"/>
    <n v="5"/>
    <s v="Cash"/>
    <n v="3157.29"/>
  </r>
  <r>
    <s v="ORD2172"/>
    <d v="2024-02-07T00:00:00"/>
    <s v="Nicholas Long"/>
    <s v="North"/>
    <s v="Technology"/>
    <s v="StarTAC 6500"/>
    <x v="2"/>
    <n v="341.72"/>
    <n v="5"/>
    <s v="Net Banking"/>
    <n v="2597.0700000000002"/>
  </r>
  <r>
    <s v="ORD2173"/>
    <d v="2023-11-13T00:00:00"/>
    <s v="Kurt Wagner"/>
    <s v="West"/>
    <s v="Technology"/>
    <s v="Lexmark Z25 Color Inkjet Printer"/>
    <x v="6"/>
    <n v="792.34"/>
    <n v="15"/>
    <s v="Cash"/>
    <n v="1346.98"/>
  </r>
  <r>
    <s v="ORD2174"/>
    <d v="2025-02-22T00:00:00"/>
    <s v="Dylan Foster"/>
    <s v="West"/>
    <s v="Technology"/>
    <s v="Verbatim DVD-RAM, 9.4GB, Rewritable, Type 1, DS, DataLife Plus"/>
    <x v="0"/>
    <n v="858.22"/>
    <n v="20"/>
    <s v="Cash"/>
    <n v="4806.03"/>
  </r>
  <r>
    <s v="ORD2175"/>
    <d v="2024-01-08T00:00:00"/>
    <s v="Bradley Duncan"/>
    <s v="South"/>
    <s v="Furniture"/>
    <s v="Bevis 36 x 72 Conference Tables"/>
    <x v="6"/>
    <n v="1519.97"/>
    <n v="5"/>
    <s v="Cash"/>
    <n v="2887.94"/>
  </r>
  <r>
    <s v="ORD2176"/>
    <d v="2024-04-13T00:00:00"/>
    <s v="James Miller"/>
    <s v="South"/>
    <s v="Office Supplies"/>
    <s v="Xerox 1974"/>
    <x v="1"/>
    <n v="90.31"/>
    <n v="0"/>
    <s v="Cash"/>
    <n v="361.24"/>
  </r>
  <r>
    <s v="ORD2177"/>
    <d v="2023-11-12T00:00:00"/>
    <s v="Patricia Anderson"/>
    <s v="West"/>
    <s v="Furniture"/>
    <s v="Bush Mission Pointe Library"/>
    <x v="0"/>
    <n v="574.59"/>
    <n v="0"/>
    <s v="Net Banking"/>
    <n v="4022.13"/>
  </r>
  <r>
    <s v="ORD2178"/>
    <d v="2025-03-11T00:00:00"/>
    <s v="Justin Freeman"/>
    <s v="South"/>
    <s v="Technology"/>
    <s v="Fellowes Internet Keyboard, Platinum"/>
    <x v="4"/>
    <n v="1059.31"/>
    <n v="20"/>
    <s v="Credit Card"/>
    <n v="2542.34"/>
  </r>
  <r>
    <s v="ORD2179"/>
    <d v="2024-10-01T00:00:00"/>
    <s v="Christina Gilbert"/>
    <s v="East"/>
    <s v="Technology"/>
    <s v="SouthWestern Bell FA970 Digital Answering Machine with Time/Day Stamp"/>
    <x v="6"/>
    <n v="574.25"/>
    <n v="20"/>
    <s v="UPI"/>
    <n v="918.8"/>
  </r>
  <r>
    <s v="ORD2180"/>
    <d v="2025-03-26T00:00:00"/>
    <s v="Danielle Jones"/>
    <s v="North"/>
    <s v="Office Supplies"/>
    <s v="Adams Phone Message Book, Professional, 400 Message Capacity, 5 3/6” x 11”"/>
    <x v="0"/>
    <n v="1275.45"/>
    <n v="15"/>
    <s v="Net Banking"/>
    <n v="7588.93"/>
  </r>
  <r>
    <s v="ORD2181"/>
    <d v="2025-01-29T00:00:00"/>
    <s v="Erica Glass"/>
    <s v="West"/>
    <s v="Technology"/>
    <s v="Epson DFX-8500 Dot Matrix Printer"/>
    <x v="7"/>
    <n v="989.64"/>
    <n v="10"/>
    <s v="Net Banking"/>
    <n v="890.68"/>
  </r>
  <r>
    <s v="ORD2182"/>
    <d v="2024-01-02T00:00:00"/>
    <s v="Michael Henderson"/>
    <s v="North"/>
    <s v="Office Supplies"/>
    <s v="Wilson Jones Custom Binder Spines &amp; Labels"/>
    <x v="2"/>
    <n v="755.33"/>
    <n v="0"/>
    <s v="Credit Card"/>
    <n v="6042.64"/>
  </r>
  <r>
    <s v="ORD2183"/>
    <d v="2024-01-07T00:00:00"/>
    <s v="Frank Wheeler"/>
    <s v="West"/>
    <s v="Technology"/>
    <s v="Sharp 1540cs Digital Laser Copier"/>
    <x v="4"/>
    <n v="1900.96"/>
    <n v="20"/>
    <s v="Cash"/>
    <n v="4562.3"/>
  </r>
  <r>
    <s v="ORD2184"/>
    <d v="2024-01-27T00:00:00"/>
    <s v="Eric Huerta"/>
    <s v="North"/>
    <s v="Office Supplies"/>
    <s v="Boston 16801 Nautilus™ Battery Pencil Sharpener"/>
    <x v="6"/>
    <n v="1282.71"/>
    <n v="0"/>
    <s v="Cash"/>
    <n v="2565.42"/>
  </r>
  <r>
    <s v="ORD2185"/>
    <d v="2025-03-07T00:00:00"/>
    <s v="Wanda Ramos"/>
    <s v="West"/>
    <s v="Office Supplies"/>
    <s v="Multi-Use Personal File Cart and Caster Set, Three Stacking Bins"/>
    <x v="4"/>
    <n v="303.39"/>
    <n v="20"/>
    <s v="Net Banking"/>
    <n v="728.14"/>
  </r>
  <r>
    <s v="ORD2186"/>
    <d v="2024-08-22T00:00:00"/>
    <s v="Andrew Meyers"/>
    <s v="North"/>
    <s v="Office Supplies"/>
    <s v="Advantus Rolling Storage Box"/>
    <x v="3"/>
    <n v="1142.18"/>
    <n v="5"/>
    <s v="UPI"/>
    <n v="5425.36"/>
  </r>
  <r>
    <s v="ORD2187"/>
    <d v="2024-03-13T00:00:00"/>
    <s v="James Todd"/>
    <s v="East"/>
    <s v="Furniture"/>
    <s v="Career Cubicle Clock, 8 1/4&quot;, Black"/>
    <x v="2"/>
    <n v="1572.43"/>
    <n v="0"/>
    <s v="Cash"/>
    <n v="12579.44"/>
  </r>
  <r>
    <s v="ORD2188"/>
    <d v="2025-02-24T00:00:00"/>
    <s v="Ashley Brown"/>
    <s v="West"/>
    <s v="Office Supplies"/>
    <s v="Tennsco Commercial Shelving"/>
    <x v="0"/>
    <n v="1431.55"/>
    <n v="5"/>
    <s v="Net Banking"/>
    <n v="9519.81"/>
  </r>
  <r>
    <s v="ORD2189"/>
    <d v="2024-11-11T00:00:00"/>
    <s v="Tammy Melton"/>
    <s v="West"/>
    <s v="Furniture"/>
    <s v="Hon Deluxe Fabric Upholstered Stacking Chairs, Rounded Back"/>
    <x v="0"/>
    <n v="385.57"/>
    <n v="0"/>
    <s v="UPI"/>
    <n v="2698.99"/>
  </r>
  <r>
    <s v="ORD2190"/>
    <d v="2025-03-24T00:00:00"/>
    <s v="Alexis Benson"/>
    <s v="West"/>
    <s v="Office Supplies"/>
    <s v="Binder Posts"/>
    <x v="0"/>
    <n v="1946.22"/>
    <n v="10"/>
    <s v="UPI"/>
    <n v="12261.19"/>
  </r>
  <r>
    <s v="ORD2191"/>
    <d v="2024-09-22T00:00:00"/>
    <s v="Jerry Johnson"/>
    <s v="East"/>
    <s v="Furniture"/>
    <s v="Eldon Cleatmat® Chair Mats for Medium Pile Carpets"/>
    <x v="2"/>
    <n v="925.19"/>
    <n v="15"/>
    <s v="UPI"/>
    <n v="6291.29"/>
  </r>
  <r>
    <s v="ORD2192"/>
    <d v="2024-11-17T00:00:00"/>
    <s v="Joshua Harris"/>
    <s v="North"/>
    <s v="Technology"/>
    <s v="Okidata ML390 Turbo Dot Matrix Printers"/>
    <x v="7"/>
    <n v="360.1"/>
    <n v="5"/>
    <s v="UPI"/>
    <n v="342.1"/>
  </r>
  <r>
    <s v="ORD2193"/>
    <d v="2024-03-18T00:00:00"/>
    <s v="Deanna Webb"/>
    <s v="West"/>
    <s v="Furniture"/>
    <s v="Advantus Employee of the Month Certificate Frame, 11 x 13-1/2"/>
    <x v="1"/>
    <n v="401.38"/>
    <n v="20"/>
    <s v="Net Banking"/>
    <n v="1284.42"/>
  </r>
  <r>
    <s v="ORD2194"/>
    <d v="2023-10-29T00:00:00"/>
    <s v="Brenda Hale"/>
    <s v="North"/>
    <s v="Technology"/>
    <s v="Panasonic KX-P3200 Dot Matrix Printer"/>
    <x v="5"/>
    <n v="241.56"/>
    <n v="10"/>
    <s v="Net Banking"/>
    <n v="1304.42"/>
  </r>
  <r>
    <s v="ORD2195"/>
    <d v="2025-05-19T00:00:00"/>
    <s v="Kevin Alvarado"/>
    <s v="East"/>
    <s v="Furniture"/>
    <s v="Hon 94000 Series Round Tables"/>
    <x v="8"/>
    <n v="1616.86"/>
    <n v="0"/>
    <s v="UPI"/>
    <n v="14551.74"/>
  </r>
  <r>
    <s v="ORD2196"/>
    <d v="2024-01-09T00:00:00"/>
    <s v="Christopher Campbell"/>
    <s v="South"/>
    <s v="Office Supplies"/>
    <s v="Xerox 1979"/>
    <x v="6"/>
    <n v="287.95999999999998"/>
    <n v="5"/>
    <s v="Cash"/>
    <n v="547.12"/>
  </r>
  <r>
    <s v="ORD2197"/>
    <d v="2024-03-29T00:00:00"/>
    <s v="Lisa Brown"/>
    <s v="West"/>
    <s v="Furniture"/>
    <s v="Hon Non-Folding Utility Tables"/>
    <x v="7"/>
    <n v="293.99"/>
    <n v="0"/>
    <s v="Cash"/>
    <n v="293.99"/>
  </r>
  <r>
    <s v="ORD2198"/>
    <d v="2024-02-04T00:00:00"/>
    <s v="Alejandra Price"/>
    <s v="East"/>
    <s v="Technology"/>
    <s v="Accessory36"/>
    <x v="6"/>
    <n v="1708.42"/>
    <n v="0"/>
    <s v="Net Banking"/>
    <n v="3416.84"/>
  </r>
  <r>
    <s v="ORD2199"/>
    <d v="2024-05-18T00:00:00"/>
    <s v="Samuel Keller"/>
    <s v="North"/>
    <s v="Office Supplies"/>
    <s v="Acco PRESSTEX® Data Binder with Storage Hooks, Dark Blue, 9 1/2&quot; X 11&quot;"/>
    <x v="0"/>
    <n v="721.98"/>
    <n v="0"/>
    <s v="UPI"/>
    <n v="5053.8599999999997"/>
  </r>
  <r>
    <s v="ORD2200"/>
    <d v="2023-12-29T00:00:00"/>
    <s v="Alicia Dillon"/>
    <s v="West"/>
    <s v="Office Supplies"/>
    <s v="Newell 337"/>
    <x v="4"/>
    <n v="110.17"/>
    <n v="15"/>
    <s v="UPI"/>
    <n v="280.93"/>
  </r>
  <r>
    <s v="ORD2201"/>
    <d v="2024-04-02T00:00:00"/>
    <s v="Crystal James"/>
    <s v="North"/>
    <s v="Office Supplies"/>
    <s v="Newell 339"/>
    <x v="6"/>
    <n v="151.19999999999999"/>
    <n v="15"/>
    <s v="Net Banking"/>
    <n v="257.04000000000002"/>
  </r>
  <r>
    <s v="ORD2202"/>
    <d v="2023-08-22T00:00:00"/>
    <s v="Ariana Stewart"/>
    <s v="South"/>
    <s v="Office Supplies"/>
    <s v="Newell 343"/>
    <x v="0"/>
    <n v="327.23"/>
    <n v="20"/>
    <s v="Net Banking"/>
    <n v="1832.49"/>
  </r>
  <r>
    <s v="ORD2203"/>
    <d v="2025-02-11T00:00:00"/>
    <s v="Kim Lopez"/>
    <s v="West"/>
    <s v="Office Supplies"/>
    <s v="Binder Clips by OIC"/>
    <x v="6"/>
    <n v="466.12"/>
    <n v="5"/>
    <s v="Net Banking"/>
    <n v="885.63"/>
  </r>
  <r>
    <s v="ORD2204"/>
    <d v="2024-09-29T00:00:00"/>
    <s v="Judith House"/>
    <s v="West"/>
    <s v="Office Supplies"/>
    <s v="Brown Kraft Recycled Envelopes"/>
    <x v="4"/>
    <n v="1347.04"/>
    <n v="10"/>
    <s v="Credit Card"/>
    <n v="3637.01"/>
  </r>
  <r>
    <s v="ORD2205"/>
    <d v="2023-11-18T00:00:00"/>
    <s v="David Moreno"/>
    <s v="North"/>
    <s v="Office Supplies"/>
    <s v="Brown Kraft Recycled Envelopes"/>
    <x v="0"/>
    <n v="356.79"/>
    <n v="10"/>
    <s v="Credit Card"/>
    <n v="2247.7800000000002"/>
  </r>
  <r>
    <s v="ORD2206"/>
    <d v="2024-03-12T00:00:00"/>
    <s v="James Moore"/>
    <s v="West"/>
    <s v="Office Supplies"/>
    <s v="Stanley Bostitch Contemporary Electric Pencil Sharpeners"/>
    <x v="1"/>
    <n v="281.81"/>
    <n v="10"/>
    <s v="UPI"/>
    <n v="1014.52"/>
  </r>
  <r>
    <s v="ORD2207"/>
    <d v="2023-09-16T00:00:00"/>
    <s v="Harold Garrett"/>
    <s v="East"/>
    <s v="Technology"/>
    <s v="282"/>
    <x v="7"/>
    <n v="1541.2"/>
    <n v="0"/>
    <s v="Credit Card"/>
    <n v="1541.2"/>
  </r>
  <r>
    <s v="ORD2208"/>
    <d v="2023-09-23T00:00:00"/>
    <s v="William Mason"/>
    <s v="East"/>
    <s v="Office Supplies"/>
    <s v="Stanley Bostitch Contemporary Electric Pencil Sharpeners"/>
    <x v="3"/>
    <n v="1358.56"/>
    <n v="15"/>
    <s v="Cash"/>
    <n v="5773.88"/>
  </r>
  <r>
    <s v="ORD2209"/>
    <d v="2024-10-14T00:00:00"/>
    <s v="Lori Johns"/>
    <s v="South"/>
    <s v="Technology"/>
    <s v="282"/>
    <x v="8"/>
    <n v="898.88"/>
    <n v="5"/>
    <s v="UPI"/>
    <n v="7685.42"/>
  </r>
  <r>
    <s v="ORD2210"/>
    <d v="2024-03-25T00:00:00"/>
    <s v="Robin Johnson"/>
    <s v="East"/>
    <s v="Technology"/>
    <s v="Belkin MediaBoard 104- Keyboard"/>
    <x v="2"/>
    <n v="1121.1500000000001"/>
    <n v="0"/>
    <s v="Credit Card"/>
    <n v="8969.2000000000007"/>
  </r>
  <r>
    <s v="ORD2211"/>
    <d v="2025-02-03T00:00:00"/>
    <s v="Diana Hernandez"/>
    <s v="South"/>
    <s v="Technology"/>
    <s v="Motorola SB4200 Cable Modem"/>
    <x v="8"/>
    <n v="658.37"/>
    <n v="15"/>
    <s v="UPI"/>
    <n v="5036.53"/>
  </r>
  <r>
    <s v="ORD2212"/>
    <d v="2023-11-18T00:00:00"/>
    <s v="Mary Miller"/>
    <s v="North"/>
    <s v="Office Supplies"/>
    <s v="Fellowes Strictly Business® Drawer File, Letter/Legal Size"/>
    <x v="8"/>
    <n v="990.88"/>
    <n v="15"/>
    <s v="Cash"/>
    <n v="7580.23"/>
  </r>
  <r>
    <s v="ORD2213"/>
    <d v="2024-12-19T00:00:00"/>
    <s v="Tyler Salazar"/>
    <s v="North"/>
    <s v="Technology"/>
    <s v="Gyration Ultra Cordless Optical Suite"/>
    <x v="0"/>
    <n v="1038.01"/>
    <n v="5"/>
    <s v="Cash"/>
    <n v="6902.77"/>
  </r>
  <r>
    <s v="ORD2214"/>
    <d v="2025-06-16T00:00:00"/>
    <s v="Crystal Allen"/>
    <s v="South"/>
    <s v="Furniture"/>
    <s v="Electrix 20W Halogen Replacement Bulb for Zoom-In Desk Lamp"/>
    <x v="1"/>
    <n v="805.11"/>
    <n v="5"/>
    <s v="UPI"/>
    <n v="3059.42"/>
  </r>
  <r>
    <s v="ORD2215"/>
    <d v="2025-03-18T00:00:00"/>
    <s v="Wesley Browning"/>
    <s v="East"/>
    <s v="Office Supplies"/>
    <s v="Boston 1799 Powerhouse™ Electric Pencil Sharpener"/>
    <x v="3"/>
    <n v="1817.82"/>
    <n v="5"/>
    <s v="Credit Card"/>
    <n v="8634.64"/>
  </r>
  <r>
    <s v="ORD2216"/>
    <d v="2024-08-27T00:00:00"/>
    <s v="Joshua Clark"/>
    <s v="East"/>
    <s v="Office Supplies"/>
    <s v="Tennsco Lockers, Gray"/>
    <x v="7"/>
    <n v="81.319999999999993"/>
    <n v="0"/>
    <s v="UPI"/>
    <n v="81.319999999999993"/>
  </r>
  <r>
    <s v="ORD2217"/>
    <d v="2023-10-30T00:00:00"/>
    <s v="Joshua Mcbride"/>
    <s v="South"/>
    <s v="Furniture"/>
    <s v="Tensor Computer Mounted Lamp"/>
    <x v="7"/>
    <n v="1575.23"/>
    <n v="20"/>
    <s v="Cash"/>
    <n v="1260.18"/>
  </r>
  <r>
    <s v="ORD2218"/>
    <d v="2025-06-19T00:00:00"/>
    <s v="Ellen Thornton"/>
    <s v="South"/>
    <s v="Furniture"/>
    <s v="Office Star - Mid Back Dual function Ergonomic High Back Chair with 2-Way Adjustable Arms"/>
    <x v="4"/>
    <n v="292.55"/>
    <n v="5"/>
    <s v="Credit Card"/>
    <n v="833.77"/>
  </r>
  <r>
    <s v="ORD2219"/>
    <d v="2023-08-21T00:00:00"/>
    <s v="Brandy Forbes"/>
    <s v="North"/>
    <s v="Office Supplies"/>
    <s v="Avery 51"/>
    <x v="2"/>
    <n v="1605.22"/>
    <n v="20"/>
    <s v="Credit Card"/>
    <n v="10273.41"/>
  </r>
  <r>
    <s v="ORD2220"/>
    <d v="2024-10-30T00:00:00"/>
    <s v="Brianna Fitzpatrick"/>
    <s v="South"/>
    <s v="Office Supplies"/>
    <s v="Rediform S.O.S. Phone Message Books"/>
    <x v="6"/>
    <n v="1251.03"/>
    <n v="0"/>
    <s v="Net Banking"/>
    <n v="2502.06"/>
  </r>
  <r>
    <s v="ORD2221"/>
    <d v="2024-03-19T00:00:00"/>
    <s v="Emily Grant"/>
    <s v="East"/>
    <s v="Technology"/>
    <s v="Panasonic KX-P1150 Dot Matrix Printer"/>
    <x v="1"/>
    <n v="1694.39"/>
    <n v="20"/>
    <s v="UPI"/>
    <n v="5422.05"/>
  </r>
  <r>
    <s v="ORD2222"/>
    <d v="2024-08-10T00:00:00"/>
    <s v="Bailey Stewart"/>
    <s v="South"/>
    <s v="Technology"/>
    <s v="Okidata ML320 Series Turbo Dot Matrix Printers"/>
    <x v="6"/>
    <n v="240.15"/>
    <n v="10"/>
    <s v="Cash"/>
    <n v="432.27"/>
  </r>
  <r>
    <s v="ORD2223"/>
    <d v="2024-08-17T00:00:00"/>
    <s v="Monica Cannon"/>
    <s v="South"/>
    <s v="Furniture"/>
    <s v="Metal Folding Chairs, Beige, 4/Carton"/>
    <x v="3"/>
    <n v="1140.01"/>
    <n v="20"/>
    <s v="Cash"/>
    <n v="4560.04"/>
  </r>
  <r>
    <s v="ORD2224"/>
    <d v="2024-07-19T00:00:00"/>
    <s v="Jennifer Jenkins"/>
    <s v="South"/>
    <s v="Furniture"/>
    <s v="Hon 94000 Series Round Tables"/>
    <x v="8"/>
    <n v="1027.1199999999999"/>
    <n v="5"/>
    <s v="UPI"/>
    <n v="8781.8799999999992"/>
  </r>
  <r>
    <s v="ORD2225"/>
    <d v="2024-05-02T00:00:00"/>
    <s v="Timothy Shannon"/>
    <s v="North"/>
    <s v="Technology"/>
    <s v="Memorex 4.7GB DVD+RW, 3/Pack"/>
    <x v="7"/>
    <n v="1427.08"/>
    <n v="0"/>
    <s v="UPI"/>
    <n v="1427.08"/>
  </r>
  <r>
    <s v="ORD2226"/>
    <d v="2024-01-02T00:00:00"/>
    <s v="Denise Maxwell"/>
    <s v="South"/>
    <s v="Technology"/>
    <s v="3285"/>
    <x v="3"/>
    <n v="1091.8699999999999"/>
    <n v="5"/>
    <s v="Cash"/>
    <n v="5186.38"/>
  </r>
  <r>
    <s v="ORD2227"/>
    <d v="2023-09-20T00:00:00"/>
    <s v="Cody Farmer"/>
    <s v="West"/>
    <s v="Office Supplies"/>
    <s v="Adams Phone Message Book, Professional, 400 Message Capacity, 5 3/6” x 11”"/>
    <x v="8"/>
    <n v="1104.43"/>
    <n v="10"/>
    <s v="Cash"/>
    <n v="8945.8799999999992"/>
  </r>
  <r>
    <s v="ORD2228"/>
    <d v="2024-02-24T00:00:00"/>
    <s v="Debra Bradley"/>
    <s v="West"/>
    <s v="Office Supplies"/>
    <s v="Safco Industrial Wire Shelving"/>
    <x v="7"/>
    <n v="887.71"/>
    <n v="5"/>
    <s v="UPI"/>
    <n v="843.32"/>
  </r>
  <r>
    <s v="ORD2229"/>
    <d v="2025-08-11T00:00:00"/>
    <s v="David Mcdaniel"/>
    <s v="West"/>
    <s v="Technology"/>
    <s v="Canon PC-428 Personal Copier"/>
    <x v="8"/>
    <n v="652.23"/>
    <n v="5"/>
    <s v="UPI"/>
    <n v="5576.57"/>
  </r>
  <r>
    <s v="ORD2230"/>
    <d v="2025-06-11T00:00:00"/>
    <s v="Michael Woods"/>
    <s v="East"/>
    <s v="Office Supplies"/>
    <s v="Newell 337"/>
    <x v="2"/>
    <n v="990.42"/>
    <n v="5"/>
    <s v="Credit Card"/>
    <n v="7527.19"/>
  </r>
  <r>
    <s v="ORD2231"/>
    <d v="2024-08-17T00:00:00"/>
    <s v="Lisa Joseph"/>
    <s v="East"/>
    <s v="Technology"/>
    <s v="Hayes Optima 56K V.90 Internal Voice Modem"/>
    <x v="1"/>
    <n v="281.06"/>
    <n v="15"/>
    <s v="Net Banking"/>
    <n v="955.6"/>
  </r>
  <r>
    <s v="ORD2232"/>
    <d v="2023-11-08T00:00:00"/>
    <s v="Samuel Henry"/>
    <s v="South"/>
    <s v="Office Supplies"/>
    <s v="Xerox 23"/>
    <x v="3"/>
    <n v="1924.95"/>
    <n v="10"/>
    <s v="Cash"/>
    <n v="8662.2800000000007"/>
  </r>
  <r>
    <s v="ORD2233"/>
    <d v="2025-05-11T00:00:00"/>
    <s v="Corey Johnson"/>
    <s v="West"/>
    <s v="Furniture"/>
    <s v="Coloredge Poster Frame"/>
    <x v="3"/>
    <n v="1443.1"/>
    <n v="5"/>
    <s v="Credit Card"/>
    <n v="6854.72"/>
  </r>
  <r>
    <s v="ORD2234"/>
    <d v="2023-10-01T00:00:00"/>
    <s v="Alexis Nelson"/>
    <s v="North"/>
    <s v="Furniture"/>
    <s v="Office Star Flex Back Scooter Chair with Aluminum Finish Frame"/>
    <x v="5"/>
    <n v="1907.31"/>
    <n v="5"/>
    <s v="UPI"/>
    <n v="10871.67"/>
  </r>
  <r>
    <s v="ORD2235"/>
    <d v="2024-06-18T00:00:00"/>
    <s v="Patrick Mcneil"/>
    <s v="West"/>
    <s v="Office Supplies"/>
    <s v="Fellowes Personal Hanging Folder Files, Navy"/>
    <x v="0"/>
    <n v="492.12"/>
    <n v="5"/>
    <s v="Net Banking"/>
    <n v="3272.6"/>
  </r>
  <r>
    <s v="ORD2236"/>
    <d v="2024-08-27T00:00:00"/>
    <s v="Andrea Ho"/>
    <s v="West"/>
    <s v="Furniture"/>
    <s v="Eldon® Wave Desk Accessories"/>
    <x v="2"/>
    <n v="1764.71"/>
    <n v="0"/>
    <s v="Cash"/>
    <n v="14117.68"/>
  </r>
  <r>
    <s v="ORD2237"/>
    <d v="2023-10-08T00:00:00"/>
    <s v="Dr. Katherine Nguyen"/>
    <s v="East"/>
    <s v="Office Supplies"/>
    <s v="Avery 48"/>
    <x v="2"/>
    <n v="1627.14"/>
    <n v="15"/>
    <s v="Net Banking"/>
    <n v="11064.55"/>
  </r>
  <r>
    <s v="ORD2238"/>
    <d v="2024-11-02T00:00:00"/>
    <s v="David Sullivan"/>
    <s v="East"/>
    <s v="Office Supplies"/>
    <s v="Xerox 1917"/>
    <x v="6"/>
    <n v="1370.45"/>
    <n v="0"/>
    <s v="Credit Card"/>
    <n v="2740.9"/>
  </r>
  <r>
    <s v="ORD2239"/>
    <d v="2024-12-12T00:00:00"/>
    <s v="Nicolas James"/>
    <s v="North"/>
    <s v="Office Supplies"/>
    <s v="Xerox 1983"/>
    <x v="8"/>
    <n v="1268.81"/>
    <n v="15"/>
    <s v="UPI"/>
    <n v="9706.4"/>
  </r>
  <r>
    <s v="ORD2240"/>
    <d v="2025-01-26T00:00:00"/>
    <s v="Logan Newton"/>
    <s v="East"/>
    <s v="Office Supplies"/>
    <s v="Tripp Lite Isotel 6 Outlet Surge Protector with Fax/Modem Protection"/>
    <x v="0"/>
    <n v="667.27"/>
    <n v="5"/>
    <s v="Credit Card"/>
    <n v="4437.3500000000004"/>
  </r>
  <r>
    <s v="ORD2241"/>
    <d v="2023-09-22T00:00:00"/>
    <s v="Kelly Liu"/>
    <s v="North"/>
    <s v="Furniture"/>
    <s v="Novimex Turbo Task Chair"/>
    <x v="1"/>
    <n v="1642"/>
    <n v="10"/>
    <s v="Net Banking"/>
    <n v="5911.2"/>
  </r>
  <r>
    <s v="ORD2242"/>
    <d v="2023-12-07T00:00:00"/>
    <s v="Kelly Hayes"/>
    <s v="East"/>
    <s v="Office Supplies"/>
    <s v="HP Office Paper (20Lb. and 87 Bright)"/>
    <x v="1"/>
    <n v="1027.96"/>
    <n v="20"/>
    <s v="Credit Card"/>
    <n v="3289.47"/>
  </r>
  <r>
    <s v="ORD2243"/>
    <d v="2023-12-05T00:00:00"/>
    <s v="Amanda Forbes"/>
    <s v="West"/>
    <s v="Office Supplies"/>
    <s v="#10- 4 1/8&quot; x 9 1/2&quot; Security-Tint Envelopes"/>
    <x v="2"/>
    <n v="188.24"/>
    <n v="20"/>
    <s v="Credit Card"/>
    <n v="1204.74"/>
  </r>
  <r>
    <s v="ORD2244"/>
    <d v="2025-05-03T00:00:00"/>
    <s v="Jennifer Moss"/>
    <s v="West"/>
    <s v="Technology"/>
    <s v="Hewlett-Packard Deskjet 1220Cse Color Inkjet Printer"/>
    <x v="1"/>
    <n v="660.08"/>
    <n v="5"/>
    <s v="UPI"/>
    <n v="2508.3000000000002"/>
  </r>
  <r>
    <s v="ORD2245"/>
    <d v="2024-10-22T00:00:00"/>
    <s v="Kelli Mccoy"/>
    <s v="North"/>
    <s v="Office Supplies"/>
    <s v="Avery White Multi-Purpose Labels"/>
    <x v="5"/>
    <n v="1873.83"/>
    <n v="0"/>
    <s v="UPI"/>
    <n v="11242.98"/>
  </r>
  <r>
    <s v="ORD2246"/>
    <d v="2024-04-03T00:00:00"/>
    <s v="Eddie Sanders"/>
    <s v="North"/>
    <s v="Technology"/>
    <s v="Accessory15"/>
    <x v="3"/>
    <n v="1708.83"/>
    <n v="10"/>
    <s v="Net Banking"/>
    <n v="7689.74"/>
  </r>
  <r>
    <s v="ORD2247"/>
    <d v="2023-10-17T00:00:00"/>
    <s v="Ronald Murray"/>
    <s v="East"/>
    <s v="Office Supplies"/>
    <s v="Avery White Multi-Purpose Labels"/>
    <x v="4"/>
    <n v="1964.72"/>
    <n v="15"/>
    <s v="Net Banking"/>
    <n v="5010.04"/>
  </r>
  <r>
    <s v="ORD2248"/>
    <d v="2024-02-20T00:00:00"/>
    <s v="Louis Brown"/>
    <s v="East"/>
    <s v="Technology"/>
    <s v="Epson C82 Color Inkjet Printer"/>
    <x v="6"/>
    <n v="1274.5899999999999"/>
    <n v="5"/>
    <s v="Credit Card"/>
    <n v="2421.7199999999998"/>
  </r>
  <r>
    <s v="ORD2249"/>
    <d v="2023-11-12T00:00:00"/>
    <s v="Brenda Gallegos"/>
    <s v="North"/>
    <s v="Office Supplies"/>
    <s v="Kensington 7 Outlet MasterPiece Power Center with Fax/Phone Line Protection"/>
    <x v="8"/>
    <n v="532.64"/>
    <n v="10"/>
    <s v="Cash"/>
    <n v="4314.38"/>
  </r>
  <r>
    <s v="ORD2250"/>
    <d v="2024-10-18T00:00:00"/>
    <s v="Nathan Wilson"/>
    <s v="North"/>
    <s v="Office Supplies"/>
    <s v="Acco Four Pocket Poly Ring Binder with Label Holder, Smoke, 1&quot;"/>
    <x v="8"/>
    <n v="367.49"/>
    <n v="10"/>
    <s v="Credit Card"/>
    <n v="2976.67"/>
  </r>
  <r>
    <s v="ORD2251"/>
    <d v="2025-03-27T00:00:00"/>
    <s v="Teresa Horton"/>
    <s v="West"/>
    <s v="Office Supplies"/>
    <s v="Xerox 213"/>
    <x v="7"/>
    <n v="414.48"/>
    <n v="15"/>
    <s v="Net Banking"/>
    <n v="352.31"/>
  </r>
  <r>
    <s v="ORD2252"/>
    <d v="2024-06-30T00:00:00"/>
    <s v="Jason Hayes"/>
    <s v="West"/>
    <s v="Office Supplies"/>
    <s v="Holmes Replacement Filter for HEPA Air Cleaner, Medium Room"/>
    <x v="4"/>
    <n v="88.6"/>
    <n v="10"/>
    <s v="Credit Card"/>
    <n v="239.22"/>
  </r>
  <r>
    <s v="ORD2253"/>
    <d v="2024-11-24T00:00:00"/>
    <s v="Kevin Marquez"/>
    <s v="North"/>
    <s v="Office Supplies"/>
    <s v="#10 White Business Envelopes,4 1/8 x 9 1/2"/>
    <x v="2"/>
    <n v="811.83"/>
    <n v="0"/>
    <s v="UPI"/>
    <n v="6494.64"/>
  </r>
  <r>
    <s v="ORD2254"/>
    <d v="2024-11-17T00:00:00"/>
    <s v="Jesse Wright"/>
    <s v="West"/>
    <s v="Furniture"/>
    <s v="Bevis Round Bullnose 29&quot; High Table Top"/>
    <x v="5"/>
    <n v="423.28"/>
    <n v="0"/>
    <s v="Credit Card"/>
    <n v="2539.6799999999998"/>
  </r>
  <r>
    <s v="ORD2255"/>
    <d v="2025-04-17T00:00:00"/>
    <s v="Susan Hogan"/>
    <s v="South"/>
    <s v="Office Supplies"/>
    <s v="Kensington 6 Outlet Guardian Standard Surge Protector"/>
    <x v="3"/>
    <n v="852.73"/>
    <n v="0"/>
    <s v="UPI"/>
    <n v="4263.6499999999996"/>
  </r>
  <r>
    <s v="ORD2256"/>
    <d v="2024-12-04T00:00:00"/>
    <s v="Becky Wilson"/>
    <s v="East"/>
    <s v="Office Supplies"/>
    <s v="Super Bands, 12/Pack"/>
    <x v="3"/>
    <n v="1873.24"/>
    <n v="10"/>
    <s v="Cash"/>
    <n v="8429.58"/>
  </r>
  <r>
    <s v="ORD2257"/>
    <d v="2024-02-03T00:00:00"/>
    <s v="Jack Mills"/>
    <s v="West"/>
    <s v="Technology"/>
    <s v="V70"/>
    <x v="5"/>
    <n v="889.55"/>
    <n v="0"/>
    <s v="UPI"/>
    <n v="5337.3"/>
  </r>
  <r>
    <s v="ORD2258"/>
    <d v="2025-04-05T00:00:00"/>
    <s v="Richard Hunt"/>
    <s v="South"/>
    <s v="Office Supplies"/>
    <s v="Acme Galleria® Hot Forged Steel Scissors with Colored Handles"/>
    <x v="0"/>
    <n v="1762.07"/>
    <n v="15"/>
    <s v="Cash"/>
    <n v="10484.32"/>
  </r>
  <r>
    <s v="ORD2259"/>
    <d v="2024-09-20T00:00:00"/>
    <s v="Jamie James"/>
    <s v="North"/>
    <s v="Office Supplies"/>
    <s v="Belkin 325VA UPS Surge Protector, 6'"/>
    <x v="7"/>
    <n v="1230.73"/>
    <n v="10"/>
    <s v="Cash"/>
    <n v="1107.6600000000001"/>
  </r>
  <r>
    <s v="ORD2260"/>
    <d v="2024-06-02T00:00:00"/>
    <s v="Susan Cunningham"/>
    <s v="West"/>
    <s v="Technology"/>
    <s v="Accessory36"/>
    <x v="8"/>
    <n v="531.91"/>
    <n v="20"/>
    <s v="Credit Card"/>
    <n v="3829.75"/>
  </r>
  <r>
    <s v="ORD2261"/>
    <d v="2024-07-26T00:00:00"/>
    <s v="Brittany Melton"/>
    <s v="North"/>
    <s v="Furniture"/>
    <s v="Westinghouse Floor Lamp with Metal Mesh Shade, Black"/>
    <x v="4"/>
    <n v="743.92"/>
    <n v="10"/>
    <s v="Net Banking"/>
    <n v="2008.58"/>
  </r>
  <r>
    <s v="ORD2262"/>
    <d v="2025-07-17T00:00:00"/>
    <s v="Michael Barnes"/>
    <s v="East"/>
    <s v="Technology"/>
    <s v="T28 WORLD"/>
    <x v="1"/>
    <n v="213.64"/>
    <n v="15"/>
    <s v="Net Banking"/>
    <n v="726.38"/>
  </r>
  <r>
    <s v="ORD2263"/>
    <d v="2024-07-20T00:00:00"/>
    <s v="Randy Griffin"/>
    <s v="North"/>
    <s v="Office Supplies"/>
    <s v="Ampad #10 Peel &amp; Seel® Holiday Envelopes"/>
    <x v="7"/>
    <n v="700.25"/>
    <n v="20"/>
    <s v="Credit Card"/>
    <n v="560.20000000000005"/>
  </r>
  <r>
    <s v="ORD2264"/>
    <d v="2024-03-29T00:00:00"/>
    <s v="Autumn Anderson"/>
    <s v="South"/>
    <s v="Technology"/>
    <s v="V70"/>
    <x v="4"/>
    <n v="1371.2"/>
    <n v="10"/>
    <s v="Cash"/>
    <n v="3702.24"/>
  </r>
  <r>
    <s v="ORD2265"/>
    <d v="2025-06-10T00:00:00"/>
    <s v="Marcus King"/>
    <s v="North"/>
    <s v="Office Supplies"/>
    <s v="Xerox 1903"/>
    <x v="6"/>
    <n v="190.62"/>
    <n v="0"/>
    <s v="Net Banking"/>
    <n v="381.24"/>
  </r>
  <r>
    <s v="ORD2266"/>
    <d v="2024-11-11T00:00:00"/>
    <s v="Scott Stephens"/>
    <s v="South"/>
    <s v="Office Supplies"/>
    <s v="Harmony HEPA Quiet Air Purifiers"/>
    <x v="6"/>
    <n v="450.53"/>
    <n v="5"/>
    <s v="UPI"/>
    <n v="856.01"/>
  </r>
  <r>
    <s v="ORD2267"/>
    <d v="2024-07-10T00:00:00"/>
    <s v="Stephen Young"/>
    <s v="West"/>
    <s v="Office Supplies"/>
    <s v="Portfile® Personal File Boxes"/>
    <x v="7"/>
    <n v="793.81"/>
    <n v="5"/>
    <s v="Net Banking"/>
    <n v="754.12"/>
  </r>
  <r>
    <s v="ORD2268"/>
    <d v="2024-04-05T00:00:00"/>
    <s v="Karen Ortiz"/>
    <s v="West"/>
    <s v="Office Supplies"/>
    <s v="Avery 493"/>
    <x v="2"/>
    <n v="1965"/>
    <n v="0"/>
    <s v="Cash"/>
    <n v="15720"/>
  </r>
  <r>
    <s v="ORD2269"/>
    <d v="2024-10-26T00:00:00"/>
    <s v="Kyle Sanchez"/>
    <s v="South"/>
    <s v="Office Supplies"/>
    <s v="Array® Parchment Paper, Assorted Colors"/>
    <x v="4"/>
    <n v="1580.48"/>
    <n v="5"/>
    <s v="Cash"/>
    <n v="4504.37"/>
  </r>
  <r>
    <s v="ORD2270"/>
    <d v="2024-12-06T00:00:00"/>
    <s v="Lisa Grant"/>
    <s v="East"/>
    <s v="Office Supplies"/>
    <s v="HP Office Paper (20Lb. and 87 Bright)"/>
    <x v="4"/>
    <n v="1480.3"/>
    <n v="5"/>
    <s v="UPI"/>
    <n v="4218.8500000000004"/>
  </r>
  <r>
    <s v="ORD2271"/>
    <d v="2023-09-27T00:00:00"/>
    <s v="Amber Hernandez"/>
    <s v="East"/>
    <s v="Office Supplies"/>
    <s v="Computer Printout Paper with Letter-Trim Perforations"/>
    <x v="5"/>
    <n v="276.57"/>
    <n v="0"/>
    <s v="Credit Card"/>
    <n v="1659.42"/>
  </r>
  <r>
    <s v="ORD2272"/>
    <d v="2024-11-27T00:00:00"/>
    <s v="Amanda Nash"/>
    <s v="East"/>
    <s v="Office Supplies"/>
    <s v="Xerox 1933"/>
    <x v="2"/>
    <n v="1572.94"/>
    <n v="0"/>
    <s v="Net Banking"/>
    <n v="12583.52"/>
  </r>
  <r>
    <s v="ORD2273"/>
    <d v="2025-03-08T00:00:00"/>
    <s v="Sara Evans"/>
    <s v="West"/>
    <s v="Office Supplies"/>
    <s v="Hunt Boston® Vacuum Mount KS Pencil Sharpener"/>
    <x v="8"/>
    <n v="1581.27"/>
    <n v="10"/>
    <s v="Credit Card"/>
    <n v="12808.29"/>
  </r>
  <r>
    <s v="ORD2274"/>
    <d v="2023-10-28T00:00:00"/>
    <s v="Amber Butler"/>
    <s v="West"/>
    <s v="Office Supplies"/>
    <s v="Desktop 3-Pocket Hot File®"/>
    <x v="8"/>
    <n v="1222.1500000000001"/>
    <n v="10"/>
    <s v="Net Banking"/>
    <n v="9899.42"/>
  </r>
  <r>
    <s v="ORD2275"/>
    <d v="2025-03-26T00:00:00"/>
    <s v="Michael Carr"/>
    <s v="East"/>
    <s v="Furniture"/>
    <s v="Master Giant Foot® Doorstop, Safety Yellow"/>
    <x v="1"/>
    <n v="1981.21"/>
    <n v="0"/>
    <s v="UPI"/>
    <n v="7924.84"/>
  </r>
  <r>
    <s v="ORD2276"/>
    <d v="2024-01-20T00:00:00"/>
    <s v="Linda Cobb"/>
    <s v="North"/>
    <s v="Office Supplies"/>
    <s v="Belkin F9M820V08 8 Outlet Surge"/>
    <x v="3"/>
    <n v="684.25"/>
    <n v="15"/>
    <s v="Credit Card"/>
    <n v="2908.06"/>
  </r>
  <r>
    <s v="ORD2277"/>
    <d v="2024-12-09T00:00:00"/>
    <s v="Jesse Riley"/>
    <s v="East"/>
    <s v="Office Supplies"/>
    <s v="Holmes HEPA Air Purifier"/>
    <x v="6"/>
    <n v="1885.48"/>
    <n v="5"/>
    <s v="Net Banking"/>
    <n v="3582.41"/>
  </r>
  <r>
    <s v="ORD2278"/>
    <d v="2024-01-22T00:00:00"/>
    <s v="Anna Evans"/>
    <s v="North"/>
    <s v="Technology"/>
    <s v="Logitech Cordless Navigator Duo"/>
    <x v="8"/>
    <n v="1833.73"/>
    <n v="10"/>
    <s v="Net Banking"/>
    <n v="14853.21"/>
  </r>
  <r>
    <s v="ORD2279"/>
    <d v="2024-03-04T00:00:00"/>
    <s v="James Jones"/>
    <s v="East"/>
    <s v="Furniture"/>
    <s v="Global Enterprise Series Seating High-Back Swivel/Tilt Chairs"/>
    <x v="2"/>
    <n v="72.39"/>
    <n v="5"/>
    <s v="Cash"/>
    <n v="550.16"/>
  </r>
  <r>
    <s v="ORD2280"/>
    <d v="2025-01-05T00:00:00"/>
    <s v="Joshua Carter"/>
    <s v="North"/>
    <s v="Office Supplies"/>
    <s v="Round Specialty Laser Printer Labels"/>
    <x v="4"/>
    <n v="927.73"/>
    <n v="20"/>
    <s v="Cash"/>
    <n v="2226.5500000000002"/>
  </r>
  <r>
    <s v="ORD2281"/>
    <d v="2023-10-14T00:00:00"/>
    <s v="Michael Hill"/>
    <s v="West"/>
    <s v="Furniture"/>
    <s v="Bevis Round Conference Table Top &amp; Single Column Base"/>
    <x v="8"/>
    <n v="1955.35"/>
    <n v="0"/>
    <s v="Net Banking"/>
    <n v="17598.150000000001"/>
  </r>
  <r>
    <s v="ORD2282"/>
    <d v="2023-12-11T00:00:00"/>
    <s v="Kelly Dominguez"/>
    <s v="East"/>
    <s v="Furniture"/>
    <s v="Global Enterprise Series Seating High-Back Swivel/Tilt Chairs"/>
    <x v="4"/>
    <n v="251.09"/>
    <n v="15"/>
    <s v="Cash"/>
    <n v="640.28"/>
  </r>
  <r>
    <s v="ORD2283"/>
    <d v="2024-02-14T00:00:00"/>
    <s v="Ashley Blair"/>
    <s v="East"/>
    <s v="Furniture"/>
    <s v="Bevis Round Conference Table Top &amp; Single Column Base"/>
    <x v="8"/>
    <n v="1118.18"/>
    <n v="20"/>
    <s v="Net Banking"/>
    <n v="8050.9"/>
  </r>
  <r>
    <s v="ORD2284"/>
    <d v="2023-12-25T00:00:00"/>
    <s v="Victoria Webb"/>
    <s v="South"/>
    <s v="Office Supplies"/>
    <s v="Tyvek® Side-Opening Peel &amp; Seel® Expanding Envelopes"/>
    <x v="6"/>
    <n v="1958.97"/>
    <n v="20"/>
    <s v="Net Banking"/>
    <n v="3134.35"/>
  </r>
  <r>
    <s v="ORD2285"/>
    <d v="2024-10-13T00:00:00"/>
    <s v="Taylor Andersen"/>
    <s v="East"/>
    <s v="Furniture"/>
    <s v="DAX Two-Tone Rosewood/Black Document Frame, Desktop, 5 x 7"/>
    <x v="8"/>
    <n v="1133.22"/>
    <n v="20"/>
    <s v="Cash"/>
    <n v="8159.18"/>
  </r>
  <r>
    <s v="ORD2286"/>
    <d v="2023-10-09T00:00:00"/>
    <s v="Lee Stewart"/>
    <s v="North"/>
    <s v="Office Supplies"/>
    <s v="Fellowes Staxonsteel® Drawer Files"/>
    <x v="2"/>
    <n v="420.14"/>
    <n v="0"/>
    <s v="Cash"/>
    <n v="3361.12"/>
  </r>
  <r>
    <s v="ORD2287"/>
    <d v="2023-12-11T00:00:00"/>
    <s v="Whitney Gomez"/>
    <s v="South"/>
    <s v="Office Supplies"/>
    <s v="Holmes Replacement Filter for HEPA Air Cleaner, Very Large Room, HEPA Filter"/>
    <x v="8"/>
    <n v="1185.26"/>
    <n v="10"/>
    <s v="Cash"/>
    <n v="9600.61"/>
  </r>
  <r>
    <s v="ORD2288"/>
    <d v="2023-08-14T00:00:00"/>
    <s v="Justin Stone"/>
    <s v="East"/>
    <s v="Office Supplies"/>
    <s v="Boston 1730 StandUp Electric Pencil Sharpener"/>
    <x v="3"/>
    <n v="448.66"/>
    <n v="0"/>
    <s v="Credit Card"/>
    <n v="2243.3000000000002"/>
  </r>
  <r>
    <s v="ORD2289"/>
    <d v="2024-06-24T00:00:00"/>
    <s v="Katherine White"/>
    <s v="East"/>
    <s v="Technology"/>
    <s v="Imation 3.5&quot;, DISKETTE 44766 HGHLD3.52HD/FM, 10/Pack"/>
    <x v="6"/>
    <n v="1063.42"/>
    <n v="10"/>
    <s v="UPI"/>
    <n v="1914.16"/>
  </r>
  <r>
    <s v="ORD2290"/>
    <d v="2024-07-26T00:00:00"/>
    <s v="Michelle Krause"/>
    <s v="West"/>
    <s v="Office Supplies"/>
    <s v="Lock-Up Easel 'Spel-Binder'"/>
    <x v="2"/>
    <n v="194.38"/>
    <n v="20"/>
    <s v="Net Banking"/>
    <n v="1244.03"/>
  </r>
  <r>
    <s v="ORD2291"/>
    <d v="2025-01-28T00:00:00"/>
    <s v="Alexander Garrett"/>
    <s v="South"/>
    <s v="Furniture"/>
    <s v="Global Ergonomic Managers Chair"/>
    <x v="5"/>
    <n v="1230.69"/>
    <n v="20"/>
    <s v="UPI"/>
    <n v="5907.31"/>
  </r>
  <r>
    <s v="ORD2292"/>
    <d v="2024-11-15T00:00:00"/>
    <s v="Ryan Marsh"/>
    <s v="North"/>
    <s v="Furniture"/>
    <s v="Tenex Traditional Chairmats for Medium Pile Carpet, Standard Lip, 36&quot; x 48&quot;"/>
    <x v="2"/>
    <n v="1057.74"/>
    <n v="15"/>
    <s v="Credit Card"/>
    <n v="7192.63"/>
  </r>
  <r>
    <s v="ORD2293"/>
    <d v="2024-08-10T00:00:00"/>
    <s v="Mrs. Felicia Castro DDS"/>
    <s v="East"/>
    <s v="Office Supplies"/>
    <s v="Holmes Replacement Filter for HEPA Air Cleaner, Large Room"/>
    <x v="3"/>
    <n v="1493.31"/>
    <n v="10"/>
    <s v="Credit Card"/>
    <n v="6719.9"/>
  </r>
  <r>
    <s v="ORD2294"/>
    <d v="2024-03-25T00:00:00"/>
    <s v="Curtis Campbell"/>
    <s v="West"/>
    <s v="Office Supplies"/>
    <s v="Newell 318"/>
    <x v="6"/>
    <n v="1279.8699999999999"/>
    <n v="20"/>
    <s v="Net Banking"/>
    <n v="2047.79"/>
  </r>
  <r>
    <s v="ORD2295"/>
    <d v="2023-09-06T00:00:00"/>
    <s v="Elizabeth Hunter"/>
    <s v="East"/>
    <s v="Office Supplies"/>
    <s v="Rubber Band Ball"/>
    <x v="5"/>
    <n v="1121.73"/>
    <n v="5"/>
    <s v="Net Banking"/>
    <n v="6393.86"/>
  </r>
  <r>
    <s v="ORD2296"/>
    <d v="2024-02-07T00:00:00"/>
    <s v="Aaron Jennings"/>
    <s v="South"/>
    <s v="Furniture"/>
    <s v="Eldon® Wave Desk Accessories"/>
    <x v="3"/>
    <n v="1395.07"/>
    <n v="15"/>
    <s v="UPI"/>
    <n v="5929.05"/>
  </r>
  <r>
    <s v="ORD2297"/>
    <d v="2024-03-22T00:00:00"/>
    <s v="Nathaniel Gilbert"/>
    <s v="North"/>
    <s v="Office Supplies"/>
    <s v="Wilson Jones DublLock® D-Ring Binders"/>
    <x v="3"/>
    <n v="330.69"/>
    <n v="0"/>
    <s v="UPI"/>
    <n v="1653.45"/>
  </r>
  <r>
    <s v="ORD2298"/>
    <d v="2025-02-11T00:00:00"/>
    <s v="Christopher Rivera"/>
    <s v="West"/>
    <s v="Office Supplies"/>
    <s v="Peel &amp; Seel® Recycled Catalog Envelopes, Brown"/>
    <x v="7"/>
    <n v="1210.95"/>
    <n v="15"/>
    <s v="Cash"/>
    <n v="1029.31"/>
  </r>
  <r>
    <s v="ORD2299"/>
    <d v="2024-03-18T00:00:00"/>
    <s v="Michael Hendricks"/>
    <s v="East"/>
    <s v="Furniture"/>
    <s v="Global Leather Highback Executive Chair with Pneumatic Height Adjustment, Black"/>
    <x v="6"/>
    <n v="385.62"/>
    <n v="5"/>
    <s v="UPI"/>
    <n v="732.68"/>
  </r>
  <r>
    <s v="ORD2300"/>
    <d v="2025-02-08T00:00:00"/>
    <s v="Maria Olson"/>
    <s v="North"/>
    <s v="Furniture"/>
    <s v="Bevis Round Conference Table Top, X-Base"/>
    <x v="2"/>
    <n v="1854.77"/>
    <n v="10"/>
    <s v="UPI"/>
    <n v="13354.34"/>
  </r>
  <r>
    <s v="ORD2301"/>
    <d v="2025-06-09T00:00:00"/>
    <s v="Stephanie Herrera"/>
    <s v="East"/>
    <s v="Technology"/>
    <s v="Panasonic KX-P3200 Dot Matrix Printer"/>
    <x v="4"/>
    <n v="183.25"/>
    <n v="0"/>
    <s v="Credit Card"/>
    <n v="549.75"/>
  </r>
  <r>
    <s v="ORD2302"/>
    <d v="2024-07-29T00:00:00"/>
    <s v="Richard Gutierrez"/>
    <s v="East"/>
    <s v="Furniture"/>
    <s v="BoxOffice By Design Rectangular and Half-Moon Meeting Room Tables"/>
    <x v="4"/>
    <n v="889.23"/>
    <n v="0"/>
    <s v="UPI"/>
    <n v="2667.69"/>
  </r>
  <r>
    <s v="ORD2303"/>
    <d v="2023-10-06T00:00:00"/>
    <s v="Sandy Evans"/>
    <s v="South"/>
    <s v="Office Supplies"/>
    <s v="Xerox 220"/>
    <x v="2"/>
    <n v="1406.81"/>
    <n v="10"/>
    <s v="Cash"/>
    <n v="10129.030000000001"/>
  </r>
  <r>
    <s v="ORD2304"/>
    <d v="2025-01-26T00:00:00"/>
    <s v="Emily Herrera"/>
    <s v="South"/>
    <s v="Office Supplies"/>
    <s v="Advantus 10-Drawer Portable Organizer, Chrome Metal Frame, Smoke Drawers"/>
    <x v="2"/>
    <n v="943.14"/>
    <n v="15"/>
    <s v="UPI"/>
    <n v="6413.35"/>
  </r>
  <r>
    <s v="ORD2305"/>
    <d v="2024-02-09T00:00:00"/>
    <s v="Michael Marsh"/>
    <s v="East"/>
    <s v="Technology"/>
    <s v="T65"/>
    <x v="6"/>
    <n v="229.59"/>
    <n v="20"/>
    <s v="Net Banking"/>
    <n v="367.34"/>
  </r>
  <r>
    <s v="ORD2306"/>
    <d v="2025-07-29T00:00:00"/>
    <s v="Heather Montes"/>
    <s v="West"/>
    <s v="Furniture"/>
    <s v="Lesro Sheffield Collection Coffee Table, End Table, Center Table, Corner Table"/>
    <x v="2"/>
    <n v="1129.0899999999999"/>
    <n v="15"/>
    <s v="Cash"/>
    <n v="7677.81"/>
  </r>
  <r>
    <s v="ORD2307"/>
    <d v="2024-03-04T00:00:00"/>
    <s v="Andre Terrell"/>
    <s v="South"/>
    <s v="Office Supplies"/>
    <s v="Newell 315"/>
    <x v="7"/>
    <n v="1301.18"/>
    <n v="5"/>
    <s v="Net Banking"/>
    <n v="1236.1199999999999"/>
  </r>
  <r>
    <s v="ORD2308"/>
    <d v="2025-04-14T00:00:00"/>
    <s v="Sarah Duncan"/>
    <s v="South"/>
    <s v="Technology"/>
    <s v="Accessory25"/>
    <x v="5"/>
    <n v="1422.4"/>
    <n v="20"/>
    <s v="Credit Card"/>
    <n v="6827.52"/>
  </r>
  <r>
    <s v="ORD2309"/>
    <d v="2025-04-17T00:00:00"/>
    <s v="Kurt Hancock"/>
    <s v="South"/>
    <s v="Furniture"/>
    <s v="Howard Miller 12-3/4 Diameter Accuwave DS ™ Wall Clock"/>
    <x v="2"/>
    <n v="777.86"/>
    <n v="15"/>
    <s v="Cash"/>
    <n v="5289.45"/>
  </r>
  <r>
    <s v="ORD2310"/>
    <d v="2024-12-09T00:00:00"/>
    <s v="Michele Edwards"/>
    <s v="South"/>
    <s v="Furniture"/>
    <s v="Bevis Round Conference Table Top &amp; Single Column Base"/>
    <x v="4"/>
    <n v="1149.1400000000001"/>
    <n v="10"/>
    <s v="Cash"/>
    <n v="3102.68"/>
  </r>
  <r>
    <s v="ORD2311"/>
    <d v="2024-11-12T00:00:00"/>
    <s v="Jason Crawford"/>
    <s v="North"/>
    <s v="Furniture"/>
    <s v="Seth Thomas 14&quot; Putty-Colored Wall Clock"/>
    <x v="2"/>
    <n v="928.84"/>
    <n v="5"/>
    <s v="UPI"/>
    <n v="7059.18"/>
  </r>
  <r>
    <s v="ORD2312"/>
    <d v="2025-01-06T00:00:00"/>
    <s v="Jesse Sampson"/>
    <s v="East"/>
    <s v="Technology"/>
    <s v="TimeportP7382"/>
    <x v="7"/>
    <n v="1360.51"/>
    <n v="5"/>
    <s v="Cash"/>
    <n v="1292.48"/>
  </r>
  <r>
    <s v="ORD2313"/>
    <d v="2025-04-27T00:00:00"/>
    <s v="Eric Rodriguez"/>
    <s v="North"/>
    <s v="Office Supplies"/>
    <s v="Kleencut® Forged Office Shears by Acme United Corporation"/>
    <x v="8"/>
    <n v="1187.94"/>
    <n v="5"/>
    <s v="Credit Card"/>
    <n v="10156.89"/>
  </r>
  <r>
    <s v="ORD2314"/>
    <d v="2025-08-06T00:00:00"/>
    <s v="Paula Gentry"/>
    <s v="North"/>
    <s v="Office Supplies"/>
    <s v="Post-it® “Important Message” Note Pad, Neon Colors, 50 Sheets/Pad"/>
    <x v="8"/>
    <n v="1075.22"/>
    <n v="20"/>
    <s v="Credit Card"/>
    <n v="7741.58"/>
  </r>
  <r>
    <s v="ORD2315"/>
    <d v="2024-01-12T00:00:00"/>
    <s v="Alexander Webb"/>
    <s v="East"/>
    <s v="Technology"/>
    <s v="80 Minute Slim Jewel Case CD-R , 10/Pack - Staples"/>
    <x v="3"/>
    <n v="536.57000000000005"/>
    <n v="0"/>
    <s v="Credit Card"/>
    <n v="2682.85"/>
  </r>
  <r>
    <s v="ORD2316"/>
    <d v="2024-07-07T00:00:00"/>
    <s v="Cheryl Mclean"/>
    <s v="South"/>
    <s v="Furniture"/>
    <s v="DAX Cubicle Frames - 8x10"/>
    <x v="1"/>
    <n v="53.94"/>
    <n v="20"/>
    <s v="Cash"/>
    <n v="172.61"/>
  </r>
  <r>
    <s v="ORD2317"/>
    <d v="2023-11-09T00:00:00"/>
    <s v="Kelly Rowe"/>
    <s v="West"/>
    <s v="Office Supplies"/>
    <s v="Xerox 1903"/>
    <x v="5"/>
    <n v="389.46"/>
    <n v="15"/>
    <s v="Cash"/>
    <n v="1986.25"/>
  </r>
  <r>
    <s v="ORD2318"/>
    <d v="2024-10-07T00:00:00"/>
    <s v="Shane Short"/>
    <s v="South"/>
    <s v="Office Supplies"/>
    <s v="Newell 310"/>
    <x v="0"/>
    <n v="278.27999999999997"/>
    <n v="0"/>
    <s v="UPI"/>
    <n v="1947.96"/>
  </r>
  <r>
    <s v="ORD2319"/>
    <d v="2024-02-02T00:00:00"/>
    <s v="Megan Anderson"/>
    <s v="South"/>
    <s v="Office Supplies"/>
    <s v="Newell 342"/>
    <x v="3"/>
    <n v="925.72"/>
    <n v="15"/>
    <s v="Credit Card"/>
    <n v="3934.31"/>
  </r>
  <r>
    <s v="ORD2320"/>
    <d v="2024-12-27T00:00:00"/>
    <s v="Julia Reeves"/>
    <s v="South"/>
    <s v="Office Supplies"/>
    <s v="Eldon Shelf Savers™ Cubes and Bins"/>
    <x v="8"/>
    <n v="1243.9000000000001"/>
    <n v="0"/>
    <s v="UPI"/>
    <n v="11195.1"/>
  </r>
  <r>
    <s v="ORD2321"/>
    <d v="2023-12-05T00:00:00"/>
    <s v="April Randolph"/>
    <s v="South"/>
    <s v="Office Supplies"/>
    <s v="GBC Therma-A-Bind 250T Electric Binding System"/>
    <x v="4"/>
    <n v="465.52"/>
    <n v="20"/>
    <s v="Credit Card"/>
    <n v="1117.25"/>
  </r>
  <r>
    <s v="ORD2322"/>
    <d v="2025-07-17T00:00:00"/>
    <s v="Linda Miller"/>
    <s v="West"/>
    <s v="Office Supplies"/>
    <s v="Avery Hi-Liter® Fluorescent Desk Style Markers"/>
    <x v="0"/>
    <n v="1881.16"/>
    <n v="5"/>
    <s v="UPI"/>
    <n v="12509.71"/>
  </r>
  <r>
    <s v="ORD2323"/>
    <d v="2024-03-05T00:00:00"/>
    <s v="Angel Meyer"/>
    <s v="North"/>
    <s v="Office Supplies"/>
    <s v="Holmes Replacement Filter for HEPA Air Cleaner, Very Large Room, HEPA Filter"/>
    <x v="3"/>
    <n v="63.03"/>
    <n v="10"/>
    <s v="Net Banking"/>
    <n v="283.64"/>
  </r>
  <r>
    <s v="ORD2324"/>
    <d v="2025-05-15T00:00:00"/>
    <s v="Emily Lane"/>
    <s v="West"/>
    <s v="Office Supplies"/>
    <s v="Avery Hi-Liter® Fluorescent Desk Style Markers"/>
    <x v="0"/>
    <n v="1555.99"/>
    <n v="5"/>
    <s v="Net Banking"/>
    <n v="10347.33"/>
  </r>
  <r>
    <s v="ORD2325"/>
    <d v="2023-11-30T00:00:00"/>
    <s v="Steven Flores"/>
    <s v="East"/>
    <s v="Office Supplies"/>
    <s v="GBC Therma-A-Bind 250T Electric Binding System"/>
    <x v="6"/>
    <n v="1269.1500000000001"/>
    <n v="20"/>
    <s v="Credit Card"/>
    <n v="2030.64"/>
  </r>
  <r>
    <s v="ORD2326"/>
    <d v="2023-10-06T00:00:00"/>
    <s v="Donald Flores"/>
    <s v="South"/>
    <s v="Office Supplies"/>
    <s v="Holmes Replacement Filter for HEPA Air Cleaner, Very Large Room, HEPA Filter"/>
    <x v="1"/>
    <n v="778.43"/>
    <n v="0"/>
    <s v="UPI"/>
    <n v="3113.72"/>
  </r>
  <r>
    <s v="ORD2327"/>
    <d v="2023-09-27T00:00:00"/>
    <s v="Bruce Hernandez"/>
    <s v="West"/>
    <s v="Furniture"/>
    <s v="Office Star - Contemporary Task Swivel chair with 2-way adjustable arms, Plum"/>
    <x v="6"/>
    <n v="148.44999999999999"/>
    <n v="5"/>
    <s v="Cash"/>
    <n v="282.05"/>
  </r>
  <r>
    <s v="ORD2328"/>
    <d v="2023-12-18T00:00:00"/>
    <s v="Adrian Dean"/>
    <s v="East"/>
    <s v="Technology"/>
    <s v="Imation Primaris 3.5&quot; 2HD Unformatted Diskettes, 10/Pack"/>
    <x v="0"/>
    <n v="1273.5999999999999"/>
    <n v="20"/>
    <s v="Cash"/>
    <n v="7132.16"/>
  </r>
  <r>
    <s v="ORD2329"/>
    <d v="2025-04-18T00:00:00"/>
    <s v="Christine Bell"/>
    <s v="West"/>
    <s v="Office Supplies"/>
    <s v="Tyvek ® Top-Opening Peel &amp; Seel Envelopes, Plain White"/>
    <x v="6"/>
    <n v="801.95"/>
    <n v="15"/>
    <s v="Cash"/>
    <n v="1363.32"/>
  </r>
  <r>
    <s v="ORD2330"/>
    <d v="2024-04-06T00:00:00"/>
    <s v="Charles Bush"/>
    <s v="South"/>
    <s v="Technology"/>
    <s v="Polycom Soundstation EX Audio-Conferencing Telephone, Black"/>
    <x v="7"/>
    <n v="1875.72"/>
    <n v="10"/>
    <s v="UPI"/>
    <n v="1688.15"/>
  </r>
  <r>
    <s v="ORD2331"/>
    <d v="2024-11-16T00:00:00"/>
    <s v="David Jones"/>
    <s v="South"/>
    <s v="Office Supplies"/>
    <s v="Xerox 23"/>
    <x v="8"/>
    <n v="1106.8800000000001"/>
    <n v="5"/>
    <s v="Net Banking"/>
    <n v="9463.82"/>
  </r>
  <r>
    <s v="ORD2332"/>
    <d v="2025-03-15T00:00:00"/>
    <s v="Gina Wallace"/>
    <s v="East"/>
    <s v="Office Supplies"/>
    <s v="Xerox 216"/>
    <x v="7"/>
    <n v="1882.32"/>
    <n v="0"/>
    <s v="Cash"/>
    <n v="1882.32"/>
  </r>
  <r>
    <s v="ORD2333"/>
    <d v="2025-05-13T00:00:00"/>
    <s v="John Lowe"/>
    <s v="West"/>
    <s v="Furniture"/>
    <s v="Eldon Antistatic Chair Mats for Low to Medium Pile Carpets"/>
    <x v="2"/>
    <n v="479.94"/>
    <n v="15"/>
    <s v="Credit Card"/>
    <n v="3263.59"/>
  </r>
  <r>
    <s v="ORD2334"/>
    <d v="2024-10-27T00:00:00"/>
    <s v="Anthony Simmons"/>
    <s v="South"/>
    <s v="Office Supplies"/>
    <s v="Fellowes Binding Cases"/>
    <x v="6"/>
    <n v="1465.17"/>
    <n v="20"/>
    <s v="Net Banking"/>
    <n v="2344.27"/>
  </r>
  <r>
    <s v="ORD2335"/>
    <d v="2025-07-27T00:00:00"/>
    <s v="Kyle Watkins"/>
    <s v="East"/>
    <s v="Office Supplies"/>
    <s v="Presstex Flexible Ring Binders"/>
    <x v="2"/>
    <n v="1253.6400000000001"/>
    <n v="10"/>
    <s v="Credit Card"/>
    <n v="9026.2099999999991"/>
  </r>
  <r>
    <s v="ORD2336"/>
    <d v="2024-03-23T00:00:00"/>
    <s v="Melissa Jensen"/>
    <s v="West"/>
    <s v="Office Supplies"/>
    <s v="Tripp Lite Isotel 6 Outlet Surge Protector with Fax/Modem Protection"/>
    <x v="4"/>
    <n v="1491.85"/>
    <n v="0"/>
    <s v="UPI"/>
    <n v="4475.55"/>
  </r>
  <r>
    <s v="ORD2337"/>
    <d v="2024-07-18T00:00:00"/>
    <s v="Robert Marquez"/>
    <s v="West"/>
    <s v="Office Supplies"/>
    <s v="Rediform Wirebound &quot;Phone Memo&quot; Message Book, 11 x 5-3/4"/>
    <x v="5"/>
    <n v="468.6"/>
    <n v="20"/>
    <s v="Cash"/>
    <n v="2249.2800000000002"/>
  </r>
  <r>
    <s v="ORD2338"/>
    <d v="2023-11-16T00:00:00"/>
    <s v="Kim Beltran"/>
    <s v="East"/>
    <s v="Technology"/>
    <s v="StarTAC 7760"/>
    <x v="4"/>
    <n v="1346.74"/>
    <n v="20"/>
    <s v="Credit Card"/>
    <n v="3232.18"/>
  </r>
  <r>
    <s v="ORD2339"/>
    <d v="2024-08-10T00:00:00"/>
    <s v="Julie Anderson"/>
    <s v="West"/>
    <s v="Office Supplies"/>
    <s v="Sanford EarthWrite® Recycled Pencils, Medium Soft, #2"/>
    <x v="0"/>
    <n v="1021.18"/>
    <n v="5"/>
    <s v="UPI"/>
    <n v="6790.85"/>
  </r>
  <r>
    <s v="ORD2340"/>
    <d v="2025-01-27T00:00:00"/>
    <s v="Tamara Mcdonald"/>
    <s v="West"/>
    <s v="Technology"/>
    <s v="Canon PC1080F Personal Copier"/>
    <x v="8"/>
    <n v="1498.51"/>
    <n v="5"/>
    <s v="Cash"/>
    <n v="12812.26"/>
  </r>
  <r>
    <s v="ORD2341"/>
    <d v="2024-04-04T00:00:00"/>
    <s v="Michael Mckinney"/>
    <s v="South"/>
    <s v="Office Supplies"/>
    <s v="Newell 318"/>
    <x v="6"/>
    <n v="687.74"/>
    <n v="0"/>
    <s v="UPI"/>
    <n v="1375.48"/>
  </r>
  <r>
    <s v="ORD2342"/>
    <d v="2025-02-05T00:00:00"/>
    <s v="David Walker"/>
    <s v="South"/>
    <s v="Office Supplies"/>
    <s v="Holmes Harmony HEPA Air Purifier for 17 x 20 Room"/>
    <x v="3"/>
    <n v="1785.61"/>
    <n v="20"/>
    <s v="Credit Card"/>
    <n v="7142.44"/>
  </r>
  <r>
    <s v="ORD2343"/>
    <d v="2024-06-19T00:00:00"/>
    <s v="Lisa Durham"/>
    <s v="South"/>
    <s v="Office Supplies"/>
    <s v="XtraLife® ClearVue™ Slant-D® Ring Binders by Cardinal"/>
    <x v="5"/>
    <n v="214.39"/>
    <n v="5"/>
    <s v="Net Banking"/>
    <n v="1222.02"/>
  </r>
  <r>
    <s v="ORD2344"/>
    <d v="2024-03-10T00:00:00"/>
    <s v="Michael Ortega"/>
    <s v="East"/>
    <s v="Office Supplies"/>
    <s v="Black Print Carbonless Snap-Off® Rapid Letter, 8 1/2&quot; x 7&quot;"/>
    <x v="1"/>
    <n v="1624.02"/>
    <n v="10"/>
    <s v="Credit Card"/>
    <n v="5846.47"/>
  </r>
  <r>
    <s v="ORD2345"/>
    <d v="2024-09-03T00:00:00"/>
    <s v="Sonya Chavez"/>
    <s v="North"/>
    <s v="Furniture"/>
    <s v="Global Airflow Leather Mesh Back Chair, Black"/>
    <x v="1"/>
    <n v="1729.57"/>
    <n v="10"/>
    <s v="Credit Card"/>
    <n v="6226.45"/>
  </r>
  <r>
    <s v="ORD2346"/>
    <d v="2024-10-04T00:00:00"/>
    <s v="John Bell"/>
    <s v="West"/>
    <s v="Office Supplies"/>
    <s v="Avery Binder Labels"/>
    <x v="1"/>
    <n v="1643.64"/>
    <n v="20"/>
    <s v="Net Banking"/>
    <n v="5259.65"/>
  </r>
  <r>
    <s v="ORD2347"/>
    <d v="2024-08-29T00:00:00"/>
    <s v="Christopher Tate"/>
    <s v="East"/>
    <s v="Technology"/>
    <s v="Logitech Cordless Elite Duo"/>
    <x v="6"/>
    <n v="1049.82"/>
    <n v="5"/>
    <s v="UPI"/>
    <n v="1994.66"/>
  </r>
  <r>
    <s v="ORD2348"/>
    <d v="2024-07-17T00:00:00"/>
    <s v="Bethany Garcia"/>
    <s v="North"/>
    <s v="Furniture"/>
    <s v="Advantus Employee of the Month Certificate Frame, 11 x 13-1/2"/>
    <x v="1"/>
    <n v="904.85"/>
    <n v="0"/>
    <s v="UPI"/>
    <n v="3619.4"/>
  </r>
  <r>
    <s v="ORD2349"/>
    <d v="2023-10-13T00:00:00"/>
    <s v="Rebecca Nguyen"/>
    <s v="North"/>
    <s v="Office Supplies"/>
    <s v="Hoover Portapower™ Portable Vacuum"/>
    <x v="7"/>
    <n v="1992.71"/>
    <n v="0"/>
    <s v="Credit Card"/>
    <n v="1992.71"/>
  </r>
  <r>
    <s v="ORD2350"/>
    <d v="2024-11-18T00:00:00"/>
    <s v="Rebecca Patel"/>
    <s v="East"/>
    <s v="Furniture"/>
    <s v="Executive Impressions 12&quot; Wall Clock"/>
    <x v="5"/>
    <n v="496.89"/>
    <n v="0"/>
    <s v="Credit Card"/>
    <n v="2981.34"/>
  </r>
  <r>
    <s v="ORD2351"/>
    <d v="2023-09-11T00:00:00"/>
    <s v="Jason Oliver"/>
    <s v="North"/>
    <s v="Office Supplies"/>
    <s v="White Dual Perf Computer Printout Paper, 2700 Sheets, 1 Part, Heavyweight, 20 lbs., 14 7/8 x 11"/>
    <x v="7"/>
    <n v="1116.4100000000001"/>
    <n v="10"/>
    <s v="UPI"/>
    <n v="1004.77"/>
  </r>
  <r>
    <s v="ORD2352"/>
    <d v="2025-07-02T00:00:00"/>
    <s v="Valerie Reyes"/>
    <s v="South"/>
    <s v="Office Supplies"/>
    <s v="Avery Premier Heavy-Duty Binder with Round Locking Rings"/>
    <x v="5"/>
    <n v="1357.82"/>
    <n v="5"/>
    <s v="Net Banking"/>
    <n v="7739.57"/>
  </r>
  <r>
    <s v="ORD2353"/>
    <d v="2024-07-12T00:00:00"/>
    <s v="Robert Garza"/>
    <s v="East"/>
    <s v="Office Supplies"/>
    <s v="SANFORD Major Accent™ Highlighters"/>
    <x v="7"/>
    <n v="1416.69"/>
    <n v="5"/>
    <s v="Cash"/>
    <n v="1345.86"/>
  </r>
  <r>
    <s v="ORD2354"/>
    <d v="2025-03-04T00:00:00"/>
    <s v="Jessica Cobb"/>
    <s v="West"/>
    <s v="Technology"/>
    <s v="7160"/>
    <x v="5"/>
    <n v="447.85"/>
    <n v="10"/>
    <s v="Net Banking"/>
    <n v="2418.39"/>
  </r>
  <r>
    <s v="ORD2355"/>
    <d v="2024-04-18T00:00:00"/>
    <s v="Cynthia Bates"/>
    <s v="South"/>
    <s v="Office Supplies"/>
    <s v="GBC Standard Plastic Binding Systems Combs"/>
    <x v="2"/>
    <n v="1325.29"/>
    <n v="0"/>
    <s v="Credit Card"/>
    <n v="10602.32"/>
  </r>
  <r>
    <s v="ORD2356"/>
    <d v="2024-11-22T00:00:00"/>
    <s v="Timothy Andrews"/>
    <s v="West"/>
    <s v="Office Supplies"/>
    <s v="Dual Level, Single-Width Filing Carts"/>
    <x v="6"/>
    <n v="1645.82"/>
    <n v="0"/>
    <s v="UPI"/>
    <n v="3291.64"/>
  </r>
  <r>
    <s v="ORD2357"/>
    <d v="2024-02-22T00:00:00"/>
    <s v="Mr. Joel Peters"/>
    <s v="North"/>
    <s v="Office Supplies"/>
    <s v="Dual Level, Single-Width Filing Carts"/>
    <x v="6"/>
    <n v="147.54"/>
    <n v="20"/>
    <s v="Net Banking"/>
    <n v="236.06"/>
  </r>
  <r>
    <s v="ORD2358"/>
    <d v="2023-09-01T00:00:00"/>
    <s v="Casey Blanchard"/>
    <s v="South"/>
    <s v="Office Supplies"/>
    <s v="3M Organizer Strips"/>
    <x v="1"/>
    <n v="1827.47"/>
    <n v="15"/>
    <s v="Credit Card"/>
    <n v="6213.4"/>
  </r>
  <r>
    <s v="ORD2359"/>
    <d v="2023-10-21T00:00:00"/>
    <s v="Brian Cervantes"/>
    <s v="West"/>
    <s v="Office Supplies"/>
    <s v="GBC Standard Plastic Binding Systems Combs"/>
    <x v="4"/>
    <n v="107.53"/>
    <n v="5"/>
    <s v="Cash"/>
    <n v="306.45999999999998"/>
  </r>
  <r>
    <s v="ORD2360"/>
    <d v="2024-02-05T00:00:00"/>
    <s v="Jamie Snyder"/>
    <s v="East"/>
    <s v="Technology"/>
    <s v="Lexmark Z54se Color Inkjet Printer"/>
    <x v="1"/>
    <n v="744.14"/>
    <n v="5"/>
    <s v="Cash"/>
    <n v="2827.73"/>
  </r>
  <r>
    <s v="ORD2361"/>
    <d v="2025-01-16T00:00:00"/>
    <s v="Ann Montoya"/>
    <s v="North"/>
    <s v="Furniture"/>
    <s v="Howard Miller 16&quot; Diameter Gallery Wall Clock"/>
    <x v="0"/>
    <n v="80.84"/>
    <n v="5"/>
    <s v="Net Banking"/>
    <n v="537.59"/>
  </r>
  <r>
    <s v="ORD2362"/>
    <d v="2025-05-22T00:00:00"/>
    <s v="Stephanie Fields"/>
    <s v="West"/>
    <s v="Technology"/>
    <s v="Imation 3.5, DISKETTE 44766 HGHLD3.52HD/FM, 10/Pack"/>
    <x v="7"/>
    <n v="200.43"/>
    <n v="15"/>
    <s v="Credit Card"/>
    <n v="170.37"/>
  </r>
  <r>
    <s v="ORD2363"/>
    <d v="2025-06-10T00:00:00"/>
    <s v="Charles Hernandez"/>
    <s v="North"/>
    <s v="Office Supplies"/>
    <s v="Avery Arch Ring Binders"/>
    <x v="5"/>
    <n v="1826.78"/>
    <n v="20"/>
    <s v="Credit Card"/>
    <n v="8768.5400000000009"/>
  </r>
  <r>
    <s v="ORD2364"/>
    <d v="2024-10-31T00:00:00"/>
    <s v="Jean Lane"/>
    <s v="West"/>
    <s v="Office Supplies"/>
    <s v="Binney &amp; Smith inkTank™ Erasable Pocket Highlighter, Chisel Tip, Yellow"/>
    <x v="4"/>
    <n v="741.98"/>
    <n v="15"/>
    <s v="Cash"/>
    <n v="1892.05"/>
  </r>
  <r>
    <s v="ORD2365"/>
    <d v="2024-11-10T00:00:00"/>
    <s v="Michael Stewart"/>
    <s v="East"/>
    <s v="Office Supplies"/>
    <s v="Xerox 214"/>
    <x v="0"/>
    <n v="878.3"/>
    <n v="0"/>
    <s v="UPI"/>
    <n v="6148.1"/>
  </r>
  <r>
    <s v="ORD2366"/>
    <d v="2023-08-28T00:00:00"/>
    <s v="Susan Torres"/>
    <s v="South"/>
    <s v="Office Supplies"/>
    <s v="Newell 31"/>
    <x v="6"/>
    <n v="469.92"/>
    <n v="0"/>
    <s v="UPI"/>
    <n v="939.84"/>
  </r>
  <r>
    <s v="ORD2367"/>
    <d v="2025-03-28T00:00:00"/>
    <s v="Jessica Haas"/>
    <s v="West"/>
    <s v="Technology"/>
    <s v="Canon imageCLASS 2200 Advanced Copier"/>
    <x v="6"/>
    <n v="1214.3399999999999"/>
    <n v="5"/>
    <s v="Net Banking"/>
    <n v="2307.25"/>
  </r>
  <r>
    <s v="ORD2368"/>
    <d v="2025-01-15T00:00:00"/>
    <s v="Brandon Smith"/>
    <s v="North"/>
    <s v="Technology"/>
    <s v="Motorola SB4200 Cable Modem"/>
    <x v="1"/>
    <n v="1209.8699999999999"/>
    <n v="10"/>
    <s v="Net Banking"/>
    <n v="4355.53"/>
  </r>
  <r>
    <s v="ORD2369"/>
    <d v="2025-05-11T00:00:00"/>
    <s v="Mrs. Bethany Phillips"/>
    <s v="East"/>
    <s v="Furniture"/>
    <s v="Deflect-o RollaMat Studded, Beveled Mat for Medium Pile Carpeting"/>
    <x v="7"/>
    <n v="775.79"/>
    <n v="5"/>
    <s v="Cash"/>
    <n v="737"/>
  </r>
  <r>
    <s v="ORD2370"/>
    <d v="2024-03-08T00:00:00"/>
    <s v="Joshua Brown"/>
    <s v="South"/>
    <s v="Office Supplies"/>
    <s v="GBC Twin Loop™ Wire Binding Elements, 9/16&quot; Spine, Black"/>
    <x v="4"/>
    <n v="699.42"/>
    <n v="10"/>
    <s v="Credit Card"/>
    <n v="1888.43"/>
  </r>
  <r>
    <s v="ORD2371"/>
    <d v="2024-11-01T00:00:00"/>
    <s v="Samantha Howard"/>
    <s v="North"/>
    <s v="Office Supplies"/>
    <s v="Xerox 227"/>
    <x v="8"/>
    <n v="1775.68"/>
    <n v="15"/>
    <s v="UPI"/>
    <n v="13583.95"/>
  </r>
  <r>
    <s v="ORD2372"/>
    <d v="2023-09-12T00:00:00"/>
    <s v="Sharon Young"/>
    <s v="East"/>
    <s v="Office Supplies"/>
    <s v="Martin-Yale Premier Letter Opener"/>
    <x v="0"/>
    <n v="797.4"/>
    <n v="0"/>
    <s v="UPI"/>
    <n v="5581.8"/>
  </r>
  <r>
    <s v="ORD2373"/>
    <d v="2025-03-26T00:00:00"/>
    <s v="Jennifer Flores"/>
    <s v="North"/>
    <s v="Office Supplies"/>
    <s v="Xerox 227"/>
    <x v="0"/>
    <n v="1012.33"/>
    <n v="10"/>
    <s v="UPI"/>
    <n v="6377.68"/>
  </r>
  <r>
    <s v="ORD2374"/>
    <d v="2025-03-21T00:00:00"/>
    <s v="James Gardner"/>
    <s v="East"/>
    <s v="Office Supplies"/>
    <s v="Peel-Off® China Markers"/>
    <x v="1"/>
    <n v="602.44000000000005"/>
    <n v="15"/>
    <s v="UPI"/>
    <n v="2048.3000000000002"/>
  </r>
  <r>
    <s v="ORD2375"/>
    <d v="2023-12-26T00:00:00"/>
    <s v="Karen Lopez"/>
    <s v="South"/>
    <s v="Furniture"/>
    <s v="Eldon Regeneration Recycled Desk Accessories, Smoke"/>
    <x v="6"/>
    <n v="1584.2"/>
    <n v="0"/>
    <s v="Cash"/>
    <n v="3168.4"/>
  </r>
  <r>
    <s v="ORD2376"/>
    <d v="2024-08-11T00:00:00"/>
    <s v="Tim Larsen"/>
    <s v="South"/>
    <s v="Furniture"/>
    <s v="Hon Rectangular Conference Tables"/>
    <x v="1"/>
    <n v="825.02"/>
    <n v="10"/>
    <s v="UPI"/>
    <n v="2970.07"/>
  </r>
  <r>
    <s v="ORD2377"/>
    <d v="2024-09-18T00:00:00"/>
    <s v="Zachary Santiago"/>
    <s v="North"/>
    <s v="Office Supplies"/>
    <s v="GBC Standard Plastic Binding Systems' Combs"/>
    <x v="5"/>
    <n v="1051.54"/>
    <n v="5"/>
    <s v="Credit Card"/>
    <n v="5993.78"/>
  </r>
  <r>
    <s v="ORD2378"/>
    <d v="2024-12-30T00:00:00"/>
    <s v="Benjamin Smith"/>
    <s v="East"/>
    <s v="Office Supplies"/>
    <s v="Avery 481"/>
    <x v="4"/>
    <n v="544.04999999999995"/>
    <n v="5"/>
    <s v="UPI"/>
    <n v="1550.54"/>
  </r>
  <r>
    <s v="ORD2379"/>
    <d v="2024-07-20T00:00:00"/>
    <s v="Katelyn Kim"/>
    <s v="West"/>
    <s v="Office Supplies"/>
    <s v="Economy Binders"/>
    <x v="7"/>
    <n v="1975.94"/>
    <n v="5"/>
    <s v="Net Banking"/>
    <n v="1877.14"/>
  </r>
  <r>
    <s v="ORD2380"/>
    <d v="2025-07-23T00:00:00"/>
    <s v="Angela May MD"/>
    <s v="South"/>
    <s v="Technology"/>
    <s v="Nu-Form 106-Key Ergonomic Keyboard w/ Touchpad"/>
    <x v="2"/>
    <n v="618.41999999999996"/>
    <n v="15"/>
    <s v="Credit Card"/>
    <n v="4205.26"/>
  </r>
  <r>
    <s v="ORD2381"/>
    <d v="2024-03-15T00:00:00"/>
    <s v="Richard Munoz"/>
    <s v="West"/>
    <s v="Office Supplies"/>
    <s v="Xerox 1989"/>
    <x v="3"/>
    <n v="1552.95"/>
    <n v="5"/>
    <s v="UPI"/>
    <n v="7376.51"/>
  </r>
  <r>
    <s v="ORD2382"/>
    <d v="2023-12-30T00:00:00"/>
    <s v="Christopher Hicks"/>
    <s v="West"/>
    <s v="Office Supplies"/>
    <s v="Avery Arch Ring Binders"/>
    <x v="3"/>
    <n v="883.62"/>
    <n v="20"/>
    <s v="Cash"/>
    <n v="3534.48"/>
  </r>
  <r>
    <s v="ORD2383"/>
    <d v="2024-11-08T00:00:00"/>
    <s v="Joanna Kelly"/>
    <s v="North"/>
    <s v="Technology"/>
    <s v="i270"/>
    <x v="1"/>
    <n v="452.12"/>
    <n v="0"/>
    <s v="Cash"/>
    <n v="1808.48"/>
  </r>
  <r>
    <s v="ORD2384"/>
    <d v="2024-07-15T00:00:00"/>
    <s v="Larry Lane"/>
    <s v="North"/>
    <s v="Office Supplies"/>
    <s v="Avery 493"/>
    <x v="5"/>
    <n v="1609.45"/>
    <n v="15"/>
    <s v="UPI"/>
    <n v="8208.2000000000007"/>
  </r>
  <r>
    <s v="ORD2385"/>
    <d v="2024-12-17T00:00:00"/>
    <s v="Cynthia Shaw"/>
    <s v="North"/>
    <s v="Office Supplies"/>
    <s v="Wilson Jones Impact Binders"/>
    <x v="4"/>
    <n v="700.53"/>
    <n v="5"/>
    <s v="Net Banking"/>
    <n v="1996.51"/>
  </r>
  <r>
    <s v="ORD2386"/>
    <d v="2025-05-05T00:00:00"/>
    <s v="Joshua Richardson"/>
    <s v="East"/>
    <s v="Office Supplies"/>
    <s v="Xerox 216"/>
    <x v="8"/>
    <n v="1737.13"/>
    <n v="0"/>
    <s v="Cash"/>
    <n v="15634.17"/>
  </r>
  <r>
    <s v="ORD2387"/>
    <d v="2024-08-27T00:00:00"/>
    <s v="Laura Bush"/>
    <s v="South"/>
    <s v="Office Supplies"/>
    <s v="Fellowes Recycled Storage Drawers"/>
    <x v="3"/>
    <n v="1834.75"/>
    <n v="10"/>
    <s v="Credit Card"/>
    <n v="8256.3799999999992"/>
  </r>
  <r>
    <s v="ORD2388"/>
    <d v="2023-10-21T00:00:00"/>
    <s v="John Vaughn"/>
    <s v="South"/>
    <s v="Furniture"/>
    <s v="Lesro Sheffield Collection Coffee Table, End Table, Center Table, Corner Table"/>
    <x v="4"/>
    <n v="1726.66"/>
    <n v="5"/>
    <s v="Net Banking"/>
    <n v="4920.9799999999996"/>
  </r>
  <r>
    <s v="ORD2389"/>
    <d v="2024-08-11T00:00:00"/>
    <s v="Nicholas Terrell"/>
    <s v="West"/>
    <s v="Technology"/>
    <s v="StarTAC 8000"/>
    <x v="7"/>
    <n v="118.27"/>
    <n v="0"/>
    <s v="Cash"/>
    <n v="118.27"/>
  </r>
  <r>
    <s v="ORD2390"/>
    <d v="2024-05-08T00:00:00"/>
    <s v="Dr. Julie Miller"/>
    <s v="North"/>
    <s v="Furniture"/>
    <s v="Office Star - Ergonomic Mid Back Chair with 2-Way Adjustable Arms"/>
    <x v="5"/>
    <n v="1585.38"/>
    <n v="20"/>
    <s v="Net Banking"/>
    <n v="7609.82"/>
  </r>
  <r>
    <s v="ORD2391"/>
    <d v="2024-06-24T00:00:00"/>
    <s v="Ann Kennedy"/>
    <s v="East"/>
    <s v="Office Supplies"/>
    <s v="Avery 481"/>
    <x v="6"/>
    <n v="852.11"/>
    <n v="10"/>
    <s v="Cash"/>
    <n v="1533.8"/>
  </r>
  <r>
    <s v="ORD2392"/>
    <d v="2024-04-26T00:00:00"/>
    <s v="Toni Miller"/>
    <s v="South"/>
    <s v="Office Supplies"/>
    <s v="Newell 318"/>
    <x v="4"/>
    <n v="1753.76"/>
    <n v="20"/>
    <s v="Cash"/>
    <n v="4209.0200000000004"/>
  </r>
  <r>
    <s v="ORD2393"/>
    <d v="2024-04-17T00:00:00"/>
    <s v="Rebecca Edwards"/>
    <s v="East"/>
    <s v="Furniture"/>
    <s v="3M Polarizing Task Lamp with Clamp Arm, Light Gray"/>
    <x v="7"/>
    <n v="1294.01"/>
    <n v="0"/>
    <s v="Net Banking"/>
    <n v="1294.01"/>
  </r>
  <r>
    <s v="ORD2394"/>
    <d v="2025-01-13T00:00:00"/>
    <s v="Greg Osborne"/>
    <s v="North"/>
    <s v="Office Supplies"/>
    <s v="Avery 493"/>
    <x v="8"/>
    <n v="1675.6"/>
    <n v="20"/>
    <s v="UPI"/>
    <n v="12064.32"/>
  </r>
  <r>
    <s v="ORD2395"/>
    <d v="2023-11-01T00:00:00"/>
    <s v="Jose Harrison"/>
    <s v="North"/>
    <s v="Office Supplies"/>
    <s v="Boston Model 1800 Electric Pencil Sharpener, Gray"/>
    <x v="2"/>
    <n v="1023.89"/>
    <n v="0"/>
    <s v="UPI"/>
    <n v="8191.12"/>
  </r>
  <r>
    <s v="ORD2396"/>
    <d v="2025-06-08T00:00:00"/>
    <s v="Jennifer Yu"/>
    <s v="South"/>
    <s v="Technology"/>
    <s v="Lexmark 4227 Plus Dot Matrix Printer"/>
    <x v="6"/>
    <n v="1093.3"/>
    <n v="0"/>
    <s v="Net Banking"/>
    <n v="2186.6"/>
  </r>
  <r>
    <s v="ORD2397"/>
    <d v="2023-12-14T00:00:00"/>
    <s v="Donna Johnson"/>
    <s v="West"/>
    <s v="Office Supplies"/>
    <s v="Smead Adjustable Mobile File Trolley with Lockable Top"/>
    <x v="2"/>
    <n v="331.56"/>
    <n v="20"/>
    <s v="Cash"/>
    <n v="2121.98"/>
  </r>
  <r>
    <s v="ORD2398"/>
    <d v="2024-04-24T00:00:00"/>
    <s v="Nicole Acosta"/>
    <s v="West"/>
    <s v="Technology"/>
    <s v="6120"/>
    <x v="8"/>
    <n v="1578.78"/>
    <n v="0"/>
    <s v="Cash"/>
    <n v="14209.02"/>
  </r>
  <r>
    <s v="ORD2399"/>
    <d v="2024-06-26T00:00:00"/>
    <s v="Amy Kennedy"/>
    <s v="North"/>
    <s v="Furniture"/>
    <s v="Bretford CR4500 Series Slim Rectangular Table"/>
    <x v="7"/>
    <n v="867.81"/>
    <n v="5"/>
    <s v="Cash"/>
    <n v="824.42"/>
  </r>
  <r>
    <s v="ORD2400"/>
    <d v="2025-01-31T00:00:00"/>
    <s v="Anthony Mooney"/>
    <s v="North"/>
    <s v="Technology"/>
    <s v="TDK 4.7GB DVD-R"/>
    <x v="3"/>
    <n v="1025.1600000000001"/>
    <n v="0"/>
    <s v="Cash"/>
    <n v="5125.8"/>
  </r>
  <r>
    <s v="ORD2401"/>
    <d v="2024-08-30T00:00:00"/>
    <s v="Lori Mitchell"/>
    <s v="West"/>
    <s v="Furniture"/>
    <s v="Bretford CR4500 Series Slim Rectangular Table"/>
    <x v="2"/>
    <n v="1580.94"/>
    <n v="15"/>
    <s v="Cash"/>
    <n v="10750.39"/>
  </r>
  <r>
    <s v="ORD2402"/>
    <d v="2024-03-22T00:00:00"/>
    <s v="Jonathan York"/>
    <s v="North"/>
    <s v="Office Supplies"/>
    <s v="Newell 336"/>
    <x v="6"/>
    <n v="1217.75"/>
    <n v="0"/>
    <s v="UPI"/>
    <n v="2435.5"/>
  </r>
  <r>
    <s v="ORD2403"/>
    <d v="2025-01-07T00:00:00"/>
    <s v="Casey Campbell"/>
    <s v="South"/>
    <s v="Office Supplies"/>
    <s v="Smead Adjustable Mobile File Trolley with Lockable Top"/>
    <x v="1"/>
    <n v="442.14"/>
    <n v="15"/>
    <s v="Cash"/>
    <n v="1503.28"/>
  </r>
  <r>
    <s v="ORD2404"/>
    <d v="2024-06-18T00:00:00"/>
    <s v="Alexis Rodriguez"/>
    <s v="South"/>
    <s v="Technology"/>
    <s v="6120"/>
    <x v="0"/>
    <n v="1200.95"/>
    <n v="0"/>
    <s v="Net Banking"/>
    <n v="8406.65"/>
  </r>
  <r>
    <s v="ORD2405"/>
    <d v="2025-05-04T00:00:00"/>
    <s v="Kevin Hernandez"/>
    <s v="East"/>
    <s v="Technology"/>
    <s v="TDK 4.7GB DVD-R"/>
    <x v="4"/>
    <n v="844.88"/>
    <n v="0"/>
    <s v="Cash"/>
    <n v="2534.64"/>
  </r>
  <r>
    <s v="ORD2406"/>
    <d v="2025-03-24T00:00:00"/>
    <s v="Robert Green"/>
    <s v="West"/>
    <s v="Office Supplies"/>
    <s v="Avery 493"/>
    <x v="3"/>
    <n v="965.57"/>
    <n v="20"/>
    <s v="Cash"/>
    <n v="3862.28"/>
  </r>
  <r>
    <s v="ORD2407"/>
    <d v="2024-10-12T00:00:00"/>
    <s v="Kari Lloyd"/>
    <s v="North"/>
    <s v="Office Supplies"/>
    <s v="Boston Model 1800 Electric Pencil Sharpener, Gray"/>
    <x v="2"/>
    <n v="105.21"/>
    <n v="5"/>
    <s v="UPI"/>
    <n v="799.6"/>
  </r>
  <r>
    <s v="ORD2408"/>
    <d v="2023-09-09T00:00:00"/>
    <s v="Grace Miller"/>
    <s v="East"/>
    <s v="Office Supplies"/>
    <s v="Newell 336"/>
    <x v="4"/>
    <n v="459.56"/>
    <n v="5"/>
    <s v="Credit Card"/>
    <n v="1309.75"/>
  </r>
  <r>
    <s v="ORD2409"/>
    <d v="2024-07-30T00:00:00"/>
    <s v="Timothy Moore"/>
    <s v="South"/>
    <s v="Furniture"/>
    <s v="Hon 4700 Series Mobuis™ Mid-Back Task Chairs with Adjustable Arms"/>
    <x v="1"/>
    <n v="598.02"/>
    <n v="10"/>
    <s v="Credit Card"/>
    <n v="2152.87"/>
  </r>
  <r>
    <s v="ORD2410"/>
    <d v="2023-10-19T00:00:00"/>
    <s v="Wyatt Townsend II"/>
    <s v="West"/>
    <s v="Furniture"/>
    <s v="BoxOffice By Design Rectangular and Half-Moon Meeting Room Tables"/>
    <x v="8"/>
    <n v="1440.27"/>
    <n v="20"/>
    <s v="Cash"/>
    <n v="10369.94"/>
  </r>
  <r>
    <s v="ORD2411"/>
    <d v="2024-04-12T00:00:00"/>
    <s v="Mark Clark"/>
    <s v="South"/>
    <s v="Furniture"/>
    <s v="Eldon® 200 Class™ Desk Accessories"/>
    <x v="0"/>
    <n v="72.41"/>
    <n v="20"/>
    <s v="UPI"/>
    <n v="405.5"/>
  </r>
  <r>
    <s v="ORD2412"/>
    <d v="2024-02-24T00:00:00"/>
    <s v="Haley May"/>
    <s v="North"/>
    <s v="Office Supplies"/>
    <s v="Newell 323"/>
    <x v="7"/>
    <n v="847.12"/>
    <n v="5"/>
    <s v="Cash"/>
    <n v="804.76"/>
  </r>
  <r>
    <s v="ORD2413"/>
    <d v="2024-04-19T00:00:00"/>
    <s v="Audrey Jackson"/>
    <s v="East"/>
    <s v="Furniture"/>
    <s v="Hon 4700 Series Mobuis™ Mid-Back Task Chairs with Adjustable Arms"/>
    <x v="1"/>
    <n v="1851.85"/>
    <n v="20"/>
    <s v="Credit Card"/>
    <n v="5925.92"/>
  </r>
  <r>
    <s v="ORD2414"/>
    <d v="2023-11-10T00:00:00"/>
    <s v="Eric Reese"/>
    <s v="North"/>
    <s v="Furniture"/>
    <s v="Eldon® 200 Class™ Desk Accessories"/>
    <x v="1"/>
    <n v="268.17"/>
    <n v="5"/>
    <s v="UPI"/>
    <n v="1019.05"/>
  </r>
  <r>
    <s v="ORD2415"/>
    <d v="2025-04-03T00:00:00"/>
    <s v="Kim James"/>
    <s v="North"/>
    <s v="Office Supplies"/>
    <s v="GBC Standard Therm-A-Bind Covers"/>
    <x v="8"/>
    <n v="1057.03"/>
    <n v="20"/>
    <s v="Net Banking"/>
    <n v="7610.62"/>
  </r>
  <r>
    <s v="ORD2416"/>
    <d v="2024-06-20T00:00:00"/>
    <s v="Karen Thomas"/>
    <s v="West"/>
    <s v="Office Supplies"/>
    <s v="Staples Premium Bright 1-Part Blank Computer Paper"/>
    <x v="5"/>
    <n v="1583.72"/>
    <n v="0"/>
    <s v="Net Banking"/>
    <n v="9502.32"/>
  </r>
  <r>
    <s v="ORD2417"/>
    <d v="2025-06-13T00:00:00"/>
    <s v="Alexandra Ho"/>
    <s v="West"/>
    <s v="Office Supplies"/>
    <s v="Xerox 1984"/>
    <x v="8"/>
    <n v="1887.94"/>
    <n v="5"/>
    <s v="UPI"/>
    <n v="16141.89"/>
  </r>
  <r>
    <s v="ORD2418"/>
    <d v="2024-09-14T00:00:00"/>
    <s v="Michael Nixon"/>
    <s v="North"/>
    <s v="Technology"/>
    <s v="Canon PC1060 Personal Laser Copier"/>
    <x v="5"/>
    <n v="1506.21"/>
    <n v="5"/>
    <s v="Net Banking"/>
    <n v="8585.4"/>
  </r>
  <r>
    <s v="ORD2419"/>
    <d v="2025-05-13T00:00:00"/>
    <s v="Amanda Hardin"/>
    <s v="West"/>
    <s v="Office Supplies"/>
    <s v="Fellowes Black Plastic Comb Bindings"/>
    <x v="5"/>
    <n v="1455.1"/>
    <n v="15"/>
    <s v="UPI"/>
    <n v="7421.01"/>
  </r>
  <r>
    <s v="ORD2420"/>
    <d v="2023-08-12T00:00:00"/>
    <s v="Tina Reynolds"/>
    <s v="East"/>
    <s v="Office Supplies"/>
    <s v="Xerox 1951"/>
    <x v="3"/>
    <n v="1661.65"/>
    <n v="20"/>
    <s v="Cash"/>
    <n v="6646.6"/>
  </r>
  <r>
    <s v="ORD2421"/>
    <d v="2025-01-03T00:00:00"/>
    <s v="Shannon Rogers"/>
    <s v="East"/>
    <s v="Office Supplies"/>
    <s v="Xerox 1905"/>
    <x v="3"/>
    <n v="920.09"/>
    <n v="20"/>
    <s v="Cash"/>
    <n v="3680.36"/>
  </r>
  <r>
    <s v="ORD2422"/>
    <d v="2025-06-17T00:00:00"/>
    <s v="Brett Pena"/>
    <s v="North"/>
    <s v="Office Supplies"/>
    <s v="Advantus Rolling Storage Box"/>
    <x v="6"/>
    <n v="1621.4"/>
    <n v="5"/>
    <s v="Credit Card"/>
    <n v="3080.66"/>
  </r>
  <r>
    <s v="ORD2423"/>
    <d v="2024-10-06T00:00:00"/>
    <s v="Raymond Curry"/>
    <s v="East"/>
    <s v="Office Supplies"/>
    <s v="Xerox 1979"/>
    <x v="2"/>
    <n v="65.53"/>
    <n v="0"/>
    <s v="Cash"/>
    <n v="524.24"/>
  </r>
  <r>
    <s v="ORD2424"/>
    <d v="2024-08-04T00:00:00"/>
    <s v="Leah Lee"/>
    <s v="North"/>
    <s v="Technology"/>
    <s v="5165"/>
    <x v="2"/>
    <n v="1852.89"/>
    <n v="0"/>
    <s v="Cash"/>
    <n v="14823.12"/>
  </r>
  <r>
    <s v="ORD2425"/>
    <d v="2024-06-27T00:00:00"/>
    <s v="Michael White"/>
    <s v="East"/>
    <s v="Technology"/>
    <s v="Okidata ML395C Color Dot Matrix Printer"/>
    <x v="7"/>
    <n v="914.45"/>
    <n v="0"/>
    <s v="Credit Card"/>
    <n v="914.45"/>
  </r>
  <r>
    <s v="ORD2426"/>
    <d v="2023-09-23T00:00:00"/>
    <s v="Megan Decker"/>
    <s v="South"/>
    <s v="Office Supplies"/>
    <s v="Peel &amp; Stick Add-On Corner Pockets"/>
    <x v="2"/>
    <n v="1129.0899999999999"/>
    <n v="20"/>
    <s v="UPI"/>
    <n v="7226.18"/>
  </r>
  <r>
    <s v="ORD2427"/>
    <d v="2024-01-04T00:00:00"/>
    <s v="Brent Garcia"/>
    <s v="North"/>
    <s v="Office Supplies"/>
    <s v="Boston 1730 StandUp Electric Pencil Sharpener"/>
    <x v="3"/>
    <n v="547.02"/>
    <n v="15"/>
    <s v="Cash"/>
    <n v="2324.84"/>
  </r>
  <r>
    <s v="ORD2428"/>
    <d v="2024-09-17T00:00:00"/>
    <s v="Daniel Campbell"/>
    <s v="East"/>
    <s v="Technology"/>
    <s v="Targus USB Numeric Keypad"/>
    <x v="6"/>
    <n v="1497.94"/>
    <n v="5"/>
    <s v="Cash"/>
    <n v="2846.09"/>
  </r>
  <r>
    <s v="ORD2429"/>
    <d v="2024-05-19T00:00:00"/>
    <s v="Alexander Davis"/>
    <s v="South"/>
    <s v="Office Supplies"/>
    <s v="EcoTones® Memo Sheets"/>
    <x v="6"/>
    <n v="199.44"/>
    <n v="10"/>
    <s v="Cash"/>
    <n v="358.99"/>
  </r>
  <r>
    <s v="ORD2430"/>
    <d v="2024-12-07T00:00:00"/>
    <s v="Mary Houston"/>
    <s v="North"/>
    <s v="Technology"/>
    <s v="Accessory9"/>
    <x v="5"/>
    <n v="1751.64"/>
    <n v="15"/>
    <s v="Credit Card"/>
    <n v="8933.36"/>
  </r>
  <r>
    <s v="ORD2431"/>
    <d v="2025-03-21T00:00:00"/>
    <s v="Margaret Erickson"/>
    <s v="East"/>
    <s v="Office Supplies"/>
    <s v="Avery 485"/>
    <x v="8"/>
    <n v="1664.83"/>
    <n v="10"/>
    <s v="UPI"/>
    <n v="13485.12"/>
  </r>
  <r>
    <s v="ORD2432"/>
    <d v="2024-09-02T00:00:00"/>
    <s v="Scott Anderson"/>
    <s v="East"/>
    <s v="Office Supplies"/>
    <s v="Hot File® 7-Pocket, Floor Stand"/>
    <x v="7"/>
    <n v="471.32"/>
    <n v="15"/>
    <s v="Credit Card"/>
    <n v="400.62"/>
  </r>
  <r>
    <s v="ORD2433"/>
    <d v="2024-12-09T00:00:00"/>
    <s v="Stephanie Knight"/>
    <s v="South"/>
    <s v="Furniture"/>
    <s v="Artistic Insta-Plaque"/>
    <x v="5"/>
    <n v="1628.18"/>
    <n v="0"/>
    <s v="Net Banking"/>
    <n v="9769.08"/>
  </r>
  <r>
    <s v="ORD2434"/>
    <d v="2024-07-20T00:00:00"/>
    <s v="Stephanie Dominguez"/>
    <s v="West"/>
    <s v="Technology"/>
    <s v="T65"/>
    <x v="8"/>
    <n v="1583.4"/>
    <n v="20"/>
    <s v="Cash"/>
    <n v="11400.48"/>
  </r>
  <r>
    <s v="ORD2435"/>
    <d v="2025-03-24T00:00:00"/>
    <s v="John Mayer"/>
    <s v="West"/>
    <s v="Technology"/>
    <s v="AT&amp;T 2230 Dual Handset Phone With Caller ID/Call Waiting"/>
    <x v="2"/>
    <n v="1282.82"/>
    <n v="10"/>
    <s v="Net Banking"/>
    <n v="9236.2999999999993"/>
  </r>
  <r>
    <s v="ORD2436"/>
    <d v="2023-09-21T00:00:00"/>
    <s v="Tammy Hill"/>
    <s v="South"/>
    <s v="Office Supplies"/>
    <s v="Xerox 1905"/>
    <x v="5"/>
    <n v="778.36"/>
    <n v="15"/>
    <s v="UPI"/>
    <n v="3969.64"/>
  </r>
  <r>
    <s v="ORD2437"/>
    <d v="2024-01-17T00:00:00"/>
    <s v="Steven Carrillo"/>
    <s v="South"/>
    <s v="Technology"/>
    <s v="Accessory31"/>
    <x v="4"/>
    <n v="579.41999999999996"/>
    <n v="20"/>
    <s v="Cash"/>
    <n v="1390.61"/>
  </r>
  <r>
    <s v="ORD2438"/>
    <d v="2024-03-06T00:00:00"/>
    <s v="Christopher Jones"/>
    <s v="North"/>
    <s v="Office Supplies"/>
    <s v="Xerox 1951"/>
    <x v="2"/>
    <n v="501.98"/>
    <n v="10"/>
    <s v="Net Banking"/>
    <n v="3614.26"/>
  </r>
  <r>
    <s v="ORD2439"/>
    <d v="2024-10-11T00:00:00"/>
    <s v="Janet Cook"/>
    <s v="West"/>
    <s v="Office Supplies"/>
    <s v="Boston KS Multi-Size Manual Pencil Sharpener"/>
    <x v="8"/>
    <n v="671.29"/>
    <n v="5"/>
    <s v="Net Banking"/>
    <n v="5739.53"/>
  </r>
  <r>
    <s v="ORD2440"/>
    <d v="2023-11-21T00:00:00"/>
    <s v="Tyler Baker"/>
    <s v="North"/>
    <s v="Furniture"/>
    <s v="Bush Advantage Collection® Round Conference Table"/>
    <x v="7"/>
    <n v="1811.94"/>
    <n v="15"/>
    <s v="Net Banking"/>
    <n v="1540.15"/>
  </r>
  <r>
    <s v="ORD2441"/>
    <d v="2025-08-01T00:00:00"/>
    <s v="John Mcfarland"/>
    <s v="East"/>
    <s v="Office Supplies"/>
    <s v="Dixon Ticonderoga® Erasable Colored Pencil Set, 12-Color"/>
    <x v="8"/>
    <n v="201.4"/>
    <n v="5"/>
    <s v="Cash"/>
    <n v="1721.97"/>
  </r>
  <r>
    <s v="ORD2442"/>
    <d v="2024-03-22T00:00:00"/>
    <s v="Cassandra Vasquez"/>
    <s v="South"/>
    <s v="Office Supplies"/>
    <s v="Xerox 1951"/>
    <x v="5"/>
    <n v="1666.3"/>
    <n v="0"/>
    <s v="Cash"/>
    <n v="9997.7999999999993"/>
  </r>
  <r>
    <s v="ORD2443"/>
    <d v="2024-07-17T00:00:00"/>
    <s v="Randy Robinson"/>
    <s v="North"/>
    <s v="Office Supplies"/>
    <s v="Boston KS Multi-Size Manual Pencil Sharpener"/>
    <x v="5"/>
    <n v="730.34"/>
    <n v="5"/>
    <s v="Cash"/>
    <n v="4162.9399999999996"/>
  </r>
  <r>
    <s v="ORD2444"/>
    <d v="2025-06-26T00:00:00"/>
    <s v="Susan Baldwin"/>
    <s v="South"/>
    <s v="Furniture"/>
    <s v="Bush Advantage Collection® Round Conference Table"/>
    <x v="1"/>
    <n v="1067.1199999999999"/>
    <n v="5"/>
    <s v="Cash"/>
    <n v="4055.06"/>
  </r>
  <r>
    <s v="ORD2445"/>
    <d v="2025-02-04T00:00:00"/>
    <s v="Benjamin Duncan"/>
    <s v="North"/>
    <s v="Office Supplies"/>
    <s v="Dixon Ticonderoga® Erasable Colored Pencil Set, 12-Color"/>
    <x v="7"/>
    <n v="1599.25"/>
    <n v="15"/>
    <s v="Credit Card"/>
    <n v="1359.36"/>
  </r>
  <r>
    <s v="ORD2446"/>
    <d v="2024-08-22T00:00:00"/>
    <s v="Jeremy Mosley"/>
    <s v="East"/>
    <s v="Technology"/>
    <s v="Accessory31"/>
    <x v="2"/>
    <n v="1774.53"/>
    <n v="0"/>
    <s v="Net Banking"/>
    <n v="14196.24"/>
  </r>
  <r>
    <s v="ORD2447"/>
    <d v="2023-11-14T00:00:00"/>
    <s v="Martin Fitzpatrick"/>
    <s v="East"/>
    <s v="Office Supplies"/>
    <s v="GBC ProClick Spines for 32-Hole Punch"/>
    <x v="6"/>
    <n v="722.32"/>
    <n v="5"/>
    <s v="Credit Card"/>
    <n v="1372.41"/>
  </r>
  <r>
    <s v="ORD2448"/>
    <d v="2023-09-03T00:00:00"/>
    <s v="Deborah Graves"/>
    <s v="West"/>
    <s v="Office Supplies"/>
    <s v="12 Colored Short Pencils"/>
    <x v="7"/>
    <n v="950.59"/>
    <n v="20"/>
    <s v="UPI"/>
    <n v="760.47"/>
  </r>
  <r>
    <s v="ORD2449"/>
    <d v="2024-12-13T00:00:00"/>
    <s v="Laura Robertson"/>
    <s v="West"/>
    <s v="Office Supplies"/>
    <s v="Mead 1st Gear 2&quot; Zipper Binder, Asst. Colors"/>
    <x v="6"/>
    <n v="858.31"/>
    <n v="10"/>
    <s v="Net Banking"/>
    <n v="1544.96"/>
  </r>
  <r>
    <s v="ORD2450"/>
    <d v="2024-11-26T00:00:00"/>
    <s v="Katherine Graham"/>
    <s v="East"/>
    <s v="Office Supplies"/>
    <s v="Avery 508"/>
    <x v="7"/>
    <n v="75.84"/>
    <n v="5"/>
    <s v="Cash"/>
    <n v="72.05"/>
  </r>
  <r>
    <s v="ORD2451"/>
    <d v="2025-04-23T00:00:00"/>
    <s v="Priscilla Floyd"/>
    <s v="North"/>
    <s v="Furniture"/>
    <s v="Office Star - Mid Back Dual function Ergonomic High Back Chair with 2-Way Adjustable Arms"/>
    <x v="7"/>
    <n v="627.09"/>
    <n v="0"/>
    <s v="Cash"/>
    <n v="627.09"/>
  </r>
  <r>
    <s v="ORD2452"/>
    <d v="2024-02-13T00:00:00"/>
    <s v="April Finley"/>
    <s v="South"/>
    <s v="Office Supplies"/>
    <s v="Ibico Presentation Index for Binding Systems"/>
    <x v="8"/>
    <n v="945.42"/>
    <n v="5"/>
    <s v="Cash"/>
    <n v="8083.34"/>
  </r>
  <r>
    <s v="ORD2453"/>
    <d v="2025-02-13T00:00:00"/>
    <s v="Karen Bradley"/>
    <s v="East"/>
    <s v="Furniture"/>
    <s v="Aluminum Document Frame"/>
    <x v="7"/>
    <n v="851.63"/>
    <n v="10"/>
    <s v="Credit Card"/>
    <n v="766.47"/>
  </r>
  <r>
    <s v="ORD2454"/>
    <d v="2023-12-13T00:00:00"/>
    <s v="Heather Maldonado"/>
    <s v="East"/>
    <s v="Office Supplies"/>
    <s v="Presstex Flexible Ring Binders"/>
    <x v="1"/>
    <n v="1457.76"/>
    <n v="0"/>
    <s v="Cash"/>
    <n v="5831.04"/>
  </r>
  <r>
    <s v="ORD2455"/>
    <d v="2024-04-09T00:00:00"/>
    <s v="Mark Benjamin"/>
    <s v="North"/>
    <s v="Office Supplies"/>
    <s v="Eureka Sanitaire ® Multi-Pro Heavy-Duty Upright, Disposable Bags"/>
    <x v="5"/>
    <n v="800.37"/>
    <n v="15"/>
    <s v="Net Banking"/>
    <n v="4081.89"/>
  </r>
  <r>
    <s v="ORD2456"/>
    <d v="2024-10-12T00:00:00"/>
    <s v="Joseph Woodward"/>
    <s v="East"/>
    <s v="Furniture"/>
    <s v="Global Troy™ Executive Leather Low-Back Tilter"/>
    <x v="0"/>
    <n v="1004.28"/>
    <n v="0"/>
    <s v="Net Banking"/>
    <n v="7029.96"/>
  </r>
  <r>
    <s v="ORD2457"/>
    <d v="2023-08-22T00:00:00"/>
    <s v="Joe Miranda"/>
    <s v="East"/>
    <s v="Furniture"/>
    <s v="DAX Copper Panel Document Frame, 5 x 7 Size"/>
    <x v="6"/>
    <n v="887.74"/>
    <n v="15"/>
    <s v="UPI"/>
    <n v="1509.16"/>
  </r>
  <r>
    <s v="ORD2458"/>
    <d v="2024-10-13T00:00:00"/>
    <s v="Cassandra Williams"/>
    <s v="North"/>
    <s v="Furniture"/>
    <s v="Deflect-O® Glasstique™ Clear Desk Accessories"/>
    <x v="5"/>
    <n v="1494.22"/>
    <n v="0"/>
    <s v="Net Banking"/>
    <n v="8965.32"/>
  </r>
  <r>
    <s v="ORD2459"/>
    <d v="2024-06-23T00:00:00"/>
    <s v="Connor Dominguez"/>
    <s v="East"/>
    <s v="Furniture"/>
    <s v="Global Troy™ Executive Leather Low-Back Tilter"/>
    <x v="0"/>
    <n v="1732.8"/>
    <n v="10"/>
    <s v="Cash"/>
    <n v="10916.64"/>
  </r>
  <r>
    <s v="ORD2460"/>
    <d v="2023-10-23T00:00:00"/>
    <s v="Lydia Howard"/>
    <s v="West"/>
    <s v="Furniture"/>
    <s v="Deflect-O® Glasstique™ Clear Desk Accessories"/>
    <x v="6"/>
    <n v="1087.18"/>
    <n v="10"/>
    <s v="Net Banking"/>
    <n v="1956.92"/>
  </r>
  <r>
    <s v="ORD2461"/>
    <d v="2024-02-02T00:00:00"/>
    <s v="Mark Moss"/>
    <s v="West"/>
    <s v="Office Supplies"/>
    <s v="Avery Printable Repositionable Plastic Tabs"/>
    <x v="6"/>
    <n v="1589.39"/>
    <n v="0"/>
    <s v="Net Banking"/>
    <n v="3178.78"/>
  </r>
  <r>
    <s v="ORD2462"/>
    <d v="2025-05-26T00:00:00"/>
    <s v="Corey Cortez"/>
    <s v="West"/>
    <s v="Office Supplies"/>
    <s v="OIC Colored Binder Clips, Assorted Sizes"/>
    <x v="0"/>
    <n v="628.73"/>
    <n v="5"/>
    <s v="Credit Card"/>
    <n v="4181.05"/>
  </r>
  <r>
    <s v="ORD2463"/>
    <d v="2025-07-21T00:00:00"/>
    <s v="Katherine Brown"/>
    <s v="West"/>
    <s v="Furniture"/>
    <s v="Balt Solid Wood Rectangular Table"/>
    <x v="7"/>
    <n v="1105.67"/>
    <n v="10"/>
    <s v="Net Banking"/>
    <n v="995.1"/>
  </r>
  <r>
    <s v="ORD2464"/>
    <d v="2023-11-08T00:00:00"/>
    <s v="Elizabeth Ferguson"/>
    <s v="East"/>
    <s v="Furniture"/>
    <s v="Bush Advantage Collection® Round Conference Table"/>
    <x v="2"/>
    <n v="723.2"/>
    <n v="15"/>
    <s v="UPI"/>
    <n v="4917.76"/>
  </r>
  <r>
    <s v="ORD2465"/>
    <d v="2024-08-04T00:00:00"/>
    <s v="Joann Forbes"/>
    <s v="South"/>
    <s v="Furniture"/>
    <s v="Regeneration Desk Collection"/>
    <x v="4"/>
    <n v="857.69"/>
    <n v="15"/>
    <s v="Net Banking"/>
    <n v="2187.11"/>
  </r>
  <r>
    <s v="ORD2466"/>
    <d v="2023-11-11T00:00:00"/>
    <s v="Anthony French"/>
    <s v="West"/>
    <s v="Technology"/>
    <s v="Okidata ML520 Series Dot Matrix Printers"/>
    <x v="5"/>
    <n v="1478.21"/>
    <n v="20"/>
    <s v="Credit Card"/>
    <n v="7095.41"/>
  </r>
  <r>
    <s v="ORD2467"/>
    <d v="2024-12-27T00:00:00"/>
    <s v="Bruce Roman"/>
    <s v="West"/>
    <s v="Office Supplies"/>
    <s v="TOPS Voice Message Log Book, Flash Format"/>
    <x v="8"/>
    <n v="1769.24"/>
    <n v="15"/>
    <s v="Credit Card"/>
    <n v="13534.69"/>
  </r>
  <r>
    <s v="ORD2468"/>
    <d v="2025-05-19T00:00:00"/>
    <s v="Judy Gregory"/>
    <s v="East"/>
    <s v="Office Supplies"/>
    <s v="Avery 48"/>
    <x v="5"/>
    <n v="286.92"/>
    <n v="20"/>
    <s v="Net Banking"/>
    <n v="1377.22"/>
  </r>
  <r>
    <s v="ORD2469"/>
    <d v="2023-12-09T00:00:00"/>
    <s v="Brittany Riley"/>
    <s v="East"/>
    <s v="Office Supplies"/>
    <s v="Xerox 20"/>
    <x v="8"/>
    <n v="1287.55"/>
    <n v="0"/>
    <s v="Net Banking"/>
    <n v="11587.95"/>
  </r>
  <r>
    <s v="ORD2470"/>
    <d v="2024-09-02T00:00:00"/>
    <s v="Amanda Thomas"/>
    <s v="North"/>
    <s v="Furniture"/>
    <s v="Executive Impressions 14&quot; Two-Color Numerals Wall Clock"/>
    <x v="0"/>
    <n v="1185.18"/>
    <n v="0"/>
    <s v="Credit Card"/>
    <n v="8296.26"/>
  </r>
  <r>
    <s v="ORD2471"/>
    <d v="2025-08-05T00:00:00"/>
    <s v="Kaitlin Hardin"/>
    <s v="West"/>
    <s v="Office Supplies"/>
    <s v="Smead Adjustable Mobile File Trolley with Lockable Top"/>
    <x v="8"/>
    <n v="280.91000000000003"/>
    <n v="0"/>
    <s v="Cash"/>
    <n v="2528.19"/>
  </r>
  <r>
    <s v="ORD2472"/>
    <d v="2025-02-18T00:00:00"/>
    <s v="Michael Anderson"/>
    <s v="North"/>
    <s v="Technology"/>
    <s v="Accessory4"/>
    <x v="6"/>
    <n v="463.19"/>
    <n v="5"/>
    <s v="Net Banking"/>
    <n v="880.06"/>
  </r>
  <r>
    <s v="ORD2473"/>
    <d v="2024-03-25T00:00:00"/>
    <s v="Anthony Parker"/>
    <s v="West"/>
    <s v="Office Supplies"/>
    <s v="Acme Kleencut® Forged Steel Scissors"/>
    <x v="2"/>
    <n v="656.45"/>
    <n v="5"/>
    <s v="Credit Card"/>
    <n v="4989.0200000000004"/>
  </r>
  <r>
    <s v="ORD2474"/>
    <d v="2024-09-10T00:00:00"/>
    <s v="Joy Jackson"/>
    <s v="South"/>
    <s v="Technology"/>
    <s v="2160i"/>
    <x v="2"/>
    <n v="375.52"/>
    <n v="20"/>
    <s v="Net Banking"/>
    <n v="2403.33"/>
  </r>
  <r>
    <s v="ORD2475"/>
    <d v="2025-02-09T00:00:00"/>
    <s v="Sabrina Rodriguez"/>
    <s v="East"/>
    <s v="Technology"/>
    <s v="Panasonic KX-P3200 Dot Matrix Printer"/>
    <x v="6"/>
    <n v="525.27"/>
    <n v="15"/>
    <s v="Credit Card"/>
    <n v="892.96"/>
  </r>
  <r>
    <s v="ORD2476"/>
    <d v="2024-03-11T00:00:00"/>
    <s v="Robert Walker PhD"/>
    <s v="East"/>
    <s v="Office Supplies"/>
    <s v="3M Organizer Strips"/>
    <x v="1"/>
    <n v="571.82000000000005"/>
    <n v="15"/>
    <s v="Cash"/>
    <n v="1944.19"/>
  </r>
  <r>
    <s v="ORD2477"/>
    <d v="2024-06-29T00:00:00"/>
    <s v="Robert Hendrix"/>
    <s v="North"/>
    <s v="Office Supplies"/>
    <s v="Eureka The Boss® Cordless Rechargeable Stick Vac"/>
    <x v="0"/>
    <n v="704.56"/>
    <n v="0"/>
    <s v="UPI"/>
    <n v="4931.92"/>
  </r>
  <r>
    <s v="ORD2478"/>
    <d v="2025-05-21T00:00:00"/>
    <s v="Erika Daugherty"/>
    <s v="North"/>
    <s v="Office Supplies"/>
    <s v="12 Colored Short Pencils"/>
    <x v="1"/>
    <n v="1511.31"/>
    <n v="10"/>
    <s v="Net Banking"/>
    <n v="5440.72"/>
  </r>
  <r>
    <s v="ORD2479"/>
    <d v="2024-08-20T00:00:00"/>
    <s v="Brenda Copeland"/>
    <s v="East"/>
    <s v="Office Supplies"/>
    <s v="Bravo II™ Megaboss® 12-Amp Hard Body Upright, Replacement Belts, 2 Belts per Pack"/>
    <x v="1"/>
    <n v="1165.23"/>
    <n v="5"/>
    <s v="Net Banking"/>
    <n v="4427.87"/>
  </r>
  <r>
    <s v="ORD2480"/>
    <d v="2024-08-12T00:00:00"/>
    <s v="Pamela Watkins"/>
    <s v="East"/>
    <s v="Office Supplies"/>
    <s v="Security-Tint Envelopes"/>
    <x v="5"/>
    <n v="1973.18"/>
    <n v="5"/>
    <s v="UPI"/>
    <n v="11247.13"/>
  </r>
  <r>
    <s v="ORD2481"/>
    <d v="2024-02-17T00:00:00"/>
    <s v="Bryan Thomas"/>
    <s v="East"/>
    <s v="Technology"/>
    <s v="6162"/>
    <x v="5"/>
    <n v="858.73"/>
    <n v="0"/>
    <s v="UPI"/>
    <n v="5152.38"/>
  </r>
  <r>
    <s v="ORD2482"/>
    <d v="2024-07-31T00:00:00"/>
    <s v="Michael Tran"/>
    <s v="West"/>
    <s v="Office Supplies"/>
    <s v="Newell 309"/>
    <x v="4"/>
    <n v="1520.04"/>
    <n v="5"/>
    <s v="Net Banking"/>
    <n v="4332.1099999999997"/>
  </r>
  <r>
    <s v="ORD2483"/>
    <d v="2024-10-13T00:00:00"/>
    <s v="Timothy Williams"/>
    <s v="West"/>
    <s v="Office Supplies"/>
    <s v="*Staples* Highlighting Markers"/>
    <x v="8"/>
    <n v="1749.36"/>
    <n v="0"/>
    <s v="Cash"/>
    <n v="15744.24"/>
  </r>
  <r>
    <s v="ORD2484"/>
    <d v="2023-12-02T00:00:00"/>
    <s v="Ryan Salazar"/>
    <s v="South"/>
    <s v="Office Supplies"/>
    <s v="Super Decoflex Portable Personal File"/>
    <x v="6"/>
    <n v="1374.01"/>
    <n v="20"/>
    <s v="Net Banking"/>
    <n v="2198.42"/>
  </r>
  <r>
    <s v="ORD2485"/>
    <d v="2024-06-04T00:00:00"/>
    <s v="Alexis Tucker"/>
    <s v="West"/>
    <s v="Office Supplies"/>
    <s v="Fellowes Mighty 8 Compact Surge Protector"/>
    <x v="5"/>
    <n v="853.14"/>
    <n v="15"/>
    <s v="UPI"/>
    <n v="4351.01"/>
  </r>
  <r>
    <s v="ORD2486"/>
    <d v="2024-01-07T00:00:00"/>
    <s v="Christopher Davis"/>
    <s v="East"/>
    <s v="Office Supplies"/>
    <s v="*Staples* Highlighting Markers"/>
    <x v="0"/>
    <n v="1519.51"/>
    <n v="10"/>
    <s v="Credit Card"/>
    <n v="9572.91"/>
  </r>
  <r>
    <s v="ORD2487"/>
    <d v="2025-07-28T00:00:00"/>
    <s v="Stacie Butler"/>
    <s v="West"/>
    <s v="Office Supplies"/>
    <s v="Boston School Pro Electric Pencil Sharpener, 1670"/>
    <x v="8"/>
    <n v="447.15"/>
    <n v="15"/>
    <s v="Cash"/>
    <n v="3420.7"/>
  </r>
  <r>
    <s v="ORD2488"/>
    <d v="2024-11-19T00:00:00"/>
    <s v="Patricia Schwartz"/>
    <s v="North"/>
    <s v="Office Supplies"/>
    <s v="Fellowes Mighty 8 Compact Surge Protector"/>
    <x v="4"/>
    <n v="688.73"/>
    <n v="15"/>
    <s v="Net Banking"/>
    <n v="1756.26"/>
  </r>
  <r>
    <s v="ORD2489"/>
    <d v="2024-09-09T00:00:00"/>
    <s v="Mark Mills"/>
    <s v="East"/>
    <s v="Office Supplies"/>
    <s v="Sanford 52201 APSCO Electric Pencil Sharpener"/>
    <x v="4"/>
    <n v="1116.04"/>
    <n v="20"/>
    <s v="Net Banking"/>
    <n v="2678.5"/>
  </r>
  <r>
    <s v="ORD2490"/>
    <d v="2025-03-13T00:00:00"/>
    <s v="Todd Bishop"/>
    <s v="West"/>
    <s v="Office Supplies"/>
    <s v="Avery Trapezoid Extra Heavy Duty 4&quot; Binders"/>
    <x v="0"/>
    <n v="1172.05"/>
    <n v="5"/>
    <s v="Credit Card"/>
    <n v="7794.13"/>
  </r>
  <r>
    <s v="ORD2491"/>
    <d v="2025-06-24T00:00:00"/>
    <s v="Christopher Porter"/>
    <s v="East"/>
    <s v="Office Supplies"/>
    <s v="Avery 4027 File Folder Labels for Dot Matrix Printers, 5000 Labels per Box, White"/>
    <x v="1"/>
    <n v="93.18"/>
    <n v="10"/>
    <s v="Credit Card"/>
    <n v="335.45"/>
  </r>
  <r>
    <s v="ORD2492"/>
    <d v="2023-11-26T00:00:00"/>
    <s v="Lori Patton"/>
    <s v="North"/>
    <s v="Furniture"/>
    <s v="Electrix Halogen Magnifier Lamp"/>
    <x v="2"/>
    <n v="1892.97"/>
    <n v="5"/>
    <s v="Cash"/>
    <n v="14386.57"/>
  </r>
  <r>
    <s v="ORD2493"/>
    <d v="2025-06-13T00:00:00"/>
    <s v="Aaron Young"/>
    <s v="North"/>
    <s v="Furniture"/>
    <s v="Luxo Professional Fluorescent Magnifier Lamp with Clamp-Mount Base"/>
    <x v="0"/>
    <n v="1408.42"/>
    <n v="15"/>
    <s v="Cash"/>
    <n v="8380.1"/>
  </r>
  <r>
    <s v="ORD2494"/>
    <d v="2023-10-05T00:00:00"/>
    <s v="Joseph Davis"/>
    <s v="West"/>
    <s v="Technology"/>
    <s v="Panasonic KX-P1150 Dot Matrix Printer"/>
    <x v="3"/>
    <n v="1016.62"/>
    <n v="0"/>
    <s v="Net Banking"/>
    <n v="5083.1000000000004"/>
  </r>
  <r>
    <s v="ORD2495"/>
    <d v="2024-03-13T00:00:00"/>
    <s v="Philip Fernandez"/>
    <s v="East"/>
    <s v="Technology"/>
    <s v="i1000"/>
    <x v="0"/>
    <n v="1869.6"/>
    <n v="15"/>
    <s v="Net Banking"/>
    <n v="11124.12"/>
  </r>
  <r>
    <s v="ORD2496"/>
    <d v="2025-04-03T00:00:00"/>
    <s v="Randy Hopkins"/>
    <s v="South"/>
    <s v="Technology"/>
    <s v="Gyration Ultra Cordless Optical Suite"/>
    <x v="4"/>
    <n v="906.24"/>
    <n v="5"/>
    <s v="UPI"/>
    <n v="2582.7800000000002"/>
  </r>
  <r>
    <s v="ORD2497"/>
    <d v="2025-04-16T00:00:00"/>
    <s v="Cory Hogan"/>
    <s v="North"/>
    <s v="Office Supplies"/>
    <s v="Avery White Multi-Purpose Labels"/>
    <x v="6"/>
    <n v="1961.85"/>
    <n v="15"/>
    <s v="Net Banking"/>
    <n v="3335.14"/>
  </r>
  <r>
    <s v="ORD2498"/>
    <d v="2025-06-05T00:00:00"/>
    <s v="Tracy Wells"/>
    <s v="South"/>
    <s v="Office Supplies"/>
    <s v="Staples Surge Protector 6 outlet"/>
    <x v="5"/>
    <n v="1048.96"/>
    <n v="0"/>
    <s v="Credit Card"/>
    <n v="6293.76"/>
  </r>
  <r>
    <s v="ORD2499"/>
    <d v="2024-06-29T00:00:00"/>
    <s v="Michael Williams"/>
    <s v="West"/>
    <s v="Furniture"/>
    <s v="Eldon Radial Chair Mat for Low to Medium Pile Carpets"/>
    <x v="6"/>
    <n v="272.86"/>
    <n v="20"/>
    <s v="Cash"/>
    <n v="436.58"/>
  </r>
  <r>
    <s v="ORD2500"/>
    <d v="2024-05-01T00:00:00"/>
    <s v="Dominique Hamilton"/>
    <s v="North"/>
    <s v="Technology"/>
    <s v="Microsoft Natural Keyboard Elite"/>
    <x v="4"/>
    <n v="1541.36"/>
    <n v="5"/>
    <s v="Net Banking"/>
    <n v="4392.88"/>
  </r>
  <r>
    <s v="ORD2501"/>
    <d v="2025-08-06T00:00:00"/>
    <s v="Robert Chang"/>
    <s v="South"/>
    <s v="Technology"/>
    <s v="Accessory41"/>
    <x v="5"/>
    <n v="1373.85"/>
    <n v="15"/>
    <s v="Cash"/>
    <n v="7006.63"/>
  </r>
  <r>
    <s v="ORD2502"/>
    <d v="2025-04-14T00:00:00"/>
    <s v="Patrick Buckley"/>
    <s v="North"/>
    <s v="Office Supplies"/>
    <s v="Xerox 1938"/>
    <x v="3"/>
    <n v="1557.32"/>
    <n v="5"/>
    <s v="Net Banking"/>
    <n v="7397.27"/>
  </r>
  <r>
    <s v="ORD2503"/>
    <d v="2024-09-09T00:00:00"/>
    <s v="Richard Washington"/>
    <s v="South"/>
    <s v="Technology"/>
    <s v="Imation 3.5&quot;, DISKETTE 44766 HGHLD3.52HD/FM, 10/Pack"/>
    <x v="2"/>
    <n v="1905.31"/>
    <n v="20"/>
    <s v="Credit Card"/>
    <n v="12193.98"/>
  </r>
  <r>
    <s v="ORD2504"/>
    <d v="2024-03-06T00:00:00"/>
    <s v="Steven Griffith"/>
    <s v="East"/>
    <s v="Furniture"/>
    <s v="Hand-Finished Solid Wood Document Frame"/>
    <x v="8"/>
    <n v="1564.15"/>
    <n v="15"/>
    <s v="UPI"/>
    <n v="11965.75"/>
  </r>
  <r>
    <s v="ORD2505"/>
    <d v="2025-05-10T00:00:00"/>
    <s v="Erika Gonzalez"/>
    <s v="East"/>
    <s v="Furniture"/>
    <s v="Global Leather Task Chair, Black"/>
    <x v="4"/>
    <n v="1242.1099999999999"/>
    <n v="15"/>
    <s v="UPI"/>
    <n v="3167.38"/>
  </r>
  <r>
    <s v="ORD2506"/>
    <d v="2023-08-13T00:00:00"/>
    <s v="Erika Maxwell"/>
    <s v="West"/>
    <s v="Office Supplies"/>
    <s v="Prang Colored Pencils"/>
    <x v="4"/>
    <n v="1721.75"/>
    <n v="5"/>
    <s v="Cash"/>
    <n v="4906.99"/>
  </r>
  <r>
    <s v="ORD2507"/>
    <d v="2024-03-18T00:00:00"/>
    <s v="Brent Rojas"/>
    <s v="North"/>
    <s v="Office Supplies"/>
    <s v="SAFCO Commercial Wire Shelving, Black"/>
    <x v="4"/>
    <n v="1362.83"/>
    <n v="5"/>
    <s v="Credit Card"/>
    <n v="3884.07"/>
  </r>
  <r>
    <s v="ORD2508"/>
    <d v="2025-02-25T00:00:00"/>
    <s v="Jaime Walker"/>
    <s v="South"/>
    <s v="Office Supplies"/>
    <s v="Kensington 6 Outlet MasterPiece® HOMEOFFICE Power Control Center"/>
    <x v="5"/>
    <n v="845.83"/>
    <n v="0"/>
    <s v="Credit Card"/>
    <n v="5074.9799999999996"/>
  </r>
  <r>
    <s v="ORD2509"/>
    <d v="2024-03-30T00:00:00"/>
    <s v="John Zamora"/>
    <s v="West"/>
    <s v="Office Supplies"/>
    <s v="Xerox 1938"/>
    <x v="7"/>
    <n v="1776.96"/>
    <n v="20"/>
    <s v="Credit Card"/>
    <n v="1421.57"/>
  </r>
  <r>
    <s v="ORD2510"/>
    <d v="2025-05-23T00:00:00"/>
    <s v="Timothy Gibson"/>
    <s v="East"/>
    <s v="Furniture"/>
    <s v="Executive Impressions 8-1/2&quot; Career Panel/Partition Cubicle Clock"/>
    <x v="0"/>
    <n v="482.71"/>
    <n v="0"/>
    <s v="Net Banking"/>
    <n v="3378.97"/>
  </r>
  <r>
    <s v="ORD2511"/>
    <d v="2024-11-09T00:00:00"/>
    <s v="Chad Cortez"/>
    <s v="East"/>
    <s v="Office Supplies"/>
    <s v="Xerox 1962"/>
    <x v="7"/>
    <n v="1443.55"/>
    <n v="15"/>
    <s v="UPI"/>
    <n v="1227.02"/>
  </r>
  <r>
    <s v="ORD2512"/>
    <d v="2024-11-04T00:00:00"/>
    <s v="Vanessa Harris"/>
    <s v="West"/>
    <s v="Office Supplies"/>
    <s v="Staples Vinyl Coated Paper Clips"/>
    <x v="3"/>
    <n v="1769.05"/>
    <n v="5"/>
    <s v="Credit Card"/>
    <n v="8402.99"/>
  </r>
  <r>
    <s v="ORD2513"/>
    <d v="2025-01-05T00:00:00"/>
    <s v="Michael Brown"/>
    <s v="North"/>
    <s v="Office Supplies"/>
    <s v="Economy Rollaway Files"/>
    <x v="2"/>
    <n v="1476.07"/>
    <n v="15"/>
    <s v="Net Banking"/>
    <n v="10037.280000000001"/>
  </r>
  <r>
    <s v="ORD2514"/>
    <d v="2024-08-26T00:00:00"/>
    <s v="Samuel Ellis"/>
    <s v="South"/>
    <s v="Office Supplies"/>
    <s v="Model L Table or Wall-Mount Pencil Sharpener"/>
    <x v="1"/>
    <n v="1409.69"/>
    <n v="15"/>
    <s v="Cash"/>
    <n v="4792.95"/>
  </r>
  <r>
    <s v="ORD2515"/>
    <d v="2025-06-14T00:00:00"/>
    <s v="Greg Tanner"/>
    <s v="East"/>
    <s v="Office Supplies"/>
    <s v="Economy Rollaway Files"/>
    <x v="3"/>
    <n v="1517.64"/>
    <n v="10"/>
    <s v="Net Banking"/>
    <n v="6829.38"/>
  </r>
  <r>
    <s v="ORD2516"/>
    <d v="2023-12-05T00:00:00"/>
    <s v="Rachel Little"/>
    <s v="West"/>
    <s v="Furniture"/>
    <s v="Deflect-o EconoMat Studded, No Bevel Mat for Low Pile Carpeting"/>
    <x v="1"/>
    <n v="956.86"/>
    <n v="10"/>
    <s v="Net Banking"/>
    <n v="3444.7"/>
  </r>
  <r>
    <s v="ORD2517"/>
    <d v="2024-07-23T00:00:00"/>
    <s v="Carolyn Cordova"/>
    <s v="East"/>
    <s v="Office Supplies"/>
    <s v="Adams Phone Message Book, 200 Message Capacity, 8 1/16” x 11”"/>
    <x v="1"/>
    <n v="1754.63"/>
    <n v="15"/>
    <s v="Credit Card"/>
    <n v="5965.74"/>
  </r>
  <r>
    <s v="ORD2518"/>
    <d v="2024-10-03T00:00:00"/>
    <s v="Angelica Vincent"/>
    <s v="East"/>
    <s v="Office Supplies"/>
    <s v="#10- 4 1/8&quot; x 9 1/2&quot; Recycled Envelopes"/>
    <x v="2"/>
    <n v="446.7"/>
    <n v="5"/>
    <s v="Cash"/>
    <n v="3394.92"/>
  </r>
  <r>
    <s v="ORD2519"/>
    <d v="2024-08-22T00:00:00"/>
    <s v="Zachary Vargas PhD"/>
    <s v="South"/>
    <s v="Office Supplies"/>
    <s v="Computer Printout Paper with Letter-Trim Perforations"/>
    <x v="6"/>
    <n v="298.39999999999998"/>
    <n v="15"/>
    <s v="UPI"/>
    <n v="507.28"/>
  </r>
  <r>
    <s v="ORD2520"/>
    <d v="2024-05-06T00:00:00"/>
    <s v="Nicholas Fitzgerald"/>
    <s v="North"/>
    <s v="Furniture"/>
    <s v="DAX Value U-Channel Document Frames, Easel Back"/>
    <x v="7"/>
    <n v="606.74"/>
    <n v="10"/>
    <s v="Cash"/>
    <n v="546.07000000000005"/>
  </r>
  <r>
    <s v="ORD2521"/>
    <d v="2024-04-26T00:00:00"/>
    <s v="Garrett Riley"/>
    <s v="North"/>
    <s v="Office Supplies"/>
    <s v="Staples Metal Binder Clips"/>
    <x v="4"/>
    <n v="1086.58"/>
    <n v="5"/>
    <s v="Cash"/>
    <n v="3096.75"/>
  </r>
  <r>
    <s v="ORD2522"/>
    <d v="2024-10-13T00:00:00"/>
    <s v="Leslie Hernandez"/>
    <s v="South"/>
    <s v="Technology"/>
    <s v="6120"/>
    <x v="8"/>
    <n v="1045.5999999999999"/>
    <n v="15"/>
    <s v="Cash"/>
    <n v="7998.84"/>
  </r>
  <r>
    <s v="ORD2523"/>
    <d v="2025-03-26T00:00:00"/>
    <s v="Abigail Baird"/>
    <s v="West"/>
    <s v="Office Supplies"/>
    <s v="GBC Plastic Binding Combs"/>
    <x v="1"/>
    <n v="1650.17"/>
    <n v="20"/>
    <s v="Cash"/>
    <n v="5280.54"/>
  </r>
  <r>
    <s v="ORD2524"/>
    <d v="2024-10-07T00:00:00"/>
    <s v="John Mack"/>
    <s v="West"/>
    <s v="Office Supplies"/>
    <s v="Avery 496"/>
    <x v="3"/>
    <n v="838.91"/>
    <n v="20"/>
    <s v="Credit Card"/>
    <n v="3355.64"/>
  </r>
  <r>
    <s v="ORD2525"/>
    <d v="2024-05-30T00:00:00"/>
    <s v="Joseph Mendoza"/>
    <s v="North"/>
    <s v="Office Supplies"/>
    <s v="Xerox 1951"/>
    <x v="6"/>
    <n v="994.47"/>
    <n v="15"/>
    <s v="Net Banking"/>
    <n v="1690.6"/>
  </r>
  <r>
    <s v="ORD2526"/>
    <d v="2024-07-30T00:00:00"/>
    <s v="Samantha Chavez"/>
    <s v="East"/>
    <s v="Furniture"/>
    <s v="Tenex Contemporary Contur Chairmats for Low and Medium Pile Carpet, Computer, 39&quot; x 49&quot;"/>
    <x v="1"/>
    <n v="76.069999999999993"/>
    <n v="5"/>
    <s v="UPI"/>
    <n v="289.07"/>
  </r>
  <r>
    <s v="ORD2527"/>
    <d v="2025-08-05T00:00:00"/>
    <s v="Justin Smith"/>
    <s v="East"/>
    <s v="Furniture"/>
    <s v="Eldon Regeneration Recycled Desk Accessories, Smoke"/>
    <x v="6"/>
    <n v="848.99"/>
    <n v="15"/>
    <s v="UPI"/>
    <n v="1443.28"/>
  </r>
  <r>
    <s v="ORD2528"/>
    <d v="2024-04-17T00:00:00"/>
    <s v="Tiffany Anderson"/>
    <s v="West"/>
    <s v="Technology"/>
    <s v="Hewlett-Packard 2600DN Business Color Inkjet Printer"/>
    <x v="6"/>
    <n v="1313.16"/>
    <n v="15"/>
    <s v="Net Banking"/>
    <n v="2232.37"/>
  </r>
  <r>
    <s v="ORD2529"/>
    <d v="2025-06-17T00:00:00"/>
    <s v="Matthew Davis"/>
    <s v="South"/>
    <s v="Office Supplies"/>
    <s v="Cardinal Holdit Business Card Pockets"/>
    <x v="1"/>
    <n v="80.239999999999995"/>
    <n v="10"/>
    <s v="UPI"/>
    <n v="288.86"/>
  </r>
  <r>
    <s v="ORD2530"/>
    <d v="2024-01-05T00:00:00"/>
    <s v="Eric Warner"/>
    <s v="East"/>
    <s v="Furniture"/>
    <s v="Hon Metal Bookcases, Black"/>
    <x v="5"/>
    <n v="597.72"/>
    <n v="20"/>
    <s v="Cash"/>
    <n v="2869.06"/>
  </r>
  <r>
    <s v="ORD2531"/>
    <d v="2025-02-03T00:00:00"/>
    <s v="Nicole Johnson"/>
    <s v="West"/>
    <s v="Office Supplies"/>
    <s v="Telephone Message Books with Fax/Mobile Section, 4 1/4&quot; x 6&quot;"/>
    <x v="0"/>
    <n v="455.51"/>
    <n v="10"/>
    <s v="Credit Card"/>
    <n v="2869.71"/>
  </r>
  <r>
    <s v="ORD2532"/>
    <d v="2024-02-13T00:00:00"/>
    <s v="Raymond Sawyer"/>
    <s v="South"/>
    <s v="Office Supplies"/>
    <s v="Tenex Personal Project File with Scoop Front Design, Black"/>
    <x v="4"/>
    <n v="131.87"/>
    <n v="10"/>
    <s v="Cash"/>
    <n v="356.05"/>
  </r>
  <r>
    <s v="ORD2533"/>
    <d v="2024-10-29T00:00:00"/>
    <s v="Richard Wood"/>
    <s v="North"/>
    <s v="Office Supplies"/>
    <s v="Tripp Lite Isotel 6 Outlet Surge Protector with Fax/Modem Protection"/>
    <x v="4"/>
    <n v="984.56"/>
    <n v="15"/>
    <s v="Cash"/>
    <n v="2510.63"/>
  </r>
  <r>
    <s v="ORD2534"/>
    <d v="2024-06-04T00:00:00"/>
    <s v="Mark Dalton"/>
    <s v="South"/>
    <s v="Furniture"/>
    <s v="Eldon ClusterMat Chair Mat with Cordless Antistatic Protection"/>
    <x v="5"/>
    <n v="404.36"/>
    <n v="10"/>
    <s v="Credit Card"/>
    <n v="2183.54"/>
  </r>
  <r>
    <s v="ORD2535"/>
    <d v="2024-02-09T00:00:00"/>
    <s v="Steven Cook"/>
    <s v="North"/>
    <s v="Office Supplies"/>
    <s v="Avery 492"/>
    <x v="4"/>
    <n v="1499.01"/>
    <n v="20"/>
    <s v="UPI"/>
    <n v="3597.62"/>
  </r>
  <r>
    <s v="ORD2536"/>
    <d v="2025-06-06T00:00:00"/>
    <s v="Jeffery Nelson"/>
    <s v="West"/>
    <s v="Furniture"/>
    <s v="Bretford CR4500 Series Slim Rectangular Table"/>
    <x v="6"/>
    <n v="1703.46"/>
    <n v="10"/>
    <s v="Credit Card"/>
    <n v="3066.23"/>
  </r>
  <r>
    <s v="ORD2537"/>
    <d v="2025-04-05T00:00:00"/>
    <s v="Kimberly Norton"/>
    <s v="South"/>
    <s v="Technology"/>
    <s v="Verbatim DVD-RAM, 5.2GB, Rewritable, Type 1, DS"/>
    <x v="2"/>
    <n v="1113.8900000000001"/>
    <n v="20"/>
    <s v="Net Banking"/>
    <n v="7128.9"/>
  </r>
  <r>
    <s v="ORD2538"/>
    <d v="2024-06-26T00:00:00"/>
    <s v="Angela Gilmore"/>
    <s v="West"/>
    <s v="Office Supplies"/>
    <s v="Memo Book, 100 Message Capacity, 5 3/8” x 11”"/>
    <x v="3"/>
    <n v="1964.33"/>
    <n v="10"/>
    <s v="Net Banking"/>
    <n v="8839.48"/>
  </r>
  <r>
    <s v="ORD2539"/>
    <d v="2023-09-14T00:00:00"/>
    <s v="Amy Dougherty"/>
    <s v="North"/>
    <s v="Technology"/>
    <s v="Keytronic Designer 104- Key Black Keyboard"/>
    <x v="7"/>
    <n v="928.43"/>
    <n v="20"/>
    <s v="Net Banking"/>
    <n v="742.74"/>
  </r>
  <r>
    <s v="ORD2540"/>
    <d v="2024-04-15T00:00:00"/>
    <s v="Stacy Rodriguez"/>
    <s v="East"/>
    <s v="Office Supplies"/>
    <s v="Xerox 1922"/>
    <x v="4"/>
    <n v="1051.07"/>
    <n v="10"/>
    <s v="Credit Card"/>
    <n v="2837.89"/>
  </r>
  <r>
    <s v="ORD2541"/>
    <d v="2025-03-12T00:00:00"/>
    <s v="Manuel Diaz"/>
    <s v="East"/>
    <s v="Office Supplies"/>
    <s v="Xerox 210"/>
    <x v="2"/>
    <n v="1978.97"/>
    <n v="10"/>
    <s v="Net Banking"/>
    <n v="14248.58"/>
  </r>
  <r>
    <s v="ORD2542"/>
    <d v="2024-08-13T00:00:00"/>
    <s v="Justin Jones"/>
    <s v="North"/>
    <s v="Office Supplies"/>
    <s v="Boston Model 1800 Electric Pencil Sharpener, Gray"/>
    <x v="1"/>
    <n v="501.52"/>
    <n v="5"/>
    <s v="Cash"/>
    <n v="1905.78"/>
  </r>
  <r>
    <s v="ORD2543"/>
    <d v="2025-02-09T00:00:00"/>
    <s v="Christine Zavala"/>
    <s v="East"/>
    <s v="Furniture"/>
    <s v="Bush® Cubix Conference Tables, Fully Assembled"/>
    <x v="0"/>
    <n v="1887.96"/>
    <n v="20"/>
    <s v="Cash"/>
    <n v="10572.58"/>
  </r>
  <r>
    <s v="ORD2544"/>
    <d v="2025-07-21T00:00:00"/>
    <s v="Brian Mendoza"/>
    <s v="East"/>
    <s v="Technology"/>
    <s v="Logitech Cordless Elite Duo"/>
    <x v="6"/>
    <n v="133.53"/>
    <n v="20"/>
    <s v="Net Banking"/>
    <n v="213.65"/>
  </r>
  <r>
    <s v="ORD2545"/>
    <d v="2025-05-03T00:00:00"/>
    <s v="Lauren Haley"/>
    <s v="South"/>
    <s v="Office Supplies"/>
    <s v="Eldon Jumbo ProFile™ Portable File Boxes Graphite/Black"/>
    <x v="0"/>
    <n v="920.45"/>
    <n v="20"/>
    <s v="Net Banking"/>
    <n v="5154.5200000000004"/>
  </r>
  <r>
    <s v="ORD2546"/>
    <d v="2024-06-03T00:00:00"/>
    <s v="Patrick Perez"/>
    <s v="South"/>
    <s v="Technology"/>
    <s v="Imation Neon 80 Minute CD-R Spindle, 50/Pack"/>
    <x v="3"/>
    <n v="186.51"/>
    <n v="0"/>
    <s v="Net Banking"/>
    <n v="932.55"/>
  </r>
  <r>
    <s v="ORD2547"/>
    <d v="2024-06-06T00:00:00"/>
    <s v="Derek Frazier"/>
    <s v="East"/>
    <s v="Technology"/>
    <s v="Accessory41"/>
    <x v="3"/>
    <n v="1472.01"/>
    <n v="10"/>
    <s v="Net Banking"/>
    <n v="6624.04"/>
  </r>
  <r>
    <s v="ORD2548"/>
    <d v="2025-01-08T00:00:00"/>
    <s v="Arthur Reed"/>
    <s v="South"/>
    <s v="Furniture"/>
    <s v="Bush Cubix Collection Bookcases, Fully Assembled"/>
    <x v="5"/>
    <n v="1236.4000000000001"/>
    <n v="20"/>
    <s v="Credit Card"/>
    <n v="5934.72"/>
  </r>
  <r>
    <s v="ORD2549"/>
    <d v="2025-04-18T00:00:00"/>
    <s v="Mr. Bryan Mckinney"/>
    <s v="North"/>
    <s v="Furniture"/>
    <s v="Eldon® Expressions™ Wood and Plastic Desk Accessories, Oak"/>
    <x v="8"/>
    <n v="1427.94"/>
    <n v="0"/>
    <s v="Credit Card"/>
    <n v="12851.46"/>
  </r>
  <r>
    <s v="ORD2550"/>
    <d v="2025-05-10T00:00:00"/>
    <s v="Kim Carter"/>
    <s v="South"/>
    <s v="Furniture"/>
    <s v="Bush Cubix Collection Bookcases, Fully Assembled"/>
    <x v="5"/>
    <n v="780.24"/>
    <n v="5"/>
    <s v="Cash"/>
    <n v="4447.37"/>
  </r>
  <r>
    <s v="ORD2551"/>
    <d v="2024-12-30T00:00:00"/>
    <s v="Rebecca Dougherty"/>
    <s v="South"/>
    <s v="Office Supplies"/>
    <s v="Fellowes Super Stor/Drawer® Files"/>
    <x v="2"/>
    <n v="770.49"/>
    <n v="20"/>
    <s v="UPI"/>
    <n v="4931.1400000000003"/>
  </r>
  <r>
    <s v="ORD2552"/>
    <d v="2023-12-08T00:00:00"/>
    <s v="Teresa Jones"/>
    <s v="South"/>
    <s v="Office Supplies"/>
    <s v="Boston 16801 Nautilus™ Battery Pencil Sharpener"/>
    <x v="0"/>
    <n v="138.37"/>
    <n v="20"/>
    <s v="Cash"/>
    <n v="774.87"/>
  </r>
  <r>
    <s v="ORD2553"/>
    <d v="2024-08-30T00:00:00"/>
    <s v="Judith Miller"/>
    <s v="West"/>
    <s v="Office Supplies"/>
    <s v="Acco Perma® 2700 Stacking Storage Drawers"/>
    <x v="8"/>
    <n v="732.39"/>
    <n v="0"/>
    <s v="Credit Card"/>
    <n v="6591.51"/>
  </r>
  <r>
    <s v="ORD2554"/>
    <d v="2023-09-09T00:00:00"/>
    <s v="Donna Frye"/>
    <s v="North"/>
    <s v="Office Supplies"/>
    <s v="Dixon My First Ticonderoga Pencil, #2"/>
    <x v="1"/>
    <n v="1862.11"/>
    <n v="10"/>
    <s v="Cash"/>
    <n v="6703.6"/>
  </r>
  <r>
    <s v="ORD2555"/>
    <d v="2023-11-18T00:00:00"/>
    <s v="Donald Terry"/>
    <s v="East"/>
    <s v="Office Supplies"/>
    <s v="Newell 309"/>
    <x v="6"/>
    <n v="789.49"/>
    <n v="5"/>
    <s v="Cash"/>
    <n v="1500.03"/>
  </r>
  <r>
    <s v="ORD2556"/>
    <d v="2024-09-05T00:00:00"/>
    <s v="Shaun Meyer DDS"/>
    <s v="East"/>
    <s v="Office Supplies"/>
    <s v="Kensington 7 Outlet MasterPiece Power Center"/>
    <x v="0"/>
    <n v="1671.17"/>
    <n v="20"/>
    <s v="Credit Card"/>
    <n v="9358.5499999999993"/>
  </r>
  <r>
    <s v="ORD2557"/>
    <d v="2024-11-12T00:00:00"/>
    <s v="Wayne Weaver"/>
    <s v="West"/>
    <s v="Office Supplies"/>
    <s v="Wilson Jones Impact Binders"/>
    <x v="5"/>
    <n v="1692.53"/>
    <n v="10"/>
    <s v="UPI"/>
    <n v="9139.66"/>
  </r>
  <r>
    <s v="ORD2558"/>
    <d v="2024-04-25T00:00:00"/>
    <s v="Gregory Wallace"/>
    <s v="South"/>
    <s v="Technology"/>
    <s v="Polycom ViaVideo™ Desktop Video Communications Unit"/>
    <x v="7"/>
    <n v="777.82"/>
    <n v="5"/>
    <s v="Credit Card"/>
    <n v="738.93"/>
  </r>
  <r>
    <s v="ORD2559"/>
    <d v="2025-06-17T00:00:00"/>
    <s v="Dorothy Brown"/>
    <s v="North"/>
    <s v="Furniture"/>
    <s v="Office Star - Professional Matrix Back Chair with 2-to-1 Synchro Tilt and Mesh Fabric Seat"/>
    <x v="8"/>
    <n v="1282.3800000000001"/>
    <n v="15"/>
    <s v="Cash"/>
    <n v="9810.2099999999991"/>
  </r>
  <r>
    <s v="ORD2560"/>
    <d v="2023-10-28T00:00:00"/>
    <s v="Crystal Meza"/>
    <s v="North"/>
    <s v="Office Supplies"/>
    <s v="Prang Dustless Chalk Sticks"/>
    <x v="8"/>
    <n v="235.97"/>
    <n v="15"/>
    <s v="Credit Card"/>
    <n v="1805.17"/>
  </r>
  <r>
    <s v="ORD2561"/>
    <d v="2025-06-21T00:00:00"/>
    <s v="Jennifer Cooper"/>
    <s v="East"/>
    <s v="Technology"/>
    <s v="Talkabout T8097"/>
    <x v="6"/>
    <n v="252.17"/>
    <n v="5"/>
    <s v="UPI"/>
    <n v="479.12"/>
  </r>
  <r>
    <s v="ORD2562"/>
    <d v="2025-05-29T00:00:00"/>
    <s v="Erin Watkins"/>
    <s v="West"/>
    <s v="Technology"/>
    <s v="TimeportP7382"/>
    <x v="4"/>
    <n v="144.88"/>
    <n v="0"/>
    <s v="UPI"/>
    <n v="434.64"/>
  </r>
  <r>
    <s v="ORD2563"/>
    <d v="2024-07-18T00:00:00"/>
    <s v="Sarah Wallace"/>
    <s v="West"/>
    <s v="Technology"/>
    <s v="Accessory41"/>
    <x v="3"/>
    <n v="1182.98"/>
    <n v="5"/>
    <s v="Credit Card"/>
    <n v="5619.16"/>
  </r>
  <r>
    <s v="ORD2564"/>
    <d v="2023-10-28T00:00:00"/>
    <s v="Carlos Clarke"/>
    <s v="West"/>
    <s v="Office Supplies"/>
    <s v="Peel &amp; Stick Add-On Corner Pockets"/>
    <x v="3"/>
    <n v="880.84"/>
    <n v="5"/>
    <s v="Credit Card"/>
    <n v="4183.99"/>
  </r>
  <r>
    <s v="ORD2565"/>
    <d v="2024-09-23T00:00:00"/>
    <s v="David Washington"/>
    <s v="West"/>
    <s v="Technology"/>
    <s v="Hewlett-Packard Business Color Inkjet 3000 [N, DTN] Series Printers"/>
    <x v="7"/>
    <n v="1118.6600000000001"/>
    <n v="0"/>
    <s v="Credit Card"/>
    <n v="1118.6600000000001"/>
  </r>
  <r>
    <s v="ORD2566"/>
    <d v="2025-07-19T00:00:00"/>
    <s v="Patricia Williams"/>
    <s v="North"/>
    <s v="Office Supplies"/>
    <s v="Xerox 217"/>
    <x v="2"/>
    <n v="1066.0899999999999"/>
    <n v="0"/>
    <s v="Net Banking"/>
    <n v="8528.7199999999993"/>
  </r>
  <r>
    <s v="ORD2567"/>
    <d v="2024-07-31T00:00:00"/>
    <s v="Jesus Jackson"/>
    <s v="South"/>
    <s v="Technology"/>
    <s v="DS/HD IBM Formatted Diskettes, 200/Pack - Staples"/>
    <x v="2"/>
    <n v="732.9"/>
    <n v="10"/>
    <s v="Cash"/>
    <n v="5276.88"/>
  </r>
  <r>
    <s v="ORD2568"/>
    <d v="2023-08-23T00:00:00"/>
    <s v="Michelle Mitchell"/>
    <s v="East"/>
    <s v="Office Supplies"/>
    <s v="Newell 346"/>
    <x v="1"/>
    <n v="1371.07"/>
    <n v="10"/>
    <s v="Cash"/>
    <n v="4935.8500000000004"/>
  </r>
  <r>
    <s v="ORD2569"/>
    <d v="2025-02-23T00:00:00"/>
    <s v="Sara Schwartz"/>
    <s v="North"/>
    <s v="Office Supplies"/>
    <s v="Avery 479"/>
    <x v="0"/>
    <n v="1529.08"/>
    <n v="0"/>
    <s v="UPI"/>
    <n v="10703.56"/>
  </r>
  <r>
    <s v="ORD2570"/>
    <d v="2023-12-01T00:00:00"/>
    <s v="Brittany Young"/>
    <s v="West"/>
    <s v="Office Supplies"/>
    <s v="Wirebound Voice Message Log Book"/>
    <x v="4"/>
    <n v="78.53"/>
    <n v="15"/>
    <s v="Cash"/>
    <n v="200.25"/>
  </r>
  <r>
    <s v="ORD2571"/>
    <d v="2024-06-25T00:00:00"/>
    <s v="Eugene Martinez"/>
    <s v="West"/>
    <s v="Office Supplies"/>
    <s v="Barrel Sharpener"/>
    <x v="5"/>
    <n v="454.12"/>
    <n v="15"/>
    <s v="Net Banking"/>
    <n v="2316.0100000000002"/>
  </r>
  <r>
    <s v="ORD2572"/>
    <d v="2025-06-18T00:00:00"/>
    <s v="Cody Hart"/>
    <s v="East"/>
    <s v="Technology"/>
    <s v="2160i"/>
    <x v="8"/>
    <n v="1440.81"/>
    <n v="5"/>
    <s v="UPI"/>
    <n v="12318.93"/>
  </r>
  <r>
    <s v="ORD2573"/>
    <d v="2025-01-01T00:00:00"/>
    <s v="Evan Cooper"/>
    <s v="South"/>
    <s v="Technology"/>
    <s v="A1228"/>
    <x v="7"/>
    <n v="803.91"/>
    <n v="20"/>
    <s v="Credit Card"/>
    <n v="643.13"/>
  </r>
  <r>
    <s v="ORD2574"/>
    <d v="2023-12-09T00:00:00"/>
    <s v="Joshua Martin"/>
    <s v="South"/>
    <s v="Office Supplies"/>
    <s v="Premier Elliptical Ring Binder, Black"/>
    <x v="3"/>
    <n v="1341.84"/>
    <n v="5"/>
    <s v="Credit Card"/>
    <n v="6373.74"/>
  </r>
  <r>
    <s v="ORD2575"/>
    <d v="2023-10-09T00:00:00"/>
    <s v="Thomas Sullivan"/>
    <s v="South"/>
    <s v="Technology"/>
    <s v="Imation 3.5, DISKETTE 44766 HGHLD3.52HD/FM, 10/Pack"/>
    <x v="1"/>
    <n v="726.58"/>
    <n v="5"/>
    <s v="UPI"/>
    <n v="2761"/>
  </r>
  <r>
    <s v="ORD2576"/>
    <d v="2024-08-10T00:00:00"/>
    <s v="Mr. Jimmy Flores Jr."/>
    <s v="West"/>
    <s v="Office Supplies"/>
    <s v="Avery 508"/>
    <x v="2"/>
    <n v="811.97"/>
    <n v="20"/>
    <s v="UPI"/>
    <n v="5196.6099999999997"/>
  </r>
  <r>
    <s v="ORD2577"/>
    <d v="2025-04-10T00:00:00"/>
    <s v="Vanessa Rivera"/>
    <s v="North"/>
    <s v="Office Supplies"/>
    <s v="Bionaire 99.97% HEPA Air Cleaner"/>
    <x v="7"/>
    <n v="359.42"/>
    <n v="0"/>
    <s v="UPI"/>
    <n v="359.42"/>
  </r>
  <r>
    <s v="ORD2578"/>
    <d v="2024-03-04T00:00:00"/>
    <s v="Kara Roberts"/>
    <s v="North"/>
    <s v="Technology"/>
    <s v="Hewlett-Packard cp1700 [D, PS] Series Color Inkjet Printers"/>
    <x v="8"/>
    <n v="553.54999999999995"/>
    <n v="15"/>
    <s v="Net Banking"/>
    <n v="4234.66"/>
  </r>
  <r>
    <s v="ORD2579"/>
    <d v="2024-04-30T00:00:00"/>
    <s v="Veronica Berry"/>
    <s v="South"/>
    <s v="Office Supplies"/>
    <s v="Hot File® 7-Pocket, Floor Stand"/>
    <x v="5"/>
    <n v="1230.55"/>
    <n v="5"/>
    <s v="Credit Card"/>
    <n v="7014.13"/>
  </r>
  <r>
    <s v="ORD2580"/>
    <d v="2024-12-08T00:00:00"/>
    <s v="Keith Meadows"/>
    <s v="East"/>
    <s v="Office Supplies"/>
    <s v="Surelock™ Post Binders"/>
    <x v="1"/>
    <n v="894.67"/>
    <n v="20"/>
    <s v="Net Banking"/>
    <n v="2862.94"/>
  </r>
  <r>
    <s v="ORD2581"/>
    <d v="2025-01-31T00:00:00"/>
    <s v="Michael Dennis"/>
    <s v="South"/>
    <s v="Office Supplies"/>
    <s v="Plymouth Boxed Rubber Bands by Plymouth"/>
    <x v="8"/>
    <n v="1559.89"/>
    <n v="10"/>
    <s v="Credit Card"/>
    <n v="12635.11"/>
  </r>
  <r>
    <s v="ORD2582"/>
    <d v="2024-06-15T00:00:00"/>
    <s v="Brenda Pierce"/>
    <s v="South"/>
    <s v="Technology"/>
    <s v="Accessory32"/>
    <x v="3"/>
    <n v="1712.54"/>
    <n v="5"/>
    <s v="UPI"/>
    <n v="8134.56"/>
  </r>
  <r>
    <s v="ORD2583"/>
    <d v="2024-12-28T00:00:00"/>
    <s v="James Randall"/>
    <s v="East"/>
    <s v="Technology"/>
    <s v="Sony MFD2HD Formatted Diskettes, 10/Pack"/>
    <x v="3"/>
    <n v="1106.21"/>
    <n v="15"/>
    <s v="Net Banking"/>
    <n v="4701.3900000000003"/>
  </r>
  <r>
    <s v="ORD2584"/>
    <d v="2023-10-13T00:00:00"/>
    <s v="Brandon Brown"/>
    <s v="South"/>
    <s v="Office Supplies"/>
    <s v="Boston 16801 Nautilus™ Battery Pencil Sharpener"/>
    <x v="3"/>
    <n v="1528.62"/>
    <n v="0"/>
    <s v="Cash"/>
    <n v="7643.1"/>
  </r>
  <r>
    <s v="ORD2585"/>
    <d v="2025-06-03T00:00:00"/>
    <s v="Lauren Walker"/>
    <s v="East"/>
    <s v="Office Supplies"/>
    <s v="Panasonic KP-310 Heavy-Duty Electric Pencil Sharpener"/>
    <x v="7"/>
    <n v="648.46"/>
    <n v="5"/>
    <s v="Credit Card"/>
    <n v="616.04"/>
  </r>
  <r>
    <s v="ORD2586"/>
    <d v="2024-04-23T00:00:00"/>
    <s v="Diana Johnson"/>
    <s v="East"/>
    <s v="Technology"/>
    <s v="Belkin MediaBoard 104- Keyboard"/>
    <x v="7"/>
    <n v="859.19"/>
    <n v="5"/>
    <s v="UPI"/>
    <n v="816.23"/>
  </r>
  <r>
    <s v="ORD2587"/>
    <d v="2025-06-04T00:00:00"/>
    <s v="Jill Powers"/>
    <s v="North"/>
    <s v="Office Supplies"/>
    <s v="Riverleaf Stik-Withit® Designer Note Cubes®"/>
    <x v="2"/>
    <n v="1439.92"/>
    <n v="20"/>
    <s v="UPI"/>
    <n v="9215.49"/>
  </r>
  <r>
    <s v="ORD2588"/>
    <d v="2025-01-16T00:00:00"/>
    <s v="Jorge Lee"/>
    <s v="East"/>
    <s v="Office Supplies"/>
    <s v="X-Rack™ File for Hanging Folders"/>
    <x v="2"/>
    <n v="803.11"/>
    <n v="10"/>
    <s v="Net Banking"/>
    <n v="5782.39"/>
  </r>
  <r>
    <s v="ORD2589"/>
    <d v="2025-06-09T00:00:00"/>
    <s v="Larry Harding"/>
    <s v="South"/>
    <s v="Technology"/>
    <s v="80 Minute CD-R Spindle, 100/Pack - Staples"/>
    <x v="5"/>
    <n v="1197.58"/>
    <n v="10"/>
    <s v="Cash"/>
    <n v="6466.93"/>
  </r>
  <r>
    <s v="ORD2590"/>
    <d v="2024-09-29T00:00:00"/>
    <s v="Heather Hernandez"/>
    <s v="East"/>
    <s v="Furniture"/>
    <s v="Sauder Forest Hills Library, Woodland Oak Finish"/>
    <x v="1"/>
    <n v="411.48"/>
    <n v="0"/>
    <s v="Cash"/>
    <n v="1645.92"/>
  </r>
  <r>
    <s v="ORD2591"/>
    <d v="2024-06-02T00:00:00"/>
    <s v="Jaclyn Watson"/>
    <s v="South"/>
    <s v="Technology"/>
    <s v="Talkabout T8367"/>
    <x v="6"/>
    <n v="1219.55"/>
    <n v="15"/>
    <s v="Credit Card"/>
    <n v="2073.23"/>
  </r>
  <r>
    <s v="ORD2592"/>
    <d v="2024-04-13T00:00:00"/>
    <s v="Gregory Madden"/>
    <s v="East"/>
    <s v="Technology"/>
    <s v="Canon MP25DIII Desktop Whisper-Quiet Printing Calculator"/>
    <x v="6"/>
    <n v="1729.95"/>
    <n v="0"/>
    <s v="Credit Card"/>
    <n v="3459.9"/>
  </r>
  <r>
    <s v="ORD2593"/>
    <d v="2024-12-10T00:00:00"/>
    <s v="Anita Luna"/>
    <s v="North"/>
    <s v="Technology"/>
    <s v="Lexmark Z25 Color Inkjet Printer"/>
    <x v="8"/>
    <n v="1743.85"/>
    <n v="5"/>
    <s v="Credit Card"/>
    <n v="14909.92"/>
  </r>
  <r>
    <s v="ORD2594"/>
    <d v="2025-02-20T00:00:00"/>
    <s v="Willie Lara"/>
    <s v="South"/>
    <s v="Office Supplies"/>
    <s v="Panasonic KP-310 Heavy-Duty Electric Pencil Sharpener"/>
    <x v="3"/>
    <n v="1462.47"/>
    <n v="5"/>
    <s v="Net Banking"/>
    <n v="6946.73"/>
  </r>
  <r>
    <s v="ORD2595"/>
    <d v="2025-07-01T00:00:00"/>
    <s v="Robert Waller"/>
    <s v="South"/>
    <s v="Furniture"/>
    <s v="Artistic Insta-Plaque"/>
    <x v="1"/>
    <n v="1504.22"/>
    <n v="10"/>
    <s v="UPI"/>
    <n v="5415.19"/>
  </r>
  <r>
    <s v="ORD2596"/>
    <d v="2025-03-23T00:00:00"/>
    <s v="Steven Taylor"/>
    <s v="South"/>
    <s v="Furniture"/>
    <s v="GE 4 Foot Flourescent Tube, 40 Watt"/>
    <x v="7"/>
    <n v="1137.96"/>
    <n v="15"/>
    <s v="Net Banking"/>
    <n v="967.27"/>
  </r>
  <r>
    <s v="ORD2597"/>
    <d v="2024-08-25T00:00:00"/>
    <s v="Angelica Clark"/>
    <s v="East"/>
    <s v="Office Supplies"/>
    <s v="Xerox 1892"/>
    <x v="0"/>
    <n v="1190.0999999999999"/>
    <n v="20"/>
    <s v="UPI"/>
    <n v="6664.56"/>
  </r>
  <r>
    <s v="ORD2598"/>
    <d v="2025-06-19T00:00:00"/>
    <s v="Sean Hatfield"/>
    <s v="North"/>
    <s v="Office Supplies"/>
    <s v="Tyvek® Side-Opening Peel &amp; Seel® Expanding Envelopes"/>
    <x v="4"/>
    <n v="310.62"/>
    <n v="15"/>
    <s v="UPI"/>
    <n v="792.08"/>
  </r>
  <r>
    <s v="ORD2599"/>
    <d v="2024-10-05T00:00:00"/>
    <s v="Tyler Avila"/>
    <s v="North"/>
    <s v="Furniture"/>
    <s v="DAX Solid Wood Frames"/>
    <x v="5"/>
    <n v="915.53"/>
    <n v="5"/>
    <s v="UPI"/>
    <n v="5218.5200000000004"/>
  </r>
  <r>
    <s v="ORD2600"/>
    <d v="2023-09-08T00:00:00"/>
    <s v="Jason Rocha"/>
    <s v="North"/>
    <s v="Office Supplies"/>
    <s v="Hunt Boston® Vacuum Mount KS Pencil Sharpener"/>
    <x v="3"/>
    <n v="929.01"/>
    <n v="20"/>
    <s v="Cash"/>
    <n v="3716.04"/>
  </r>
  <r>
    <s v="ORD2601"/>
    <d v="2024-12-03T00:00:00"/>
    <s v="Justin Page"/>
    <s v="North"/>
    <s v="Technology"/>
    <s v="Zoom V.92 USB External Faxmodem"/>
    <x v="3"/>
    <n v="1919.07"/>
    <n v="15"/>
    <s v="Net Banking"/>
    <n v="8156.05"/>
  </r>
  <r>
    <s v="ORD2602"/>
    <d v="2023-10-04T00:00:00"/>
    <s v="Breanna Lopez"/>
    <s v="East"/>
    <s v="Technology"/>
    <s v="5185"/>
    <x v="3"/>
    <n v="890.62"/>
    <n v="15"/>
    <s v="Net Banking"/>
    <n v="3785.14"/>
  </r>
  <r>
    <s v="ORD2603"/>
    <d v="2024-02-10T00:00:00"/>
    <s v="Julian Williams"/>
    <s v="South"/>
    <s v="Office Supplies"/>
    <s v="XtraLife® ClearVue™ Slant-D® Ring Binders by Cardinal"/>
    <x v="7"/>
    <n v="1121.22"/>
    <n v="20"/>
    <s v="Net Banking"/>
    <n v="896.98"/>
  </r>
  <r>
    <s v="ORD2604"/>
    <d v="2024-12-14T00:00:00"/>
    <s v="Sandra Torres"/>
    <s v="West"/>
    <s v="Furniture"/>
    <s v="Deflect-o DuraMat Antistatic Studded Beveled Mat for Medium Pile Carpeting"/>
    <x v="7"/>
    <n v="1089.8399999999999"/>
    <n v="5"/>
    <s v="Cash"/>
    <n v="1035.3499999999999"/>
  </r>
  <r>
    <s v="ORD2605"/>
    <d v="2025-01-24T00:00:00"/>
    <s v="Julie Johnson"/>
    <s v="North"/>
    <s v="Technology"/>
    <s v="Polycom ViewStation™ ISDN Videoconferencing Unit"/>
    <x v="4"/>
    <n v="1291.69"/>
    <n v="15"/>
    <s v="Cash"/>
    <n v="3293.81"/>
  </r>
  <r>
    <s v="ORD2606"/>
    <d v="2025-07-27T00:00:00"/>
    <s v="Dennis Blanchard"/>
    <s v="West"/>
    <s v="Office Supplies"/>
    <s v="Newell 343"/>
    <x v="1"/>
    <n v="1509.05"/>
    <n v="20"/>
    <s v="UPI"/>
    <n v="4828.96"/>
  </r>
  <r>
    <s v="ORD2607"/>
    <d v="2024-03-22T00:00:00"/>
    <s v="Kaitlyn Valdez"/>
    <s v="East"/>
    <s v="Office Supplies"/>
    <s v="Catalog Binders with Expanding Posts"/>
    <x v="3"/>
    <n v="488.83"/>
    <n v="5"/>
    <s v="Cash"/>
    <n v="2321.94"/>
  </r>
  <r>
    <s v="ORD2608"/>
    <d v="2024-02-04T00:00:00"/>
    <s v="Jennifer Vasquez"/>
    <s v="East"/>
    <s v="Furniture"/>
    <s v="O'Sullivan Elevations Bookcase, Cherry Finish"/>
    <x v="6"/>
    <n v="1081.01"/>
    <n v="20"/>
    <s v="Credit Card"/>
    <n v="1729.62"/>
  </r>
  <r>
    <s v="ORD2609"/>
    <d v="2025-03-14T00:00:00"/>
    <s v="Danielle Wilson"/>
    <s v="West"/>
    <s v="Office Supplies"/>
    <s v="Newell 318"/>
    <x v="2"/>
    <n v="1660.54"/>
    <n v="20"/>
    <s v="Credit Card"/>
    <n v="10627.46"/>
  </r>
  <r>
    <s v="ORD2610"/>
    <d v="2023-10-21T00:00:00"/>
    <s v="Zachary Jones"/>
    <s v="South"/>
    <s v="Office Supplies"/>
    <s v="Letter Size Cart"/>
    <x v="6"/>
    <n v="953.07"/>
    <n v="15"/>
    <s v="Credit Card"/>
    <n v="1620.22"/>
  </r>
  <r>
    <s v="ORD2611"/>
    <d v="2024-07-14T00:00:00"/>
    <s v="Lauren Cunningham"/>
    <s v="West"/>
    <s v="Technology"/>
    <s v="1726 Digital Answering Machine"/>
    <x v="8"/>
    <n v="592.99"/>
    <n v="5"/>
    <s v="Net Banking"/>
    <n v="5070.0600000000004"/>
  </r>
  <r>
    <s v="ORD2612"/>
    <d v="2023-10-27T00:00:00"/>
    <s v="Lori Alvarez"/>
    <s v="East"/>
    <s v="Furniture"/>
    <s v="Aluminum Document Frame"/>
    <x v="6"/>
    <n v="1326.68"/>
    <n v="15"/>
    <s v="Credit Card"/>
    <n v="2255.36"/>
  </r>
  <r>
    <s v="ORD2613"/>
    <d v="2025-03-24T00:00:00"/>
    <s v="Barbara Hunt"/>
    <s v="West"/>
    <s v="Furniture"/>
    <s v="9-3/4 Diameter Round Wall Clock"/>
    <x v="8"/>
    <n v="1656.35"/>
    <n v="0"/>
    <s v="Cash"/>
    <n v="14907.15"/>
  </r>
  <r>
    <s v="ORD2614"/>
    <d v="2024-12-16T00:00:00"/>
    <s v="Sarah Martin"/>
    <s v="North"/>
    <s v="Office Supplies"/>
    <s v="Fellowes Bases and Tops For Staxonsteel®/High-Stak® Systems"/>
    <x v="0"/>
    <n v="173.12"/>
    <n v="0"/>
    <s v="Net Banking"/>
    <n v="1211.8399999999999"/>
  </r>
  <r>
    <s v="ORD2615"/>
    <d v="2025-02-08T00:00:00"/>
    <s v="Francisco Johns"/>
    <s v="North"/>
    <s v="Technology"/>
    <s v="M70"/>
    <x v="2"/>
    <n v="1564.74"/>
    <n v="5"/>
    <s v="Net Banking"/>
    <n v="11892.02"/>
  </r>
  <r>
    <s v="ORD2616"/>
    <d v="2025-06-19T00:00:00"/>
    <s v="Christopher Nelson"/>
    <s v="South"/>
    <s v="Office Supplies"/>
    <s v="GBC DocuBind TL300 Electric Binding System"/>
    <x v="6"/>
    <n v="1652.21"/>
    <n v="20"/>
    <s v="Credit Card"/>
    <n v="2643.54"/>
  </r>
  <r>
    <s v="ORD2617"/>
    <d v="2023-10-29T00:00:00"/>
    <s v="Thomas Kelly"/>
    <s v="West"/>
    <s v="Technology"/>
    <s v="M70"/>
    <x v="0"/>
    <n v="949.97"/>
    <n v="15"/>
    <s v="UPI"/>
    <n v="5652.32"/>
  </r>
  <r>
    <s v="ORD2618"/>
    <d v="2024-07-21T00:00:00"/>
    <s v="Joseph Mayer"/>
    <s v="West"/>
    <s v="Office Supplies"/>
    <s v="GBC Pre-Punched Binding Paper, Plastic, White, 8-1/2&quot; x 11&quot;"/>
    <x v="5"/>
    <n v="1967.45"/>
    <n v="15"/>
    <s v="UPI"/>
    <n v="10034"/>
  </r>
  <r>
    <s v="ORD2619"/>
    <d v="2023-12-19T00:00:00"/>
    <s v="Pamela White"/>
    <s v="West"/>
    <s v="Office Supplies"/>
    <s v="Avery 498"/>
    <x v="1"/>
    <n v="1584.08"/>
    <n v="5"/>
    <s v="Cash"/>
    <n v="6019.5"/>
  </r>
  <r>
    <s v="ORD2620"/>
    <d v="2025-02-01T00:00:00"/>
    <s v="Paul Stephens"/>
    <s v="West"/>
    <s v="Furniture"/>
    <s v="Chromcraft Bull-Nose Wood Round Conference Table Top, Wood Base"/>
    <x v="0"/>
    <n v="1558.64"/>
    <n v="5"/>
    <s v="Credit Card"/>
    <n v="10364.959999999999"/>
  </r>
  <r>
    <s v="ORD2621"/>
    <d v="2024-03-31T00:00:00"/>
    <s v="Samantha Cohen"/>
    <s v="South"/>
    <s v="Office Supplies"/>
    <s v="*Staples* Highlighting Markers"/>
    <x v="1"/>
    <n v="1508.29"/>
    <n v="0"/>
    <s v="Cash"/>
    <n v="6033.16"/>
  </r>
  <r>
    <s v="ORD2622"/>
    <d v="2025-07-13T00:00:00"/>
    <s v="Michael Barker"/>
    <s v="East"/>
    <s v="Office Supplies"/>
    <s v="Ibico Hi-Tech Manual Binding System"/>
    <x v="6"/>
    <n v="343.69"/>
    <n v="10"/>
    <s v="UPI"/>
    <n v="618.64"/>
  </r>
  <r>
    <s v="ORD2623"/>
    <d v="2023-09-03T00:00:00"/>
    <s v="Kevin Morrow"/>
    <s v="South"/>
    <s v="Technology"/>
    <s v="V 3600 Series"/>
    <x v="0"/>
    <n v="473.6"/>
    <n v="5"/>
    <s v="UPI"/>
    <n v="3149.44"/>
  </r>
  <r>
    <s v="ORD2624"/>
    <d v="2023-09-16T00:00:00"/>
    <s v="Joseph Watson"/>
    <s v="East"/>
    <s v="Technology"/>
    <s v="80 Minute Slim Jewel Case CD-R , 10/Pack - Staples"/>
    <x v="2"/>
    <n v="954.78"/>
    <n v="10"/>
    <s v="Credit Card"/>
    <n v="6874.42"/>
  </r>
  <r>
    <s v="ORD2625"/>
    <d v="2024-04-19T00:00:00"/>
    <s v="Mr. Thomas Garcia"/>
    <s v="East"/>
    <s v="Technology"/>
    <s v="80 Minute Slim Jewel Case CD-R , 10/Pack - Staples"/>
    <x v="6"/>
    <n v="564.80999999999995"/>
    <n v="5"/>
    <s v="UPI"/>
    <n v="1073.1400000000001"/>
  </r>
  <r>
    <s v="ORD2626"/>
    <d v="2025-04-21T00:00:00"/>
    <s v="Daniel Lopez"/>
    <s v="East"/>
    <s v="Office Supplies"/>
    <s v="HP Office Paper (20Lb. and 87 Bright)"/>
    <x v="3"/>
    <n v="859.72"/>
    <n v="20"/>
    <s v="UPI"/>
    <n v="3438.88"/>
  </r>
  <r>
    <s v="ORD2627"/>
    <d v="2023-09-24T00:00:00"/>
    <s v="Lisa Guerra"/>
    <s v="West"/>
    <s v="Furniture"/>
    <s v="Hon Deluxe Fabric Upholstered Stacking Chairs, Rounded Back"/>
    <x v="7"/>
    <n v="1782.51"/>
    <n v="20"/>
    <s v="UPI"/>
    <n v="1426.01"/>
  </r>
  <r>
    <s v="ORD2628"/>
    <d v="2024-03-26T00:00:00"/>
    <s v="Kim Arnold"/>
    <s v="South"/>
    <s v="Office Supplies"/>
    <s v="Eureka Disposable Bags for Sanitaire® Vibra Groomer I® Upright Vac"/>
    <x v="0"/>
    <n v="1657.44"/>
    <n v="0"/>
    <s v="Credit Card"/>
    <n v="11602.08"/>
  </r>
  <r>
    <s v="ORD2629"/>
    <d v="2024-05-16T00:00:00"/>
    <s v="Ashley Stevens"/>
    <s v="East"/>
    <s v="Office Supplies"/>
    <s v="Avery 510"/>
    <x v="2"/>
    <n v="1278.58"/>
    <n v="0"/>
    <s v="Credit Card"/>
    <n v="10228.64"/>
  </r>
  <r>
    <s v="ORD2630"/>
    <d v="2024-05-29T00:00:00"/>
    <s v="Robert Mclean"/>
    <s v="North"/>
    <s v="Furniture"/>
    <s v="Dana Swing-Arm Lamps"/>
    <x v="5"/>
    <n v="1723.33"/>
    <n v="10"/>
    <s v="UPI"/>
    <n v="9305.98"/>
  </r>
  <r>
    <s v="ORD2631"/>
    <d v="2024-07-11T00:00:00"/>
    <s v="Eric Cox"/>
    <s v="East"/>
    <s v="Technology"/>
    <s v="SouthWestern Bell FA970 Digital Answering Machine with Time/Day Stamp"/>
    <x v="3"/>
    <n v="1578.36"/>
    <n v="5"/>
    <s v="UPI"/>
    <n v="7497.21"/>
  </r>
  <r>
    <s v="ORD2632"/>
    <d v="2023-12-03T00:00:00"/>
    <s v="Stacy Harper"/>
    <s v="South"/>
    <s v="Office Supplies"/>
    <s v="Xerox 227"/>
    <x v="5"/>
    <n v="886.52"/>
    <n v="15"/>
    <s v="Net Banking"/>
    <n v="4521.25"/>
  </r>
  <r>
    <s v="ORD2633"/>
    <d v="2024-02-17T00:00:00"/>
    <s v="Gloria Mckinney"/>
    <s v="West"/>
    <s v="Office Supplies"/>
    <s v="Hoover WindTunnel™ Plus Canister Vacuum"/>
    <x v="6"/>
    <n v="442.08"/>
    <n v="0"/>
    <s v="Credit Card"/>
    <n v="884.16"/>
  </r>
  <r>
    <s v="ORD2634"/>
    <d v="2024-09-27T00:00:00"/>
    <s v="Robert Walker"/>
    <s v="North"/>
    <s v="Furniture"/>
    <s v="Howard Miller 16&quot; Diameter Gallery Wall Clock"/>
    <x v="7"/>
    <n v="1052.69"/>
    <n v="15"/>
    <s v="Cash"/>
    <n v="894.79"/>
  </r>
  <r>
    <s v="ORD2635"/>
    <d v="2024-06-27T00:00:00"/>
    <s v="Brenda Perez"/>
    <s v="East"/>
    <s v="Technology"/>
    <s v="Memorex 80 Minute CD-R Spindle, 100/Pack"/>
    <x v="0"/>
    <n v="1485.65"/>
    <n v="15"/>
    <s v="Cash"/>
    <n v="8839.6200000000008"/>
  </r>
  <r>
    <s v="ORD2636"/>
    <d v="2024-10-24T00:00:00"/>
    <s v="Carlos Miller"/>
    <s v="West"/>
    <s v="Office Supplies"/>
    <s v="Xerox 227"/>
    <x v="0"/>
    <n v="901.02"/>
    <n v="5"/>
    <s v="UPI"/>
    <n v="5991.78"/>
  </r>
  <r>
    <s v="ORD2637"/>
    <d v="2025-01-22T00:00:00"/>
    <s v="Rachel Jones"/>
    <s v="South"/>
    <s v="Technology"/>
    <s v="SouthWestern Bell FA970 Digital Answering Machine with Time/Day Stamp"/>
    <x v="6"/>
    <n v="1350.21"/>
    <n v="10"/>
    <s v="UPI"/>
    <n v="2430.38"/>
  </r>
  <r>
    <s v="ORD2638"/>
    <d v="2025-04-18T00:00:00"/>
    <s v="Nicole Williams"/>
    <s v="South"/>
    <s v="Office Supplies"/>
    <s v="Hoover WindTunnel™ Plus Canister Vacuum"/>
    <x v="6"/>
    <n v="233.94"/>
    <n v="5"/>
    <s v="Net Banking"/>
    <n v="444.49"/>
  </r>
  <r>
    <s v="ORD2639"/>
    <d v="2023-12-29T00:00:00"/>
    <s v="Ricky Palmer"/>
    <s v="North"/>
    <s v="Furniture"/>
    <s v="Howard Miller 16&quot; Diameter Gallery Wall Clock"/>
    <x v="7"/>
    <n v="1508.61"/>
    <n v="0"/>
    <s v="Net Banking"/>
    <n v="1508.61"/>
  </r>
  <r>
    <s v="ORD2640"/>
    <d v="2023-12-22T00:00:00"/>
    <s v="Bryan King"/>
    <s v="North"/>
    <s v="Office Supplies"/>
    <s v="Eureka Disposable Bags for Sanitaire® Vibra Groomer I® Upright Vac"/>
    <x v="2"/>
    <n v="1634.79"/>
    <n v="15"/>
    <s v="Credit Card"/>
    <n v="11116.57"/>
  </r>
  <r>
    <s v="ORD2641"/>
    <d v="2023-12-25T00:00:00"/>
    <s v="Michael Webster"/>
    <s v="East"/>
    <s v="Office Supplies"/>
    <s v="Avery 510"/>
    <x v="2"/>
    <n v="1428.33"/>
    <n v="5"/>
    <s v="Cash"/>
    <n v="10855.31"/>
  </r>
  <r>
    <s v="ORD2642"/>
    <d v="2023-10-12T00:00:00"/>
    <s v="Tamara Harris"/>
    <s v="West"/>
    <s v="Furniture"/>
    <s v="Dana Swing-Arm Lamps"/>
    <x v="7"/>
    <n v="1936.16"/>
    <n v="5"/>
    <s v="Net Banking"/>
    <n v="1839.35"/>
  </r>
  <r>
    <s v="ORD2643"/>
    <d v="2024-11-27T00:00:00"/>
    <s v="Cathy Bell"/>
    <s v="West"/>
    <s v="Furniture"/>
    <s v="Hon 2111 Invitation™ Series Corner Table"/>
    <x v="2"/>
    <n v="1661.97"/>
    <n v="5"/>
    <s v="Cash"/>
    <n v="12630.97"/>
  </r>
  <r>
    <s v="ORD2644"/>
    <d v="2025-06-18T00:00:00"/>
    <s v="Ryan Mcmahon"/>
    <s v="South"/>
    <s v="Office Supplies"/>
    <s v="Staples Copy Paper (20Lb. and 84 Bright)"/>
    <x v="8"/>
    <n v="1811.03"/>
    <n v="0"/>
    <s v="Net Banking"/>
    <n v="16299.27"/>
  </r>
  <r>
    <s v="ORD2645"/>
    <d v="2024-06-04T00:00:00"/>
    <s v="Hannah Martin"/>
    <s v="South"/>
    <s v="Furniture"/>
    <s v="Riverside Palais Royal Lawyers Bookcase, Royale Cherry Finish"/>
    <x v="1"/>
    <n v="1870.46"/>
    <n v="10"/>
    <s v="UPI"/>
    <n v="6733.66"/>
  </r>
  <r>
    <s v="ORD2646"/>
    <d v="2024-12-05T00:00:00"/>
    <s v="Monica Allen"/>
    <s v="East"/>
    <s v="Office Supplies"/>
    <s v="Xerox 1973"/>
    <x v="7"/>
    <n v="1612.63"/>
    <n v="5"/>
    <s v="Net Banking"/>
    <n v="1532"/>
  </r>
  <r>
    <s v="ORD2647"/>
    <d v="2025-01-23T00:00:00"/>
    <s v="Annette Lane"/>
    <s v="East"/>
    <s v="Technology"/>
    <s v="Hewlett-Packard Deskjet 940 REFURBISHED Color Inkjet Printer"/>
    <x v="7"/>
    <n v="1364.8"/>
    <n v="0"/>
    <s v="Net Banking"/>
    <n v="1364.8"/>
  </r>
  <r>
    <s v="ORD2648"/>
    <d v="2024-02-15T00:00:00"/>
    <s v="Daniel Lee"/>
    <s v="South"/>
    <s v="Office Supplies"/>
    <s v="Xerox 1997"/>
    <x v="4"/>
    <n v="61.15"/>
    <n v="15"/>
    <s v="Credit Card"/>
    <n v="155.93"/>
  </r>
  <r>
    <s v="ORD2649"/>
    <d v="2024-09-01T00:00:00"/>
    <s v="Steven Medina"/>
    <s v="South"/>
    <s v="Furniture"/>
    <s v="KI Conference Tables"/>
    <x v="3"/>
    <n v="958.36"/>
    <n v="20"/>
    <s v="UPI"/>
    <n v="3833.44"/>
  </r>
  <r>
    <s v="ORD2650"/>
    <d v="2025-07-21T00:00:00"/>
    <s v="Annette Lewis"/>
    <s v="West"/>
    <s v="Office Supplies"/>
    <s v="Avery 491"/>
    <x v="3"/>
    <n v="1163.77"/>
    <n v="0"/>
    <s v="UPI"/>
    <n v="5818.85"/>
  </r>
  <r>
    <s v="ORD2651"/>
    <d v="2024-11-06T00:00:00"/>
    <s v="Michelle Richardson"/>
    <s v="West"/>
    <s v="Furniture"/>
    <s v="Executive Impressions 14&quot; Two-Color Numerals Wall Clock"/>
    <x v="8"/>
    <n v="642.86"/>
    <n v="20"/>
    <s v="Credit Card"/>
    <n v="4628.59"/>
  </r>
  <r>
    <s v="ORD2652"/>
    <d v="2023-12-01T00:00:00"/>
    <s v="Jessica Rosario"/>
    <s v="West"/>
    <s v="Technology"/>
    <s v="Fellowes EZ Multi-Media Keyboard"/>
    <x v="6"/>
    <n v="670.3"/>
    <n v="5"/>
    <s v="Cash"/>
    <n v="1273.57"/>
  </r>
  <r>
    <s v="ORD2653"/>
    <d v="2024-02-08T00:00:00"/>
    <s v="Henry Gray"/>
    <s v="East"/>
    <s v="Office Supplies"/>
    <s v="Serrated Blade or Curved Handle Hand Letter Openers"/>
    <x v="6"/>
    <n v="1924.26"/>
    <n v="5"/>
    <s v="UPI"/>
    <n v="3656.09"/>
  </r>
  <r>
    <s v="ORD2654"/>
    <d v="2024-08-04T00:00:00"/>
    <s v="Darren Rodriguez"/>
    <s v="West"/>
    <s v="Office Supplies"/>
    <s v="Avery 491"/>
    <x v="5"/>
    <n v="1788.84"/>
    <n v="0"/>
    <s v="UPI"/>
    <n v="10733.04"/>
  </r>
  <r>
    <s v="ORD2655"/>
    <d v="2024-12-19T00:00:00"/>
    <s v="Mrs. Ashley Taylor"/>
    <s v="North"/>
    <s v="Office Supplies"/>
    <s v="Xerox 194"/>
    <x v="8"/>
    <n v="1705.9"/>
    <n v="20"/>
    <s v="Credit Card"/>
    <n v="12282.48"/>
  </r>
  <r>
    <s v="ORD2656"/>
    <d v="2024-02-25T00:00:00"/>
    <s v="Michele Hawkins"/>
    <s v="North"/>
    <s v="Technology"/>
    <s v="Epson LQ-870 Dot Matrix Printer"/>
    <x v="7"/>
    <n v="841.72"/>
    <n v="5"/>
    <s v="Cash"/>
    <n v="799.63"/>
  </r>
  <r>
    <s v="ORD2657"/>
    <d v="2024-08-02T00:00:00"/>
    <s v="Garrett Wilson"/>
    <s v="West"/>
    <s v="Office Supplies"/>
    <s v="C-Line Peel &amp; Stick Add-On Filing Pockets, 8-3/4 x 5-1/8, 10/Pack"/>
    <x v="8"/>
    <n v="76.709999999999994"/>
    <n v="15"/>
    <s v="UPI"/>
    <n v="586.83000000000004"/>
  </r>
  <r>
    <s v="ORD2658"/>
    <d v="2024-02-26T00:00:00"/>
    <s v="Kyle Collins"/>
    <s v="West"/>
    <s v="Furniture"/>
    <s v="Rubbermaid ClusterMat Chairmats, Mat Size- 66&quot; x 60&quot;, Lip 20&quot; x 11&quot; -90 Degree Angle"/>
    <x v="8"/>
    <n v="206.43"/>
    <n v="10"/>
    <s v="Credit Card"/>
    <n v="1672.08"/>
  </r>
  <r>
    <s v="ORD2659"/>
    <d v="2025-01-10T00:00:00"/>
    <s v="Jill Spencer"/>
    <s v="South"/>
    <s v="Office Supplies"/>
    <s v="TOPS Money Receipt Book, Consecutively Numbered in Red,"/>
    <x v="8"/>
    <n v="658.78"/>
    <n v="10"/>
    <s v="UPI"/>
    <n v="5336.12"/>
  </r>
  <r>
    <s v="ORD2660"/>
    <d v="2023-08-19T00:00:00"/>
    <s v="Scott Lopez"/>
    <s v="South"/>
    <s v="Office Supplies"/>
    <s v="Avery Heavy-Duty EZD ™ Binder With Locking Rings"/>
    <x v="3"/>
    <n v="80.7"/>
    <n v="5"/>
    <s v="Net Banking"/>
    <n v="383.32"/>
  </r>
  <r>
    <s v="ORD2661"/>
    <d v="2025-07-10T00:00:00"/>
    <s v="Ryan Alvarez"/>
    <s v="East"/>
    <s v="Office Supplies"/>
    <s v="Desktop 3-Pocket Hot File®"/>
    <x v="8"/>
    <n v="83.44"/>
    <n v="20"/>
    <s v="Cash"/>
    <n v="600.77"/>
  </r>
  <r>
    <s v="ORD2662"/>
    <d v="2025-04-27T00:00:00"/>
    <s v="Cassie Lutz"/>
    <s v="North"/>
    <s v="Office Supplies"/>
    <s v="Newell 309"/>
    <x v="1"/>
    <n v="1837.38"/>
    <n v="5"/>
    <s v="Net Banking"/>
    <n v="6982.04"/>
  </r>
  <r>
    <s v="ORD2663"/>
    <d v="2024-08-07T00:00:00"/>
    <s v="Brian Kim DDS"/>
    <s v="North"/>
    <s v="Office Supplies"/>
    <s v="Xerox 1880"/>
    <x v="6"/>
    <n v="1427.01"/>
    <n v="20"/>
    <s v="Cash"/>
    <n v="2283.2199999999998"/>
  </r>
  <r>
    <s v="ORD2664"/>
    <d v="2025-07-11T00:00:00"/>
    <s v="Charles Morales"/>
    <s v="East"/>
    <s v="Office Supplies"/>
    <s v="Durable Pressboard Binders"/>
    <x v="5"/>
    <n v="652.46"/>
    <n v="15"/>
    <s v="Credit Card"/>
    <n v="3327.55"/>
  </r>
  <r>
    <s v="ORD2665"/>
    <d v="2024-03-22T00:00:00"/>
    <s v="Ashley Schaefer"/>
    <s v="West"/>
    <s v="Office Supplies"/>
    <s v="Xerox 1938"/>
    <x v="1"/>
    <n v="308.66000000000003"/>
    <n v="20"/>
    <s v="UPI"/>
    <n v="987.71"/>
  </r>
  <r>
    <s v="ORD2666"/>
    <d v="2025-01-19T00:00:00"/>
    <s v="Amy Hester"/>
    <s v="West"/>
    <s v="Office Supplies"/>
    <s v="Staples Metal Binder Clips"/>
    <x v="5"/>
    <n v="1047.69"/>
    <n v="5"/>
    <s v="UPI"/>
    <n v="5971.83"/>
  </r>
  <r>
    <s v="ORD2667"/>
    <d v="2024-10-09T00:00:00"/>
    <s v="Kurt Ewing"/>
    <s v="East"/>
    <s v="Office Supplies"/>
    <s v="Presstex Flexible Ring Binders"/>
    <x v="4"/>
    <n v="60.43"/>
    <n v="15"/>
    <s v="Credit Card"/>
    <n v="154.1"/>
  </r>
  <r>
    <s v="ORD2668"/>
    <d v="2023-12-12T00:00:00"/>
    <s v="Ryan Hardy"/>
    <s v="North"/>
    <s v="Office Supplies"/>
    <s v="Security-Tint Envelopes"/>
    <x v="5"/>
    <n v="1879.91"/>
    <n v="0"/>
    <s v="UPI"/>
    <n v="11279.46"/>
  </r>
  <r>
    <s v="ORD2669"/>
    <d v="2023-10-08T00:00:00"/>
    <s v="Micheal Perkins"/>
    <s v="North"/>
    <s v="Office Supplies"/>
    <s v="Belkin F9M820V08 8 Outlet Surge"/>
    <x v="6"/>
    <n v="858.89"/>
    <n v="10"/>
    <s v="Net Banking"/>
    <n v="1546"/>
  </r>
  <r>
    <s v="ORD2670"/>
    <d v="2024-07-20T00:00:00"/>
    <s v="Richard Schneider"/>
    <s v="West"/>
    <s v="Furniture"/>
    <s v="Global Leather Task Chair, Black"/>
    <x v="6"/>
    <n v="834.55"/>
    <n v="5"/>
    <s v="Credit Card"/>
    <n v="1585.64"/>
  </r>
  <r>
    <s v="ORD2671"/>
    <d v="2024-05-06T00:00:00"/>
    <s v="John Morrison"/>
    <s v="South"/>
    <s v="Office Supplies"/>
    <s v="Binder Posts"/>
    <x v="8"/>
    <n v="811.66"/>
    <n v="5"/>
    <s v="Net Banking"/>
    <n v="6939.69"/>
  </r>
  <r>
    <s v="ORD2672"/>
    <d v="2024-11-10T00:00:00"/>
    <s v="John Ramirez"/>
    <s v="East"/>
    <s v="Furniture"/>
    <s v="Aluminum Document Frame"/>
    <x v="0"/>
    <n v="185.19"/>
    <n v="5"/>
    <s v="Cash"/>
    <n v="1231.51"/>
  </r>
  <r>
    <s v="ORD2673"/>
    <d v="2024-03-31T00:00:00"/>
    <s v="Ashley King"/>
    <s v="East"/>
    <s v="Office Supplies"/>
    <s v="Snap-A-Way® Black Print Carbonless Ruled Speed Letter, Triplicate"/>
    <x v="4"/>
    <n v="1294.73"/>
    <n v="15"/>
    <s v="UPI"/>
    <n v="3301.56"/>
  </r>
  <r>
    <s v="ORD2674"/>
    <d v="2024-12-20T00:00:00"/>
    <s v="Mark Taylor Jr."/>
    <s v="West"/>
    <s v="Technology"/>
    <s v="Accessory21"/>
    <x v="7"/>
    <n v="1479.36"/>
    <n v="0"/>
    <s v="Net Banking"/>
    <n v="1479.36"/>
  </r>
  <r>
    <s v="ORD2675"/>
    <d v="2024-07-06T00:00:00"/>
    <s v="Barry Gregory"/>
    <s v="East"/>
    <s v="Office Supplies"/>
    <s v="Dixon Ticonderoga Core-Lock Colored Pencils, 48-Color Set"/>
    <x v="2"/>
    <n v="1368.44"/>
    <n v="20"/>
    <s v="UPI"/>
    <n v="8758.02"/>
  </r>
  <r>
    <s v="ORD2676"/>
    <d v="2025-01-29T00:00:00"/>
    <s v="Janet Shelton"/>
    <s v="North"/>
    <s v="Office Supplies"/>
    <s v="Wirebound Voice Message Log Book"/>
    <x v="5"/>
    <n v="319.95"/>
    <n v="0"/>
    <s v="Cash"/>
    <n v="1919.7"/>
  </r>
  <r>
    <s v="ORD2677"/>
    <d v="2024-02-22T00:00:00"/>
    <s v="Marco Davis"/>
    <s v="West"/>
    <s v="Office Supplies"/>
    <s v="Iris Project Case"/>
    <x v="0"/>
    <n v="1178.74"/>
    <n v="15"/>
    <s v="UPI"/>
    <n v="7013.5"/>
  </r>
  <r>
    <s v="ORD2678"/>
    <d v="2024-07-31T00:00:00"/>
    <s v="Paul Saunders"/>
    <s v="North"/>
    <s v="Office Supplies"/>
    <s v="Belkin F9M820V08 8 Outlet Surge"/>
    <x v="8"/>
    <n v="1160.49"/>
    <n v="5"/>
    <s v="Cash"/>
    <n v="9922.19"/>
  </r>
  <r>
    <s v="ORD2679"/>
    <d v="2025-05-29T00:00:00"/>
    <s v="Christina Bates"/>
    <s v="South"/>
    <s v="Office Supplies"/>
    <s v="Wirebound Service Call Books, 5 1/2&quot; x 4&quot;"/>
    <x v="3"/>
    <n v="1743.4"/>
    <n v="10"/>
    <s v="Credit Card"/>
    <n v="7845.3"/>
  </r>
  <r>
    <s v="ORD2680"/>
    <d v="2024-04-02T00:00:00"/>
    <s v="Dennis Cooper PhD"/>
    <s v="East"/>
    <s v="Furniture"/>
    <s v="Iceberg OfficeWorks 42&quot; Round Tables"/>
    <x v="7"/>
    <n v="789.3"/>
    <n v="5"/>
    <s v="UPI"/>
    <n v="749.83"/>
  </r>
  <r>
    <s v="ORD2681"/>
    <d v="2024-01-13T00:00:00"/>
    <s v="Tiffany Johnson"/>
    <s v="East"/>
    <s v="Office Supplies"/>
    <s v="Hoover WindTunnel™ Plus Canister Vacuum"/>
    <x v="0"/>
    <n v="774.4"/>
    <n v="20"/>
    <s v="Credit Card"/>
    <n v="4336.6400000000003"/>
  </r>
  <r>
    <s v="ORD2682"/>
    <d v="2024-06-05T00:00:00"/>
    <s v="Thomas Reyes"/>
    <s v="North"/>
    <s v="Technology"/>
    <s v="Microsoft Multimedia Keyboard"/>
    <x v="3"/>
    <n v="1256.1300000000001"/>
    <n v="10"/>
    <s v="Cash"/>
    <n v="5652.59"/>
  </r>
  <r>
    <s v="ORD2683"/>
    <d v="2025-06-04T00:00:00"/>
    <s v="James Stevens"/>
    <s v="West"/>
    <s v="Technology"/>
    <s v="Timeport L7089"/>
    <x v="4"/>
    <n v="1284.49"/>
    <n v="5"/>
    <s v="Credit Card"/>
    <n v="3660.8"/>
  </r>
  <r>
    <s v="ORD2684"/>
    <d v="2024-08-21T00:00:00"/>
    <s v="Justin Dalton"/>
    <s v="West"/>
    <s v="Technology"/>
    <s v="Okidata ML390 Turbo Dot Matrix Printers"/>
    <x v="8"/>
    <n v="965.11"/>
    <n v="10"/>
    <s v="Net Banking"/>
    <n v="7817.39"/>
  </r>
  <r>
    <s v="ORD2685"/>
    <d v="2023-11-02T00:00:00"/>
    <s v="Michael Henry"/>
    <s v="East"/>
    <s v="Technology"/>
    <s v="Accessory31"/>
    <x v="7"/>
    <n v="913.97"/>
    <n v="0"/>
    <s v="Credit Card"/>
    <n v="913.97"/>
  </r>
  <r>
    <s v="ORD2686"/>
    <d v="2024-02-12T00:00:00"/>
    <s v="Mike Freeman"/>
    <s v="North"/>
    <s v="Office Supplies"/>
    <s v="Newell 338"/>
    <x v="7"/>
    <n v="1013.59"/>
    <n v="15"/>
    <s v="Net Banking"/>
    <n v="861.55"/>
  </r>
  <r>
    <s v="ORD2687"/>
    <d v="2024-06-03T00:00:00"/>
    <s v="Michael Keller"/>
    <s v="South"/>
    <s v="Office Supplies"/>
    <s v="Wilson Jones 14 Line Acrylic Coated Pressboard Data Binders"/>
    <x v="7"/>
    <n v="1729.04"/>
    <n v="5"/>
    <s v="Cash"/>
    <n v="1642.59"/>
  </r>
  <r>
    <s v="ORD2688"/>
    <d v="2024-10-29T00:00:00"/>
    <s v="Laura Alvarez"/>
    <s v="North"/>
    <s v="Office Supplies"/>
    <s v="Wilson Jones Ledger-Size, Piano-Hinge Binder, 2&quot;, Blue"/>
    <x v="4"/>
    <n v="949.28"/>
    <n v="20"/>
    <s v="Cash"/>
    <n v="2278.27"/>
  </r>
  <r>
    <s v="ORD2689"/>
    <d v="2024-05-16T00:00:00"/>
    <s v="Katie Myers"/>
    <s v="West"/>
    <s v="Office Supplies"/>
    <s v="Avery Hi-Liter® Smear-Safe Highlighters"/>
    <x v="5"/>
    <n v="1882.87"/>
    <n v="0"/>
    <s v="UPI"/>
    <n v="11297.22"/>
  </r>
  <r>
    <s v="ORD2690"/>
    <d v="2024-10-31T00:00:00"/>
    <s v="Wesley Jensen MD"/>
    <s v="East"/>
    <s v="Office Supplies"/>
    <s v="Boston 1645 Deluxe Heavier-Duty Electric Pencil Sharpener"/>
    <x v="4"/>
    <n v="1032.81"/>
    <n v="5"/>
    <s v="Net Banking"/>
    <n v="2943.51"/>
  </r>
  <r>
    <s v="ORD2691"/>
    <d v="2024-03-28T00:00:00"/>
    <s v="Erica Johnson"/>
    <s v="East"/>
    <s v="Office Supplies"/>
    <s v="OIC Thumb-Tacks"/>
    <x v="2"/>
    <n v="1900.94"/>
    <n v="0"/>
    <s v="UPI"/>
    <n v="15207.52"/>
  </r>
  <r>
    <s v="ORD2692"/>
    <d v="2025-02-05T00:00:00"/>
    <s v="Russell Bailey"/>
    <s v="East"/>
    <s v="Office Supplies"/>
    <s v="Avery 494"/>
    <x v="6"/>
    <n v="1674.02"/>
    <n v="20"/>
    <s v="UPI"/>
    <n v="2678.43"/>
  </r>
  <r>
    <s v="ORD2693"/>
    <d v="2024-03-28T00:00:00"/>
    <s v="Alyssa Vance"/>
    <s v="South"/>
    <s v="Office Supplies"/>
    <s v="Sanford Colorific Colored Pencils, 12/Box"/>
    <x v="8"/>
    <n v="756.74"/>
    <n v="5"/>
    <s v="Cash"/>
    <n v="6470.13"/>
  </r>
  <r>
    <s v="ORD2694"/>
    <d v="2023-08-29T00:00:00"/>
    <s v="Brent Reed"/>
    <s v="South"/>
    <s v="Furniture"/>
    <s v="Bush Westfield Collection Bookcases, Fully Assembled"/>
    <x v="4"/>
    <n v="1734.1"/>
    <n v="20"/>
    <s v="Credit Card"/>
    <n v="4161.84"/>
  </r>
  <r>
    <s v="ORD2695"/>
    <d v="2025-05-17T00:00:00"/>
    <s v="Gregory Stanley"/>
    <s v="West"/>
    <s v="Office Supplies"/>
    <s v="Xerox 196"/>
    <x v="3"/>
    <n v="264.62"/>
    <n v="10"/>
    <s v="Cash"/>
    <n v="1190.79"/>
  </r>
  <r>
    <s v="ORD2696"/>
    <d v="2025-01-04T00:00:00"/>
    <s v="Matthew Watkins"/>
    <s v="North"/>
    <s v="Office Supplies"/>
    <s v="Tripp Lite Isotel 8 Ultra 8 Outlet Metal Surge"/>
    <x v="2"/>
    <n v="1853.84"/>
    <n v="20"/>
    <s v="Cash"/>
    <n v="11864.58"/>
  </r>
  <r>
    <s v="ORD2697"/>
    <d v="2024-06-14T00:00:00"/>
    <s v="Ana Torres"/>
    <s v="North"/>
    <s v="Office Supplies"/>
    <s v="Xerox 1928"/>
    <x v="6"/>
    <n v="1281.7"/>
    <n v="10"/>
    <s v="Credit Card"/>
    <n v="2307.06"/>
  </r>
  <r>
    <s v="ORD2698"/>
    <d v="2024-03-12T00:00:00"/>
    <s v="Alejandro Nguyen"/>
    <s v="North"/>
    <s v="Office Supplies"/>
    <s v="Fiskars® Softgrip Scissors"/>
    <x v="5"/>
    <n v="156.06"/>
    <n v="5"/>
    <s v="Net Banking"/>
    <n v="889.54"/>
  </r>
  <r>
    <s v="ORD2699"/>
    <d v="2023-08-18T00:00:00"/>
    <s v="Scott Bradley"/>
    <s v="South"/>
    <s v="Office Supplies"/>
    <s v="Staples Wirebound Steno Books, 6&quot; x 9&quot;, 12/Pack"/>
    <x v="3"/>
    <n v="1306.3"/>
    <n v="10"/>
    <s v="Net Banking"/>
    <n v="5878.35"/>
  </r>
  <r>
    <s v="ORD2700"/>
    <d v="2024-10-24T00:00:00"/>
    <s v="Deborah Dominguez"/>
    <s v="East"/>
    <s v="Office Supplies"/>
    <s v="3M Organizer Strips"/>
    <x v="8"/>
    <n v="1949.78"/>
    <n v="5"/>
    <s v="Credit Card"/>
    <n v="16670.62"/>
  </r>
  <r>
    <s v="ORD2701"/>
    <d v="2025-06-13T00:00:00"/>
    <s v="Victoria Gray"/>
    <s v="West"/>
    <s v="Technology"/>
    <s v="Accessory34"/>
    <x v="3"/>
    <n v="186.11"/>
    <n v="5"/>
    <s v="Credit Card"/>
    <n v="884.02"/>
  </r>
  <r>
    <s v="ORD2702"/>
    <d v="2025-01-25T00:00:00"/>
    <s v="Kenneth Stokes"/>
    <s v="West"/>
    <s v="Office Supplies"/>
    <s v="Xerox 1930"/>
    <x v="6"/>
    <n v="1131.6400000000001"/>
    <n v="15"/>
    <s v="UPI"/>
    <n v="1923.79"/>
  </r>
  <r>
    <s v="ORD2703"/>
    <d v="2025-04-07T00:00:00"/>
    <s v="Michael Rogers"/>
    <s v="South"/>
    <s v="Office Supplies"/>
    <s v="Tennsco Lockers, Gray"/>
    <x v="3"/>
    <n v="1508.2"/>
    <n v="5"/>
    <s v="Credit Card"/>
    <n v="7163.95"/>
  </r>
  <r>
    <s v="ORD2704"/>
    <d v="2025-03-12T00:00:00"/>
    <s v="Pamela Morgan"/>
    <s v="South"/>
    <s v="Office Supplies"/>
    <s v="GBC Therma-A-Bind 250T Electric Binding System"/>
    <x v="1"/>
    <n v="1630"/>
    <n v="10"/>
    <s v="Credit Card"/>
    <n v="5868"/>
  </r>
  <r>
    <s v="ORD2705"/>
    <d v="2023-09-19T00:00:00"/>
    <s v="Heidi Graham"/>
    <s v="East"/>
    <s v="Office Supplies"/>
    <s v="Xerox 1930"/>
    <x v="0"/>
    <n v="856.96"/>
    <n v="15"/>
    <s v="UPI"/>
    <n v="5098.91"/>
  </r>
  <r>
    <s v="ORD2706"/>
    <d v="2025-07-19T00:00:00"/>
    <s v="Ryan Cobb PhD"/>
    <s v="East"/>
    <s v="Office Supplies"/>
    <s v="Tennsco Lockers, Gray"/>
    <x v="5"/>
    <n v="448.12"/>
    <n v="15"/>
    <s v="Net Banking"/>
    <n v="2285.41"/>
  </r>
  <r>
    <s v="ORD2707"/>
    <d v="2024-11-25T00:00:00"/>
    <s v="Donna Williams"/>
    <s v="South"/>
    <s v="Office Supplies"/>
    <s v="Xerox 1896"/>
    <x v="6"/>
    <n v="132.57"/>
    <n v="5"/>
    <s v="Credit Card"/>
    <n v="251.88"/>
  </r>
  <r>
    <s v="ORD2708"/>
    <d v="2025-03-12T00:00:00"/>
    <s v="Jennifer Perez PhD"/>
    <s v="West"/>
    <s v="Office Supplies"/>
    <s v="Xerox 1881"/>
    <x v="3"/>
    <n v="1180.47"/>
    <n v="20"/>
    <s v="Credit Card"/>
    <n v="4721.88"/>
  </r>
  <r>
    <s v="ORD2709"/>
    <d v="2024-08-31T00:00:00"/>
    <s v="Ryan Davis"/>
    <s v="East"/>
    <s v="Office Supplies"/>
    <s v="Xerox 1947"/>
    <x v="0"/>
    <n v="933.18"/>
    <n v="20"/>
    <s v="UPI"/>
    <n v="5225.8100000000004"/>
  </r>
  <r>
    <s v="ORD2710"/>
    <d v="2025-05-19T00:00:00"/>
    <s v="Austin Solis"/>
    <s v="East"/>
    <s v="Office Supplies"/>
    <s v="Honeywell Enviracaire Portable HEPA Air Cleaner for 17' x 22' Room"/>
    <x v="0"/>
    <n v="1900.05"/>
    <n v="15"/>
    <s v="Credit Card"/>
    <n v="11305.3"/>
  </r>
  <r>
    <s v="ORD2711"/>
    <d v="2025-07-14T00:00:00"/>
    <s v="Daniel Flynn"/>
    <s v="West"/>
    <s v="Technology"/>
    <s v="US Robotics 56K V.92 Internal PCI Faxmodem"/>
    <x v="3"/>
    <n v="168.18"/>
    <n v="5"/>
    <s v="UPI"/>
    <n v="798.86"/>
  </r>
  <r>
    <s v="ORD2712"/>
    <d v="2025-07-13T00:00:00"/>
    <s v="Elizabeth Brock"/>
    <s v="East"/>
    <s v="Office Supplies"/>
    <s v="Xerox 1941"/>
    <x v="8"/>
    <n v="1386.52"/>
    <n v="20"/>
    <s v="Cash"/>
    <n v="9982.94"/>
  </r>
  <r>
    <s v="ORD2713"/>
    <d v="2024-03-21T00:00:00"/>
    <s v="Joshua Gonzalez"/>
    <s v="West"/>
    <s v="Office Supplies"/>
    <s v="Honeywell Enviracaire Portable HEPA Air Cleaner for 17' x 22' Room"/>
    <x v="1"/>
    <n v="98.68"/>
    <n v="5"/>
    <s v="UPI"/>
    <n v="374.98"/>
  </r>
  <r>
    <s v="ORD2714"/>
    <d v="2025-04-05T00:00:00"/>
    <s v="Mario Chavez"/>
    <s v="North"/>
    <s v="Technology"/>
    <s v="US Robotics 56K V.92 Internal PCI Faxmodem"/>
    <x v="4"/>
    <n v="384.3"/>
    <n v="5"/>
    <s v="Cash"/>
    <n v="1095.26"/>
  </r>
  <r>
    <s v="ORD2715"/>
    <d v="2025-04-23T00:00:00"/>
    <s v="Catherine Smith"/>
    <s v="East"/>
    <s v="Office Supplies"/>
    <s v="Xerox 1941"/>
    <x v="1"/>
    <n v="934.48"/>
    <n v="15"/>
    <s v="Cash"/>
    <n v="3177.23"/>
  </r>
  <r>
    <s v="ORD2716"/>
    <d v="2024-02-06T00:00:00"/>
    <s v="Shari Ray"/>
    <s v="East"/>
    <s v="Office Supplies"/>
    <s v="Staples Brown Kraft Recycled Clasp Envelopes"/>
    <x v="3"/>
    <n v="937"/>
    <n v="15"/>
    <s v="UPI"/>
    <n v="3982.25"/>
  </r>
  <r>
    <s v="ORD2717"/>
    <d v="2024-11-25T00:00:00"/>
    <s v="Victor Harmon"/>
    <s v="North"/>
    <s v="Office Supplies"/>
    <s v="4009® Highlighters by Sanford"/>
    <x v="5"/>
    <n v="1387.12"/>
    <n v="0"/>
    <s v="UPI"/>
    <n v="8322.7199999999993"/>
  </r>
  <r>
    <s v="ORD2718"/>
    <d v="2025-04-25T00:00:00"/>
    <s v="Timothy Patel"/>
    <s v="West"/>
    <s v="Office Supplies"/>
    <s v="Hammermill CopyPlus Copy Paper (20Lb. and 84 Bright)"/>
    <x v="4"/>
    <n v="1824.92"/>
    <n v="20"/>
    <s v="UPI"/>
    <n v="4379.8100000000004"/>
  </r>
  <r>
    <s v="ORD2719"/>
    <d v="2024-05-11T00:00:00"/>
    <s v="Patricia Hamilton"/>
    <s v="East"/>
    <s v="Office Supplies"/>
    <s v="Telephone Message Books with Fax/Mobile Section, 5 1/2&quot; x 3 3/16&quot;"/>
    <x v="6"/>
    <n v="1296.1099999999999"/>
    <n v="20"/>
    <s v="Net Banking"/>
    <n v="2073.7800000000002"/>
  </r>
  <r>
    <s v="ORD2720"/>
    <d v="2024-01-29T00:00:00"/>
    <s v="Lori Boyd"/>
    <s v="North"/>
    <s v="Furniture"/>
    <s v="Tensor &quot;Hersey Kiss&quot; Styled Floor Lamp"/>
    <x v="1"/>
    <n v="1909.39"/>
    <n v="20"/>
    <s v="Credit Card"/>
    <n v="6110.05"/>
  </r>
  <r>
    <s v="ORD2721"/>
    <d v="2024-12-18T00:00:00"/>
    <s v="Charles Hernandez"/>
    <s v="West"/>
    <s v="Office Supplies"/>
    <s v="Xerox 1906"/>
    <x v="3"/>
    <n v="1769.15"/>
    <n v="10"/>
    <s v="UPI"/>
    <n v="7961.18"/>
  </r>
  <r>
    <s v="ORD2722"/>
    <d v="2024-01-06T00:00:00"/>
    <s v="Elizabeth Graham"/>
    <s v="East"/>
    <s v="Office Supplies"/>
    <s v="Acme® 8&quot; Straight Scissors"/>
    <x v="1"/>
    <n v="1189.77"/>
    <n v="5"/>
    <s v="Cash"/>
    <n v="4521.13"/>
  </r>
  <r>
    <s v="ORD2723"/>
    <d v="2024-12-06T00:00:00"/>
    <s v="Ronald Brown"/>
    <s v="South"/>
    <s v="Office Supplies"/>
    <s v="Hot File® 7-Pocket, Floor Stand"/>
    <x v="4"/>
    <n v="1675.89"/>
    <n v="15"/>
    <s v="Cash"/>
    <n v="4273.5200000000004"/>
  </r>
  <r>
    <s v="ORD2724"/>
    <d v="2024-02-22T00:00:00"/>
    <s v="Jason Colon"/>
    <s v="North"/>
    <s v="Technology"/>
    <s v="Keytronic 105-Key Spanish Keyboard"/>
    <x v="2"/>
    <n v="1303.03"/>
    <n v="20"/>
    <s v="UPI"/>
    <n v="8339.39"/>
  </r>
  <r>
    <s v="ORD2725"/>
    <d v="2025-01-19T00:00:00"/>
    <s v="Dawn Burke"/>
    <s v="West"/>
    <s v="Office Supplies"/>
    <s v="*Staples* vLetter Openers, 2/Pack"/>
    <x v="1"/>
    <n v="203.19"/>
    <n v="0"/>
    <s v="Credit Card"/>
    <n v="812.76"/>
  </r>
  <r>
    <s v="ORD2726"/>
    <d v="2025-03-20T00:00:00"/>
    <s v="Brian Lee"/>
    <s v="South"/>
    <s v="Office Supplies"/>
    <s v="GBC White Gloss Covers, Plain Front"/>
    <x v="6"/>
    <n v="1494.1"/>
    <n v="20"/>
    <s v="Credit Card"/>
    <n v="2390.56"/>
  </r>
  <r>
    <s v="ORD2727"/>
    <d v="2025-02-21T00:00:00"/>
    <s v="Ronald Marshall"/>
    <s v="West"/>
    <s v="Office Supplies"/>
    <s v="Xerox 1995"/>
    <x v="6"/>
    <n v="235.07"/>
    <n v="5"/>
    <s v="Credit Card"/>
    <n v="446.63"/>
  </r>
  <r>
    <s v="ORD2728"/>
    <d v="2025-03-30T00:00:00"/>
    <s v="Jessica Lucas"/>
    <s v="South"/>
    <s v="Furniture"/>
    <s v="Hon Every-Day® Chair Series Swivel Task Chairs"/>
    <x v="7"/>
    <n v="1208.46"/>
    <n v="5"/>
    <s v="Cash"/>
    <n v="1148.04"/>
  </r>
  <r>
    <s v="ORD2729"/>
    <d v="2025-01-05T00:00:00"/>
    <s v="Christopher Taylor"/>
    <s v="South"/>
    <s v="Furniture"/>
    <s v="SAFCO Arco Folding Chair"/>
    <x v="1"/>
    <n v="1420.15"/>
    <n v="15"/>
    <s v="UPI"/>
    <n v="4828.51"/>
  </r>
  <r>
    <s v="ORD2730"/>
    <d v="2025-01-21T00:00:00"/>
    <s v="Robert Hopkins"/>
    <s v="North"/>
    <s v="Technology"/>
    <s v="i2000"/>
    <x v="8"/>
    <n v="179.73"/>
    <n v="10"/>
    <s v="UPI"/>
    <n v="1455.81"/>
  </r>
  <r>
    <s v="ORD2731"/>
    <d v="2025-05-24T00:00:00"/>
    <s v="Samuel Stuart"/>
    <s v="North"/>
    <s v="Technology"/>
    <s v="80 Minute Slim Jewel Case CD-R , 10/Pack - Staples"/>
    <x v="0"/>
    <n v="500.05"/>
    <n v="15"/>
    <s v="UPI"/>
    <n v="2975.3"/>
  </r>
  <r>
    <s v="ORD2732"/>
    <d v="2023-11-26T00:00:00"/>
    <s v="Mr. Scott Miller"/>
    <s v="South"/>
    <s v="Technology"/>
    <s v="Sharp AL-1530CS Digital Copier"/>
    <x v="0"/>
    <n v="1835.56"/>
    <n v="20"/>
    <s v="Cash"/>
    <n v="10279.14"/>
  </r>
  <r>
    <s v="ORD2733"/>
    <d v="2024-12-11T00:00:00"/>
    <s v="Sharon Lester"/>
    <s v="North"/>
    <s v="Technology"/>
    <s v="Accessory25"/>
    <x v="0"/>
    <n v="1251.81"/>
    <n v="0"/>
    <s v="UPI"/>
    <n v="8762.67"/>
  </r>
  <r>
    <s v="ORD2734"/>
    <d v="2023-10-26T00:00:00"/>
    <s v="Jack Sandoval"/>
    <s v="West"/>
    <s v="Office Supplies"/>
    <s v="Wirebound Four 2-3/4 x 5 Forms per Page, 400 Sets per Book"/>
    <x v="2"/>
    <n v="530.26"/>
    <n v="15"/>
    <s v="Cash"/>
    <n v="3605.77"/>
  </r>
  <r>
    <s v="ORD2735"/>
    <d v="2025-07-13T00:00:00"/>
    <s v="Tony Ramsey"/>
    <s v="East"/>
    <s v="Furniture"/>
    <s v="Hon 4700 Series Mobuis™ Mid-Back Task Chairs with Adjustable Arms"/>
    <x v="7"/>
    <n v="1396.83"/>
    <n v="10"/>
    <s v="Cash"/>
    <n v="1257.1500000000001"/>
  </r>
  <r>
    <s v="ORD2736"/>
    <d v="2024-12-11T00:00:00"/>
    <s v="Brian Navarro"/>
    <s v="West"/>
    <s v="Furniture"/>
    <s v="Hon Every-Day® Chair Series Swivel Task Chairs"/>
    <x v="2"/>
    <n v="1213.71"/>
    <n v="15"/>
    <s v="Credit Card"/>
    <n v="8253.23"/>
  </r>
  <r>
    <s v="ORD2737"/>
    <d v="2024-12-26T00:00:00"/>
    <s v="Kelly Calderon"/>
    <s v="South"/>
    <s v="Furniture"/>
    <s v="Artistic Insta-Plaque"/>
    <x v="1"/>
    <n v="1028.07"/>
    <n v="5"/>
    <s v="UPI"/>
    <n v="3906.67"/>
  </r>
  <r>
    <s v="ORD2738"/>
    <d v="2023-09-11T00:00:00"/>
    <s v="Tara King"/>
    <s v="West"/>
    <s v="Office Supplies"/>
    <s v="Newell 307"/>
    <x v="1"/>
    <n v="1953.56"/>
    <n v="20"/>
    <s v="UPI"/>
    <n v="6251.39"/>
  </r>
  <r>
    <s v="ORD2739"/>
    <d v="2024-04-07T00:00:00"/>
    <s v="Cynthia Martinez"/>
    <s v="South"/>
    <s v="Furniture"/>
    <s v="Executive Impressions 13&quot; Clairmont Wall Clock"/>
    <x v="1"/>
    <n v="1382.73"/>
    <n v="20"/>
    <s v="Net Banking"/>
    <n v="4424.74"/>
  </r>
  <r>
    <s v="ORD2740"/>
    <d v="2025-04-15T00:00:00"/>
    <s v="Erin Silva"/>
    <s v="West"/>
    <s v="Furniture"/>
    <s v="O'Sullivan Cherrywood Estates Traditional Barrister Bookcase"/>
    <x v="5"/>
    <n v="782.11"/>
    <n v="20"/>
    <s v="Credit Card"/>
    <n v="3754.13"/>
  </r>
  <r>
    <s v="ORD2741"/>
    <d v="2024-07-19T00:00:00"/>
    <s v="Paul Young"/>
    <s v="West"/>
    <s v="Technology"/>
    <s v="Gyration Ultra Professional Cordless Optical Suite"/>
    <x v="0"/>
    <n v="1610.14"/>
    <n v="20"/>
    <s v="Cash"/>
    <n v="9016.7800000000007"/>
  </r>
  <r>
    <s v="ORD2742"/>
    <d v="2023-09-06T00:00:00"/>
    <s v="Charles Thompson"/>
    <s v="North"/>
    <s v="Office Supplies"/>
    <s v="Xerox 1932"/>
    <x v="5"/>
    <n v="1774.94"/>
    <n v="20"/>
    <s v="Credit Card"/>
    <n v="8519.7099999999991"/>
  </r>
  <r>
    <s v="ORD2743"/>
    <d v="2024-11-04T00:00:00"/>
    <s v="Jessica King"/>
    <s v="South"/>
    <s v="Office Supplies"/>
    <s v="4009® Highlighters by Sanford"/>
    <x v="7"/>
    <n v="294.18"/>
    <n v="20"/>
    <s v="Net Banking"/>
    <n v="235.34"/>
  </r>
  <r>
    <s v="ORD2744"/>
    <d v="2024-05-21T00:00:00"/>
    <s v="Katherine Brooks"/>
    <s v="South"/>
    <s v="Technology"/>
    <s v="Gyration Ultra Professional Cordless Optical Suite"/>
    <x v="2"/>
    <n v="441.08"/>
    <n v="0"/>
    <s v="Credit Card"/>
    <n v="3528.64"/>
  </r>
  <r>
    <s v="ORD2745"/>
    <d v="2025-03-02T00:00:00"/>
    <s v="Emily Coleman"/>
    <s v="East"/>
    <s v="Office Supplies"/>
    <s v="Xerox 1932"/>
    <x v="0"/>
    <n v="471.64"/>
    <n v="10"/>
    <s v="Credit Card"/>
    <n v="2971.33"/>
  </r>
  <r>
    <s v="ORD2746"/>
    <d v="2023-11-22T00:00:00"/>
    <s v="Tracey Suarez"/>
    <s v="West"/>
    <s v="Office Supplies"/>
    <s v="4009® Highlighters by Sanford"/>
    <x v="5"/>
    <n v="1397.86"/>
    <n v="20"/>
    <s v="Net Banking"/>
    <n v="6709.73"/>
  </r>
  <r>
    <s v="ORD2747"/>
    <d v="2023-10-21T00:00:00"/>
    <s v="Heidi Baldwin"/>
    <s v="West"/>
    <s v="Office Supplies"/>
    <s v="Newell 310"/>
    <x v="5"/>
    <n v="1225.93"/>
    <n v="10"/>
    <s v="Credit Card"/>
    <n v="6620.02"/>
  </r>
  <r>
    <s v="ORD2748"/>
    <d v="2025-07-18T00:00:00"/>
    <s v="Alisha Rasmussen"/>
    <s v="East"/>
    <s v="Office Supplies"/>
    <s v="Fellowes Staxonsteel® Drawer Files"/>
    <x v="3"/>
    <n v="1257.03"/>
    <n v="20"/>
    <s v="Credit Card"/>
    <n v="5028.12"/>
  </r>
  <r>
    <s v="ORD2749"/>
    <d v="2024-03-28T00:00:00"/>
    <s v="Sarah Bates"/>
    <s v="South"/>
    <s v="Furniture"/>
    <s v="O'Sullivan Cherrywood Estates Traditional Barrister Bookcase"/>
    <x v="5"/>
    <n v="1884.51"/>
    <n v="15"/>
    <s v="Net Banking"/>
    <n v="9611"/>
  </r>
  <r>
    <s v="ORD2750"/>
    <d v="2024-04-21T00:00:00"/>
    <s v="Melissa Mccormick"/>
    <s v="West"/>
    <s v="Office Supplies"/>
    <s v="Quartet Alpha® White Chalk, 12/Pack"/>
    <x v="8"/>
    <n v="1563.03"/>
    <n v="20"/>
    <s v="Net Banking"/>
    <n v="11253.82"/>
  </r>
  <r>
    <s v="ORD2751"/>
    <d v="2025-03-14T00:00:00"/>
    <s v="Juan Parker"/>
    <s v="East"/>
    <s v="Technology"/>
    <s v="i1000"/>
    <x v="8"/>
    <n v="299.48"/>
    <n v="5"/>
    <s v="Cash"/>
    <n v="2560.5500000000002"/>
  </r>
  <r>
    <s v="ORD2752"/>
    <d v="2024-06-29T00:00:00"/>
    <s v="Heidi Burnett"/>
    <s v="East"/>
    <s v="Office Supplies"/>
    <s v="Wilson Jones Hanging View Binder, White, 1&quot;"/>
    <x v="2"/>
    <n v="727.64"/>
    <n v="0"/>
    <s v="Net Banking"/>
    <n v="5821.12"/>
  </r>
  <r>
    <s v="ORD2753"/>
    <d v="2023-12-26T00:00:00"/>
    <s v="Sean Mathews"/>
    <s v="East"/>
    <s v="Office Supplies"/>
    <s v="Computer Printout Paper with Letter-Trim Perforations"/>
    <x v="8"/>
    <n v="899.02"/>
    <n v="15"/>
    <s v="UPI"/>
    <n v="6877.5"/>
  </r>
  <r>
    <s v="ORD2754"/>
    <d v="2024-01-14T00:00:00"/>
    <s v="Theodore Long"/>
    <s v="West"/>
    <s v="Technology"/>
    <s v="Zoom V.92 V.44 PCI Internal Controllerless FaxModem"/>
    <x v="2"/>
    <n v="822.13"/>
    <n v="15"/>
    <s v="UPI"/>
    <n v="5590.48"/>
  </r>
  <r>
    <s v="ORD2755"/>
    <d v="2023-11-22T00:00:00"/>
    <s v="Dawn Davis"/>
    <s v="South"/>
    <s v="Office Supplies"/>
    <s v="Eureka Hand Vacuum, Bagless"/>
    <x v="2"/>
    <n v="1355.15"/>
    <n v="5"/>
    <s v="UPI"/>
    <n v="10299.14"/>
  </r>
  <r>
    <s v="ORD2756"/>
    <d v="2025-04-13T00:00:00"/>
    <s v="Cynthia Clark"/>
    <s v="South"/>
    <s v="Office Supplies"/>
    <s v="Kensington 7 Outlet MasterPiece Power Center with Fax/Phone Line Protection"/>
    <x v="7"/>
    <n v="1789.19"/>
    <n v="20"/>
    <s v="Cash"/>
    <n v="1431.35"/>
  </r>
  <r>
    <s v="ORD2757"/>
    <d v="2024-10-03T00:00:00"/>
    <s v="Sydney Welch"/>
    <s v="East"/>
    <s v="Office Supplies"/>
    <s v="Kensington 6 Outlet SmartSocket Surge Protector"/>
    <x v="3"/>
    <n v="646.79999999999995"/>
    <n v="0"/>
    <s v="Credit Card"/>
    <n v="3234"/>
  </r>
  <r>
    <s v="ORD2758"/>
    <d v="2025-06-22T00:00:00"/>
    <s v="Pamela Sullivan"/>
    <s v="East"/>
    <s v="Technology"/>
    <s v="Imation Neon Mac Format Diskettes, 10/Pack"/>
    <x v="1"/>
    <n v="1126.1600000000001"/>
    <n v="15"/>
    <s v="Net Banking"/>
    <n v="3828.94"/>
  </r>
  <r>
    <s v="ORD2759"/>
    <d v="2024-05-22T00:00:00"/>
    <s v="Sean Morrow"/>
    <s v="South"/>
    <s v="Furniture"/>
    <s v="Bevis Boat-Shaped Conference Table"/>
    <x v="6"/>
    <n v="1589.35"/>
    <n v="0"/>
    <s v="Cash"/>
    <n v="3178.7"/>
  </r>
  <r>
    <s v="ORD2760"/>
    <d v="2024-09-27T00:00:00"/>
    <s v="Kaitlin Gutierrez"/>
    <s v="East"/>
    <s v="Office Supplies"/>
    <s v="File Shuttle II and Handi-File, Black"/>
    <x v="2"/>
    <n v="861.63"/>
    <n v="15"/>
    <s v="Credit Card"/>
    <n v="5859.08"/>
  </r>
  <r>
    <s v="ORD2761"/>
    <d v="2024-09-04T00:00:00"/>
    <s v="Michelle Mcdowell"/>
    <s v="East"/>
    <s v="Office Supplies"/>
    <s v="Xerox 1932"/>
    <x v="4"/>
    <n v="377.83"/>
    <n v="20"/>
    <s v="Net Banking"/>
    <n v="906.79"/>
  </r>
  <r>
    <s v="ORD2762"/>
    <d v="2025-07-21T00:00:00"/>
    <s v="Samantha Hale"/>
    <s v="South"/>
    <s v="Office Supplies"/>
    <s v="Harmony HEPA Quiet Air Purifiers"/>
    <x v="1"/>
    <n v="976.15"/>
    <n v="15"/>
    <s v="Credit Card"/>
    <n v="3318.91"/>
  </r>
  <r>
    <s v="ORD2763"/>
    <d v="2024-03-10T00:00:00"/>
    <s v="Heather Guzman"/>
    <s v="West"/>
    <s v="Office Supplies"/>
    <s v="Avery 498"/>
    <x v="0"/>
    <n v="157.68"/>
    <n v="15"/>
    <s v="Net Banking"/>
    <n v="938.2"/>
  </r>
  <r>
    <s v="ORD2764"/>
    <d v="2025-05-18T00:00:00"/>
    <s v="Nancy Chavez"/>
    <s v="East"/>
    <s v="Technology"/>
    <s v="Accessory17"/>
    <x v="8"/>
    <n v="1887.65"/>
    <n v="10"/>
    <s v="UPI"/>
    <n v="15289.97"/>
  </r>
  <r>
    <s v="ORD2765"/>
    <d v="2023-12-17T00:00:00"/>
    <s v="Anthony May"/>
    <s v="West"/>
    <s v="Office Supplies"/>
    <s v="Avery 481"/>
    <x v="6"/>
    <n v="195.9"/>
    <n v="20"/>
    <s v="Net Banking"/>
    <n v="313.44"/>
  </r>
  <r>
    <s v="ORD2766"/>
    <d v="2024-02-27T00:00:00"/>
    <s v="Rachel Taylor"/>
    <s v="East"/>
    <s v="Office Supplies"/>
    <s v="Xerox 1976"/>
    <x v="4"/>
    <n v="904.99"/>
    <n v="5"/>
    <s v="Net Banking"/>
    <n v="2579.2199999999998"/>
  </r>
  <r>
    <s v="ORD2767"/>
    <d v="2025-07-21T00:00:00"/>
    <s v="Mark Edwards"/>
    <s v="East"/>
    <s v="Technology"/>
    <s v="V3682"/>
    <x v="1"/>
    <n v="1083.27"/>
    <n v="5"/>
    <s v="Cash"/>
    <n v="4116.43"/>
  </r>
  <r>
    <s v="ORD2768"/>
    <d v="2025-05-13T00:00:00"/>
    <s v="Christopher Black"/>
    <s v="East"/>
    <s v="Office Supplies"/>
    <s v="Avery 481"/>
    <x v="7"/>
    <n v="1971.34"/>
    <n v="20"/>
    <s v="Cash"/>
    <n v="1577.07"/>
  </r>
  <r>
    <s v="ORD2769"/>
    <d v="2024-08-20T00:00:00"/>
    <s v="Sandra Hines"/>
    <s v="North"/>
    <s v="Office Supplies"/>
    <s v="Xerox 1976"/>
    <x v="0"/>
    <n v="373.74"/>
    <n v="5"/>
    <s v="Cash"/>
    <n v="2485.37"/>
  </r>
  <r>
    <s v="ORD2770"/>
    <d v="2025-04-29T00:00:00"/>
    <s v="Melissa Sparks"/>
    <s v="West"/>
    <s v="Technology"/>
    <s v="V3682"/>
    <x v="6"/>
    <n v="273.14"/>
    <n v="20"/>
    <s v="UPI"/>
    <n v="437.02"/>
  </r>
  <r>
    <s v="ORD2771"/>
    <d v="2024-03-28T00:00:00"/>
    <s v="John Moss"/>
    <s v="West"/>
    <s v="Office Supplies"/>
    <s v="GBC Recycled Grain Textured Covers"/>
    <x v="3"/>
    <n v="66.98"/>
    <n v="5"/>
    <s v="UPI"/>
    <n v="318.16000000000003"/>
  </r>
  <r>
    <s v="ORD2772"/>
    <d v="2025-03-13T00:00:00"/>
    <s v="Michael Serrano"/>
    <s v="East"/>
    <s v="Office Supplies"/>
    <s v="Xerox 1881"/>
    <x v="7"/>
    <n v="353.36"/>
    <n v="10"/>
    <s v="Net Banking"/>
    <n v="318.02"/>
  </r>
  <r>
    <s v="ORD2773"/>
    <d v="2025-06-18T00:00:00"/>
    <s v="Christina Perry"/>
    <s v="South"/>
    <s v="Office Supplies"/>
    <s v="Panasonic KP-350BK Electric Pencil Sharpener with Auto Stop"/>
    <x v="4"/>
    <n v="454.18"/>
    <n v="5"/>
    <s v="Cash"/>
    <n v="1294.4100000000001"/>
  </r>
  <r>
    <s v="ORD2774"/>
    <d v="2024-05-01T00:00:00"/>
    <s v="Shawn Duffy"/>
    <s v="East"/>
    <s v="Furniture"/>
    <s v="SAFCO PlanMaster Heigh-Adjustable Drafting Table Base, 43w x 30d x 30-37h, Black"/>
    <x v="6"/>
    <n v="1279.6300000000001"/>
    <n v="15"/>
    <s v="UPI"/>
    <n v="2175.37"/>
  </r>
  <r>
    <s v="ORD2775"/>
    <d v="2025-04-27T00:00:00"/>
    <s v="Courtney Vaughan"/>
    <s v="North"/>
    <s v="Office Supplies"/>
    <s v="GBC ProClick™ 150 Presentation Binding System"/>
    <x v="7"/>
    <n v="478.43"/>
    <n v="20"/>
    <s v="UPI"/>
    <n v="382.74"/>
  </r>
  <r>
    <s v="ORD2776"/>
    <d v="2023-11-09T00:00:00"/>
    <s v="Maria Sims"/>
    <s v="East"/>
    <s v="Office Supplies"/>
    <s v="Wilson Jones Hanging View Binder, White, 1&quot;"/>
    <x v="0"/>
    <n v="90.02"/>
    <n v="0"/>
    <s v="Net Banking"/>
    <n v="630.14"/>
  </r>
  <r>
    <s v="ORD2777"/>
    <d v="2024-08-09T00:00:00"/>
    <s v="Valerie Gonzalez"/>
    <s v="North"/>
    <s v="Office Supplies"/>
    <s v="GBC VeloBinder Electric Binding Machine"/>
    <x v="3"/>
    <n v="1661.91"/>
    <n v="0"/>
    <s v="Net Banking"/>
    <n v="8309.5499999999993"/>
  </r>
  <r>
    <s v="ORD2778"/>
    <d v="2023-10-09T00:00:00"/>
    <s v="Caroline Morales"/>
    <s v="East"/>
    <s v="Technology"/>
    <s v="Canon S750 Color Inkjet Printer"/>
    <x v="7"/>
    <n v="762.91"/>
    <n v="20"/>
    <s v="Credit Card"/>
    <n v="610.33000000000004"/>
  </r>
  <r>
    <s v="ORD2779"/>
    <d v="2023-11-29T00:00:00"/>
    <s v="David Davis"/>
    <s v="West"/>
    <s v="Office Supplies"/>
    <s v="Colored Envelopes"/>
    <x v="5"/>
    <n v="739.71"/>
    <n v="10"/>
    <s v="Credit Card"/>
    <n v="3994.43"/>
  </r>
  <r>
    <s v="ORD2780"/>
    <d v="2025-03-19T00:00:00"/>
    <s v="Travis Wilson"/>
    <s v="East"/>
    <s v="Furniture"/>
    <s v="Global Ergonomic Managers Chair"/>
    <x v="3"/>
    <n v="639.83000000000004"/>
    <n v="5"/>
    <s v="Net Banking"/>
    <n v="3039.19"/>
  </r>
  <r>
    <s v="ORD2781"/>
    <d v="2024-02-03T00:00:00"/>
    <s v="Jessica Mora"/>
    <s v="West"/>
    <s v="Office Supplies"/>
    <s v="Acco Smartsocket™ Table Surge Protector, 6 Color-Coded Adapter Outlets"/>
    <x v="4"/>
    <n v="1951.98"/>
    <n v="10"/>
    <s v="Credit Card"/>
    <n v="5270.35"/>
  </r>
  <r>
    <s v="ORD2782"/>
    <d v="2025-06-10T00:00:00"/>
    <s v="Michael Wilson"/>
    <s v="South"/>
    <s v="Office Supplies"/>
    <s v="Fellowes Black Plastic Comb Bindings"/>
    <x v="0"/>
    <n v="381.73"/>
    <n v="0"/>
    <s v="UPI"/>
    <n v="2672.11"/>
  </r>
  <r>
    <s v="ORD2783"/>
    <d v="2025-01-18T00:00:00"/>
    <s v="Cheryl Atkins"/>
    <s v="South"/>
    <s v="Office Supplies"/>
    <s v="Assorted Color Push Pins"/>
    <x v="8"/>
    <n v="1801.56"/>
    <n v="20"/>
    <s v="Net Banking"/>
    <n v="12971.23"/>
  </r>
  <r>
    <s v="ORD2784"/>
    <d v="2025-02-24T00:00:00"/>
    <s v="Donna Snyder"/>
    <s v="East"/>
    <s v="Office Supplies"/>
    <s v="3M Organizer Strips"/>
    <x v="8"/>
    <n v="1564.77"/>
    <n v="20"/>
    <s v="Net Banking"/>
    <n v="11266.34"/>
  </r>
  <r>
    <s v="ORD2785"/>
    <d v="2025-01-16T00:00:00"/>
    <s v="Scott Greene"/>
    <s v="East"/>
    <s v="Technology"/>
    <s v="Imation 3.5 IBM Diskettes, 10/Box"/>
    <x v="8"/>
    <n v="199.14"/>
    <n v="10"/>
    <s v="Cash"/>
    <n v="1613.03"/>
  </r>
  <r>
    <s v="ORD2786"/>
    <d v="2024-06-15T00:00:00"/>
    <s v="Diane Byrd MD"/>
    <s v="South"/>
    <s v="Furniture"/>
    <s v="GE 4 Foot Flourescent Tube, 40 Watt"/>
    <x v="6"/>
    <n v="1974.12"/>
    <n v="10"/>
    <s v="UPI"/>
    <n v="3553.42"/>
  </r>
  <r>
    <s v="ORD2787"/>
    <d v="2025-05-29T00:00:00"/>
    <s v="Charles Roberts"/>
    <s v="North"/>
    <s v="Technology"/>
    <s v="300 Series Non-Flip"/>
    <x v="4"/>
    <n v="579.16"/>
    <n v="5"/>
    <s v="UPI"/>
    <n v="1650.61"/>
  </r>
  <r>
    <s v="ORD2788"/>
    <d v="2025-04-27T00:00:00"/>
    <s v="Luke Solomon"/>
    <s v="South"/>
    <s v="Furniture"/>
    <s v="Global Leather &amp; Oak Executive Chair, Burgundy"/>
    <x v="0"/>
    <n v="242.24"/>
    <n v="15"/>
    <s v="Cash"/>
    <n v="1441.33"/>
  </r>
  <r>
    <s v="ORD2789"/>
    <d v="2024-10-17T00:00:00"/>
    <s v="Michael Ellis"/>
    <s v="South"/>
    <s v="Office Supplies"/>
    <s v="Ibico Hi-Tech Manual Binding System"/>
    <x v="3"/>
    <n v="1667.16"/>
    <n v="15"/>
    <s v="Credit Card"/>
    <n v="7085.43"/>
  </r>
  <r>
    <s v="ORD2790"/>
    <d v="2024-05-22T00:00:00"/>
    <s v="Casey Morris"/>
    <s v="North"/>
    <s v="Office Supplies"/>
    <s v="Eureka Disposable Bags for Sanitaire® Vibra Groomer I® Upright Vac"/>
    <x v="6"/>
    <n v="1428.02"/>
    <n v="5"/>
    <s v="Net Banking"/>
    <n v="2713.24"/>
  </r>
  <r>
    <s v="ORD2791"/>
    <d v="2023-10-21T00:00:00"/>
    <s v="Melissa Reeves"/>
    <s v="South"/>
    <s v="Furniture"/>
    <s v="Hon 2090 “Pillow Soft” Series Mid Back Swivel/Tilt Chairs"/>
    <x v="4"/>
    <n v="1253.58"/>
    <n v="15"/>
    <s v="Credit Card"/>
    <n v="3196.63"/>
  </r>
  <r>
    <s v="ORD2792"/>
    <d v="2025-04-17T00:00:00"/>
    <s v="Nancy Scott"/>
    <s v="South"/>
    <s v="Office Supplies"/>
    <s v="Acme Design Line 8&quot; Stainless Steel Bent Scissors w/Champagne Handles, 3-1/8&quot; Cut"/>
    <x v="5"/>
    <n v="354.16"/>
    <n v="0"/>
    <s v="UPI"/>
    <n v="2124.96"/>
  </r>
  <r>
    <s v="ORD2793"/>
    <d v="2024-06-13T00:00:00"/>
    <s v="Anthony Cook"/>
    <s v="North"/>
    <s v="Office Supplies"/>
    <s v="Tennsco Industrial Shelving"/>
    <x v="0"/>
    <n v="983.07"/>
    <n v="15"/>
    <s v="Credit Card"/>
    <n v="5849.27"/>
  </r>
  <r>
    <s v="ORD2794"/>
    <d v="2023-08-22T00:00:00"/>
    <s v="Terry Barajas"/>
    <s v="North"/>
    <s v="Office Supplies"/>
    <s v="Decoflex Hanging Personal Folder File"/>
    <x v="8"/>
    <n v="1572.08"/>
    <n v="5"/>
    <s v="UPI"/>
    <n v="13441.28"/>
  </r>
  <r>
    <s v="ORD2795"/>
    <d v="2024-03-04T00:00:00"/>
    <s v="Tracy George"/>
    <s v="West"/>
    <s v="Office Supplies"/>
    <s v="Cardinal Poly Pocket Divider Pockets for Ring Binders"/>
    <x v="7"/>
    <n v="642.07000000000005"/>
    <n v="15"/>
    <s v="Net Banking"/>
    <n v="545.76"/>
  </r>
  <r>
    <s v="ORD2796"/>
    <d v="2024-10-01T00:00:00"/>
    <s v="Amber King"/>
    <s v="East"/>
    <s v="Office Supplies"/>
    <s v="&quot;While you Were Out&quot; Message Book, One Form per Page"/>
    <x v="0"/>
    <n v="657.8"/>
    <n v="20"/>
    <s v="Net Banking"/>
    <n v="3683.68"/>
  </r>
  <r>
    <s v="ORD2797"/>
    <d v="2023-11-15T00:00:00"/>
    <s v="Elizabeth Foster"/>
    <s v="West"/>
    <s v="Furniture"/>
    <s v="Telescoping Adjustable Floor Lamp"/>
    <x v="2"/>
    <n v="56.12"/>
    <n v="10"/>
    <s v="Net Banking"/>
    <n v="404.06"/>
  </r>
  <r>
    <s v="ORD2798"/>
    <d v="2024-07-30T00:00:00"/>
    <s v="Walter Hansen"/>
    <s v="North"/>
    <s v="Furniture"/>
    <s v="Hon 4070 Series Pagoda™ Round Back Stacking Chairs"/>
    <x v="4"/>
    <n v="389.77"/>
    <n v="0"/>
    <s v="Cash"/>
    <n v="1169.31"/>
  </r>
  <r>
    <s v="ORD2799"/>
    <d v="2024-05-24T00:00:00"/>
    <s v="Debbie Gordon"/>
    <s v="South"/>
    <s v="Furniture"/>
    <s v="Bevis Rectangular Conference Tables"/>
    <x v="1"/>
    <n v="1757.04"/>
    <n v="20"/>
    <s v="Cash"/>
    <n v="5622.53"/>
  </r>
  <r>
    <s v="ORD2800"/>
    <d v="2025-01-15T00:00:00"/>
    <s v="Sherry Anderson"/>
    <s v="North"/>
    <s v="Technology"/>
    <s v="Okidata Pacemark 4410N Wide Format Dot Matrix Printer"/>
    <x v="5"/>
    <n v="911.41"/>
    <n v="20"/>
    <s v="Cash"/>
    <n v="4374.7700000000004"/>
  </r>
  <r>
    <s v="ORD2801"/>
    <d v="2025-03-15T00:00:00"/>
    <s v="Joseph Thomas"/>
    <s v="South"/>
    <s v="Office Supplies"/>
    <s v="Acme Galleria® Hot Forged Steel Scissors with Colored Handles"/>
    <x v="0"/>
    <n v="1969.26"/>
    <n v="5"/>
    <s v="Net Banking"/>
    <n v="13095.58"/>
  </r>
  <r>
    <s v="ORD2802"/>
    <d v="2025-01-15T00:00:00"/>
    <s v="Andrew Anderson"/>
    <s v="West"/>
    <s v="Office Supplies"/>
    <s v="BOSTON® Ranger® #55 Pencil Sharpener, Black"/>
    <x v="1"/>
    <n v="821.63"/>
    <n v="10"/>
    <s v="Net Banking"/>
    <n v="2957.87"/>
  </r>
  <r>
    <s v="ORD2803"/>
    <d v="2024-03-02T00:00:00"/>
    <s v="Sandy Adkins"/>
    <s v="West"/>
    <s v="Office Supplies"/>
    <s v="Fiskars 8&quot; Scissors, 2/Pack"/>
    <x v="2"/>
    <n v="1444.61"/>
    <n v="10"/>
    <s v="Credit Card"/>
    <n v="10401.19"/>
  </r>
  <r>
    <s v="ORD2804"/>
    <d v="2024-11-08T00:00:00"/>
    <s v="Diane Mcdowell"/>
    <s v="West"/>
    <s v="Office Supplies"/>
    <s v="Avery Hanging File Binders"/>
    <x v="3"/>
    <n v="599.74"/>
    <n v="0"/>
    <s v="UPI"/>
    <n v="2998.7"/>
  </r>
  <r>
    <s v="ORD2805"/>
    <d v="2024-06-02T00:00:00"/>
    <s v="Pam Baker"/>
    <s v="South"/>
    <s v="Furniture"/>
    <s v="GE 48&quot; Fluorescent Tube, Cool White Energy Saver, 34 Watts, 30/Box"/>
    <x v="7"/>
    <n v="759.43"/>
    <n v="5"/>
    <s v="Cash"/>
    <n v="721.46"/>
  </r>
  <r>
    <s v="ORD2806"/>
    <d v="2025-05-11T00:00:00"/>
    <s v="Steven Stewart"/>
    <s v="East"/>
    <s v="Technology"/>
    <s v="Canon MP41DH Printing Calculator"/>
    <x v="1"/>
    <n v="421.92"/>
    <n v="0"/>
    <s v="Net Banking"/>
    <n v="1687.68"/>
  </r>
  <r>
    <s v="ORD2807"/>
    <d v="2024-12-19T00:00:00"/>
    <s v="Pamela Hernandez DVM"/>
    <s v="East"/>
    <s v="Office Supplies"/>
    <s v="Portfile® Personal File Boxes"/>
    <x v="4"/>
    <n v="726.77"/>
    <n v="15"/>
    <s v="Net Banking"/>
    <n v="1853.26"/>
  </r>
  <r>
    <s v="ORD2808"/>
    <d v="2025-08-11T00:00:00"/>
    <s v="Rebecca Brown"/>
    <s v="East"/>
    <s v="Office Supplies"/>
    <s v="Boston 1730 StandUp Electric Pencil Sharpener"/>
    <x v="8"/>
    <n v="1117.1099999999999"/>
    <n v="20"/>
    <s v="UPI"/>
    <n v="8043.19"/>
  </r>
  <r>
    <s v="ORD2809"/>
    <d v="2024-05-26T00:00:00"/>
    <s v="David Johnson"/>
    <s v="North"/>
    <s v="Office Supplies"/>
    <s v="Fellowes Smart Surge Ten-Outlet Protector, Platinum"/>
    <x v="2"/>
    <n v="1983.96"/>
    <n v="0"/>
    <s v="Cash"/>
    <n v="15871.68"/>
  </r>
  <r>
    <s v="ORD2810"/>
    <d v="2023-11-04T00:00:00"/>
    <s v="Michael Graham"/>
    <s v="North"/>
    <s v="Furniture"/>
    <s v="Global Stack Chair without Arms, Black"/>
    <x v="7"/>
    <n v="1345.19"/>
    <n v="20"/>
    <s v="Cash"/>
    <n v="1076.1500000000001"/>
  </r>
  <r>
    <s v="ORD2811"/>
    <d v="2025-01-17T00:00:00"/>
    <s v="Tammy Williams MD"/>
    <s v="South"/>
    <s v="Office Supplies"/>
    <s v="Fellowes Neat Ideas® Storage Cubes"/>
    <x v="5"/>
    <n v="438.53"/>
    <n v="5"/>
    <s v="Credit Card"/>
    <n v="2499.62"/>
  </r>
  <r>
    <s v="ORD2812"/>
    <d v="2024-02-09T00:00:00"/>
    <s v="Karina Vasquez"/>
    <s v="North"/>
    <s v="Technology"/>
    <s v="Gyration RF Keyboard"/>
    <x v="8"/>
    <n v="137.66999999999999"/>
    <n v="15"/>
    <s v="Net Banking"/>
    <n v="1053.18"/>
  </r>
  <r>
    <s v="ORD2813"/>
    <d v="2024-08-12T00:00:00"/>
    <s v="Sharon Martinez"/>
    <s v="South"/>
    <s v="Furniture"/>
    <s v="Hon 2090 “Pillow Soft” Series Mid Back Swivel/Tilt Chairs"/>
    <x v="0"/>
    <n v="296.39999999999998"/>
    <n v="5"/>
    <s v="Credit Card"/>
    <n v="1971.06"/>
  </r>
  <r>
    <s v="ORD2814"/>
    <d v="2023-08-31T00:00:00"/>
    <s v="Sean White"/>
    <s v="West"/>
    <s v="Office Supplies"/>
    <s v="Xerox 1922"/>
    <x v="1"/>
    <n v="1146.98"/>
    <n v="15"/>
    <s v="Net Banking"/>
    <n v="3899.73"/>
  </r>
  <r>
    <s v="ORD2815"/>
    <d v="2024-12-05T00:00:00"/>
    <s v="Jordan Nelson"/>
    <s v="South"/>
    <s v="Office Supplies"/>
    <s v="Fluorescent Highlighters by Dixon"/>
    <x v="7"/>
    <n v="1542.06"/>
    <n v="15"/>
    <s v="UPI"/>
    <n v="1310.75"/>
  </r>
  <r>
    <s v="ORD2816"/>
    <d v="2025-06-28T00:00:00"/>
    <s v="Laurie Silva"/>
    <s v="North"/>
    <s v="Office Supplies"/>
    <s v="Array® Parchment Paper, Assorted Colors"/>
    <x v="6"/>
    <n v="1883.82"/>
    <n v="20"/>
    <s v="Credit Card"/>
    <n v="3014.11"/>
  </r>
  <r>
    <s v="ORD2817"/>
    <d v="2024-10-21T00:00:00"/>
    <s v="Kelly Duncan"/>
    <s v="West"/>
    <s v="Office Supplies"/>
    <s v="Southworth Structures Collection™"/>
    <x v="3"/>
    <n v="80.86"/>
    <n v="5"/>
    <s v="Net Banking"/>
    <n v="384.08"/>
  </r>
  <r>
    <s v="ORD2818"/>
    <d v="2024-04-22T00:00:00"/>
    <s v="Billy Tate"/>
    <s v="West"/>
    <s v="Technology"/>
    <s v="Micro Innovations 104 Keyboard"/>
    <x v="3"/>
    <n v="1069.3800000000001"/>
    <n v="5"/>
    <s v="Cash"/>
    <n v="5079.5600000000004"/>
  </r>
  <r>
    <s v="ORD2819"/>
    <d v="2025-07-22T00:00:00"/>
    <s v="Stacy Johnson"/>
    <s v="South"/>
    <s v="Furniture"/>
    <s v="O'Sullivan 3-Shelf Heavy-Duty Bookcases"/>
    <x v="2"/>
    <n v="968.19"/>
    <n v="0"/>
    <s v="UPI"/>
    <n v="7745.52"/>
  </r>
  <r>
    <s v="ORD2820"/>
    <d v="2024-11-27T00:00:00"/>
    <s v="Melanie Long"/>
    <s v="East"/>
    <s v="Office Supplies"/>
    <s v="Park Ridge™ Embossed Executive Business Envelopes"/>
    <x v="5"/>
    <n v="1329.31"/>
    <n v="5"/>
    <s v="Net Banking"/>
    <n v="7577.07"/>
  </r>
  <r>
    <s v="ORD2821"/>
    <d v="2024-01-30T00:00:00"/>
    <s v="Tiffany Hood"/>
    <s v="North"/>
    <s v="Furniture"/>
    <s v="Deflect-o Glass Clear Studded Chair Mats"/>
    <x v="2"/>
    <n v="1141.18"/>
    <n v="0"/>
    <s v="Credit Card"/>
    <n v="9129.44"/>
  </r>
  <r>
    <s v="ORD2822"/>
    <d v="2024-12-27T00:00:00"/>
    <s v="Brad Rivas"/>
    <s v="North"/>
    <s v="Office Supplies"/>
    <s v="Prang Dustless Chalk Sticks"/>
    <x v="6"/>
    <n v="1389.73"/>
    <n v="10"/>
    <s v="Credit Card"/>
    <n v="2501.5100000000002"/>
  </r>
  <r>
    <s v="ORD2823"/>
    <d v="2023-09-30T00:00:00"/>
    <s v="Jordan Moses"/>
    <s v="East"/>
    <s v="Office Supplies"/>
    <s v="Xerox 1906"/>
    <x v="4"/>
    <n v="1333.26"/>
    <n v="10"/>
    <s v="Net Banking"/>
    <n v="3599.8"/>
  </r>
  <r>
    <s v="ORD2824"/>
    <d v="2024-12-17T00:00:00"/>
    <s v="Abigail Booker"/>
    <s v="North"/>
    <s v="Furniture"/>
    <s v="Rush Hierlooms Collection 1&quot; Thick Stackable Bookcases"/>
    <x v="5"/>
    <n v="278.17"/>
    <n v="10"/>
    <s v="UPI"/>
    <n v="1502.12"/>
  </r>
  <r>
    <s v="ORD2825"/>
    <d v="2025-05-12T00:00:00"/>
    <s v="Tiffany Nguyen"/>
    <s v="East"/>
    <s v="Technology"/>
    <s v="1726 Digital Answering Machine"/>
    <x v="4"/>
    <n v="1609.45"/>
    <n v="5"/>
    <s v="Net Banking"/>
    <n v="4586.93"/>
  </r>
  <r>
    <s v="ORD2826"/>
    <d v="2024-08-06T00:00:00"/>
    <s v="Morgan Bernard"/>
    <s v="East"/>
    <s v="Office Supplies"/>
    <s v="Tyvek ® Top-Opening Peel &amp; Seel ® Envelopes, Gray"/>
    <x v="5"/>
    <n v="290.3"/>
    <n v="5"/>
    <s v="Credit Card"/>
    <n v="1654.71"/>
  </r>
  <r>
    <s v="ORD2827"/>
    <d v="2025-07-18T00:00:00"/>
    <s v="Christine Williams"/>
    <s v="West"/>
    <s v="Office Supplies"/>
    <s v="Xerox 1961"/>
    <x v="5"/>
    <n v="1412.13"/>
    <n v="0"/>
    <s v="Credit Card"/>
    <n v="8472.7800000000007"/>
  </r>
  <r>
    <s v="ORD2828"/>
    <d v="2025-02-06T00:00:00"/>
    <s v="Erica Brown"/>
    <s v="West"/>
    <s v="Office Supplies"/>
    <s v="Xerox 1991"/>
    <x v="6"/>
    <n v="861.48"/>
    <n v="15"/>
    <s v="Cash"/>
    <n v="1464.52"/>
  </r>
  <r>
    <s v="ORD2829"/>
    <d v="2024-04-02T00:00:00"/>
    <s v="Trevor James"/>
    <s v="South"/>
    <s v="Technology"/>
    <s v="Hewlett-Packard Deskjet 6122 Color Inkjet Printer"/>
    <x v="0"/>
    <n v="1052.01"/>
    <n v="0"/>
    <s v="Cash"/>
    <n v="7364.07"/>
  </r>
  <r>
    <s v="ORD2830"/>
    <d v="2024-12-28T00:00:00"/>
    <s v="Christopher Hanna"/>
    <s v="West"/>
    <s v="Technology"/>
    <s v="Hewlett-Packard Deskjet 6122 Color Inkjet Printer"/>
    <x v="6"/>
    <n v="1811.43"/>
    <n v="10"/>
    <s v="Credit Card"/>
    <n v="3260.57"/>
  </r>
  <r>
    <s v="ORD2831"/>
    <d v="2024-06-24T00:00:00"/>
    <s v="Ann Phelps"/>
    <s v="East"/>
    <s v="Office Supplies"/>
    <s v="Newell 315"/>
    <x v="5"/>
    <n v="1785.27"/>
    <n v="0"/>
    <s v="Cash"/>
    <n v="10711.62"/>
  </r>
  <r>
    <s v="ORD2832"/>
    <d v="2023-11-10T00:00:00"/>
    <s v="Richard Mitchell"/>
    <s v="South"/>
    <s v="Technology"/>
    <s v="Microsoft Natural Keyboard Elite"/>
    <x v="7"/>
    <n v="1644.82"/>
    <n v="15"/>
    <s v="Cash"/>
    <n v="1398.1"/>
  </r>
  <r>
    <s v="ORD2833"/>
    <d v="2023-11-28T00:00:00"/>
    <s v="Martha Martinez"/>
    <s v="North"/>
    <s v="Furniture"/>
    <s v="Lifetime Advantage™ Folding Chairs, 4/Carton"/>
    <x v="4"/>
    <n v="1044.79"/>
    <n v="5"/>
    <s v="Net Banking"/>
    <n v="2977.65"/>
  </r>
  <r>
    <s v="ORD2834"/>
    <d v="2023-09-16T00:00:00"/>
    <s v="Jeffrey Drake MD"/>
    <s v="East"/>
    <s v="Office Supplies"/>
    <s v="Xerox 1932"/>
    <x v="6"/>
    <n v="1485.67"/>
    <n v="0"/>
    <s v="UPI"/>
    <n v="2971.34"/>
  </r>
  <r>
    <s v="ORD2835"/>
    <d v="2023-09-09T00:00:00"/>
    <s v="Bonnie Wade"/>
    <s v="South"/>
    <s v="Technology"/>
    <s v="Imation 3.5&quot;, DISKETTE 44766 HGHLD3.52HD/FM, 10/Pack"/>
    <x v="0"/>
    <n v="1050.1500000000001"/>
    <n v="10"/>
    <s v="Net Banking"/>
    <n v="6615.95"/>
  </r>
  <r>
    <s v="ORD2836"/>
    <d v="2024-04-04T00:00:00"/>
    <s v="Kayla Burns"/>
    <s v="West"/>
    <s v="Office Supplies"/>
    <s v="Self-Adhesive Address Labels for Typewriters by Universal"/>
    <x v="1"/>
    <n v="1745.73"/>
    <n v="10"/>
    <s v="Net Banking"/>
    <n v="6284.63"/>
  </r>
  <r>
    <s v="ORD2837"/>
    <d v="2024-08-28T00:00:00"/>
    <s v="Karen Hart"/>
    <s v="East"/>
    <s v="Technology"/>
    <s v="Accessory37"/>
    <x v="2"/>
    <n v="835.41"/>
    <n v="5"/>
    <s v="Cash"/>
    <n v="6349.12"/>
  </r>
  <r>
    <s v="ORD2838"/>
    <d v="2023-11-10T00:00:00"/>
    <s v="Peter Shepherd"/>
    <s v="South"/>
    <s v="Office Supplies"/>
    <s v="Sanford Liquid Accent Highlighters"/>
    <x v="5"/>
    <n v="1941.96"/>
    <n v="0"/>
    <s v="Cash"/>
    <n v="11651.76"/>
  </r>
  <r>
    <s v="ORD2839"/>
    <d v="2023-10-26T00:00:00"/>
    <s v="Jessica Simmons"/>
    <s v="North"/>
    <s v="Technology"/>
    <s v="80 Minute CD-R Spindle, 100/Pack - Staples"/>
    <x v="1"/>
    <n v="1868.03"/>
    <n v="15"/>
    <s v="UPI"/>
    <n v="6351.3"/>
  </r>
  <r>
    <s v="ORD2840"/>
    <d v="2024-02-10T00:00:00"/>
    <s v="Glenn Ford"/>
    <s v="East"/>
    <s v="Technology"/>
    <s v="Imation Neon Mac Format Diskettes, 10/Pack"/>
    <x v="3"/>
    <n v="1496.13"/>
    <n v="5"/>
    <s v="UPI"/>
    <n v="7106.62"/>
  </r>
  <r>
    <s v="ORD2841"/>
    <d v="2025-07-01T00:00:00"/>
    <s v="Michael Moore"/>
    <s v="East"/>
    <s v="Furniture"/>
    <s v="Novimex Fabric Task Chair"/>
    <x v="8"/>
    <n v="594.86"/>
    <n v="0"/>
    <s v="UPI"/>
    <n v="5353.74"/>
  </r>
  <r>
    <s v="ORD2842"/>
    <d v="2024-10-02T00:00:00"/>
    <s v="Mark Warren IV"/>
    <s v="South"/>
    <s v="Office Supplies"/>
    <s v="1.7 Cubic Foot Compact &quot;Cube&quot; Office Refrigerators"/>
    <x v="0"/>
    <n v="306.72000000000003"/>
    <n v="20"/>
    <s v="Net Banking"/>
    <n v="1717.63"/>
  </r>
  <r>
    <s v="ORD2843"/>
    <d v="2023-11-25T00:00:00"/>
    <s v="Terry Woods"/>
    <s v="South"/>
    <s v="Office Supplies"/>
    <s v="Tyvek® Side-Opening Peel &amp; Seel® Expanding Envelopes"/>
    <x v="8"/>
    <n v="1716.67"/>
    <n v="10"/>
    <s v="UPI"/>
    <n v="13905.03"/>
  </r>
  <r>
    <s v="ORD2844"/>
    <d v="2024-06-08T00:00:00"/>
    <s v="Carl Leach"/>
    <s v="West"/>
    <s v="Furniture"/>
    <s v="DAX Two-Tone Rosewood/Black Document Frame, Desktop, 5 x 7"/>
    <x v="0"/>
    <n v="372.34"/>
    <n v="15"/>
    <s v="Credit Card"/>
    <n v="2215.42"/>
  </r>
  <r>
    <s v="ORD2845"/>
    <d v="2024-07-29T00:00:00"/>
    <s v="Kelly Phillips"/>
    <s v="West"/>
    <s v="Office Supplies"/>
    <s v="Newell 336"/>
    <x v="7"/>
    <n v="1715.81"/>
    <n v="15"/>
    <s v="Credit Card"/>
    <n v="1458.44"/>
  </r>
  <r>
    <s v="ORD2846"/>
    <d v="2024-05-26T00:00:00"/>
    <s v="Billy Williams"/>
    <s v="East"/>
    <s v="Technology"/>
    <s v="Verbatim DVD-R, 3.95GB, SR, Mitsubishi Branded, Jewel"/>
    <x v="2"/>
    <n v="1006.99"/>
    <n v="15"/>
    <s v="Net Banking"/>
    <n v="6847.53"/>
  </r>
  <r>
    <s v="ORD2847"/>
    <d v="2025-01-13T00:00:00"/>
    <s v="Jeffery Davis"/>
    <s v="North"/>
    <s v="Office Supplies"/>
    <s v="Large Capacity Hanging Post Binders"/>
    <x v="1"/>
    <n v="842.79"/>
    <n v="10"/>
    <s v="Cash"/>
    <n v="3034.04"/>
  </r>
  <r>
    <s v="ORD2848"/>
    <d v="2025-03-11T00:00:00"/>
    <s v="Laura King"/>
    <s v="West"/>
    <s v="Technology"/>
    <s v="Imation 3.5&quot; DS/HD IBM Formatted Diskettes, 50/Pack"/>
    <x v="4"/>
    <n v="1811.22"/>
    <n v="0"/>
    <s v="UPI"/>
    <n v="5433.66"/>
  </r>
  <r>
    <s v="ORD2849"/>
    <d v="2025-02-02T00:00:00"/>
    <s v="Brad Gordon"/>
    <s v="North"/>
    <s v="Office Supplies"/>
    <s v="Acco Pressboard Covers with Storage Hooks, 14 7/8&quot; x 11&quot;, Light Blue"/>
    <x v="0"/>
    <n v="1227.51"/>
    <n v="5"/>
    <s v="Credit Card"/>
    <n v="8162.94"/>
  </r>
  <r>
    <s v="ORD2850"/>
    <d v="2024-10-04T00:00:00"/>
    <s v="Matthew White"/>
    <s v="South"/>
    <s v="Office Supplies"/>
    <s v="Xerox 1916"/>
    <x v="4"/>
    <n v="1174.4000000000001"/>
    <n v="0"/>
    <s v="UPI"/>
    <n v="3523.2"/>
  </r>
  <r>
    <s v="ORD2851"/>
    <d v="2024-07-02T00:00:00"/>
    <s v="James Miller"/>
    <s v="South"/>
    <s v="Technology"/>
    <s v="8890"/>
    <x v="2"/>
    <n v="1139.5899999999999"/>
    <n v="5"/>
    <s v="Credit Card"/>
    <n v="8660.8799999999992"/>
  </r>
  <r>
    <s v="ORD2852"/>
    <d v="2024-11-10T00:00:00"/>
    <s v="Elizabeth Matthews"/>
    <s v="West"/>
    <s v="Technology"/>
    <s v="Imation 3.5&quot; DS-HD Macintosh Formatted Diskettes, 10/Pack"/>
    <x v="5"/>
    <n v="773.78"/>
    <n v="15"/>
    <s v="Credit Card"/>
    <n v="3946.28"/>
  </r>
  <r>
    <s v="ORD2853"/>
    <d v="2025-03-10T00:00:00"/>
    <s v="Michael Hanson"/>
    <s v="East"/>
    <s v="Office Supplies"/>
    <s v="Array® Memo Cubes"/>
    <x v="3"/>
    <n v="1582"/>
    <n v="0"/>
    <s v="UPI"/>
    <n v="7910"/>
  </r>
  <r>
    <s v="ORD2854"/>
    <d v="2025-02-26T00:00:00"/>
    <s v="Vincent Savage"/>
    <s v="South"/>
    <s v="Office Supplies"/>
    <s v="Wilson Jones Suede Grain Vinyl Binders"/>
    <x v="1"/>
    <n v="542.96"/>
    <n v="15"/>
    <s v="Credit Card"/>
    <n v="1846.06"/>
  </r>
  <r>
    <s v="ORD2855"/>
    <d v="2023-12-10T00:00:00"/>
    <s v="Cody Burgess"/>
    <s v="North"/>
    <s v="Office Supplies"/>
    <s v="Wilson Jones Elliptical Ring 3 1/2&quot; Capacity Binders, 800 sheets"/>
    <x v="2"/>
    <n v="1880.85"/>
    <n v="20"/>
    <s v="UPI"/>
    <n v="12037.44"/>
  </r>
  <r>
    <s v="ORD2856"/>
    <d v="2025-06-29T00:00:00"/>
    <s v="Shelby Rodriguez"/>
    <s v="East"/>
    <s v="Office Supplies"/>
    <s v="Xerox 1928"/>
    <x v="2"/>
    <n v="1793.27"/>
    <n v="15"/>
    <s v="Credit Card"/>
    <n v="12194.24"/>
  </r>
  <r>
    <s v="ORD2857"/>
    <d v="2024-06-29T00:00:00"/>
    <s v="Abigail Wilson"/>
    <s v="West"/>
    <s v="Office Supplies"/>
    <s v="Xerox 188"/>
    <x v="7"/>
    <n v="708.09"/>
    <n v="15"/>
    <s v="Cash"/>
    <n v="601.88"/>
  </r>
  <r>
    <s v="ORD2858"/>
    <d v="2025-01-01T00:00:00"/>
    <s v="John Holt"/>
    <s v="South"/>
    <s v="Office Supplies"/>
    <s v="Xerox 1928"/>
    <x v="8"/>
    <n v="1472.45"/>
    <n v="5"/>
    <s v="Net Banking"/>
    <n v="12589.45"/>
  </r>
  <r>
    <s v="ORD2859"/>
    <d v="2023-10-27T00:00:00"/>
    <s v="Tracy Guzman"/>
    <s v="West"/>
    <s v="Technology"/>
    <s v="DS/HD IBM Formatted Diskettes, 200/Pack - Staples"/>
    <x v="3"/>
    <n v="1167.79"/>
    <n v="20"/>
    <s v="Net Banking"/>
    <n v="4671.16"/>
  </r>
  <r>
    <s v="ORD2860"/>
    <d v="2025-05-20T00:00:00"/>
    <s v="Mr. William Ward"/>
    <s v="East"/>
    <s v="Furniture"/>
    <s v="SAFCO PlanMaster Heigh-Adjustable Drafting Table Base, 43w x 30d x 30-37h, Black"/>
    <x v="1"/>
    <n v="708.42"/>
    <n v="15"/>
    <s v="UPI"/>
    <n v="2408.63"/>
  </r>
  <r>
    <s v="ORD2861"/>
    <d v="2024-08-26T00:00:00"/>
    <s v="Melissa Foster"/>
    <s v="East"/>
    <s v="Furniture"/>
    <s v="Executive Impressions 13&quot; Chairman Wall Clock"/>
    <x v="5"/>
    <n v="1977.62"/>
    <n v="15"/>
    <s v="Net Banking"/>
    <n v="10085.86"/>
  </r>
  <r>
    <s v="ORD2862"/>
    <d v="2024-12-02T00:00:00"/>
    <s v="Calvin Smith"/>
    <s v="East"/>
    <s v="Technology"/>
    <s v="Fellowes Smart Design 104-Key Enhanced Keyboard, PS/2 Adapter, Platinum"/>
    <x v="5"/>
    <n v="99.21"/>
    <n v="20"/>
    <s v="Net Banking"/>
    <n v="476.21"/>
  </r>
  <r>
    <s v="ORD2863"/>
    <d v="2024-06-23T00:00:00"/>
    <s v="Alan Waller"/>
    <s v="North"/>
    <s v="Furniture"/>
    <s v="Deflect-o DuraMat Antistatic Studded Beveled Mat for Medium Pile Carpeting"/>
    <x v="6"/>
    <n v="542.66"/>
    <n v="20"/>
    <s v="Net Banking"/>
    <n v="868.26"/>
  </r>
  <r>
    <s v="ORD2864"/>
    <d v="2025-08-10T00:00:00"/>
    <s v="Christine Wong"/>
    <s v="East"/>
    <s v="Office Supplies"/>
    <s v="Hammermill Color Copier Paper (28Lb. and 96 Bright)"/>
    <x v="2"/>
    <n v="1064.1400000000001"/>
    <n v="0"/>
    <s v="Net Banking"/>
    <n v="8513.1200000000008"/>
  </r>
  <r>
    <s v="ORD2865"/>
    <d v="2024-03-16T00:00:00"/>
    <s v="Jessica Garrett"/>
    <s v="East"/>
    <s v="Furniture"/>
    <s v="Global High-Back Leather Tilter, Burgundy"/>
    <x v="0"/>
    <n v="1067.81"/>
    <n v="5"/>
    <s v="Cash"/>
    <n v="7100.94"/>
  </r>
  <r>
    <s v="ORD2866"/>
    <d v="2023-09-06T00:00:00"/>
    <s v="Cheryl Turner"/>
    <s v="South"/>
    <s v="Office Supplies"/>
    <s v="Tripp Lite Isotel 6 Outlet Surge Protector with Fax/Modem Protection"/>
    <x v="7"/>
    <n v="1198.42"/>
    <n v="20"/>
    <s v="Cash"/>
    <n v="958.74"/>
  </r>
  <r>
    <s v="ORD2867"/>
    <d v="2025-01-29T00:00:00"/>
    <s v="John Johnson"/>
    <s v="North"/>
    <s v="Office Supplies"/>
    <s v="Tenex Personal Project File with Scoop Front Design, Black"/>
    <x v="3"/>
    <n v="1515.77"/>
    <n v="20"/>
    <s v="Net Banking"/>
    <n v="6063.08"/>
  </r>
  <r>
    <s v="ORD2868"/>
    <d v="2024-05-25T00:00:00"/>
    <s v="Christian Park"/>
    <s v="North"/>
    <s v="Technology"/>
    <s v="Canon PC940 Copier"/>
    <x v="5"/>
    <n v="1265.78"/>
    <n v="10"/>
    <s v="Cash"/>
    <n v="6835.21"/>
  </r>
  <r>
    <s v="ORD2869"/>
    <d v="2024-01-27T00:00:00"/>
    <s v="Kaitlyn Heath"/>
    <s v="West"/>
    <s v="Office Supplies"/>
    <s v="Newell 312"/>
    <x v="1"/>
    <n v="1220.55"/>
    <n v="20"/>
    <s v="Cash"/>
    <n v="3905.76"/>
  </r>
  <r>
    <s v="ORD2870"/>
    <d v="2024-07-21T00:00:00"/>
    <s v="Christina Hudson"/>
    <s v="East"/>
    <s v="Office Supplies"/>
    <s v="Fellowes Officeware™ Wire Shelving"/>
    <x v="6"/>
    <n v="154.35"/>
    <n v="5"/>
    <s v="Net Banking"/>
    <n v="293.26"/>
  </r>
  <r>
    <s v="ORD2871"/>
    <d v="2024-07-22T00:00:00"/>
    <s v="Amber Smith"/>
    <s v="South"/>
    <s v="Office Supplies"/>
    <s v="Fellowes Personal Hanging Folder Files, Navy"/>
    <x v="1"/>
    <n v="784.23"/>
    <n v="15"/>
    <s v="UPI"/>
    <n v="2666.38"/>
  </r>
  <r>
    <s v="ORD2872"/>
    <d v="2024-02-11T00:00:00"/>
    <s v="Michelle Petty"/>
    <s v="West"/>
    <s v="Technology"/>
    <s v="Timeport L7089"/>
    <x v="7"/>
    <n v="502.51"/>
    <n v="15"/>
    <s v="Net Banking"/>
    <n v="427.13"/>
  </r>
  <r>
    <s v="ORD2873"/>
    <d v="2025-06-06T00:00:00"/>
    <s v="Nancy Larson"/>
    <s v="East"/>
    <s v="Technology"/>
    <s v="KF 788"/>
    <x v="0"/>
    <n v="567.47"/>
    <n v="15"/>
    <s v="Cash"/>
    <n v="3376.45"/>
  </r>
  <r>
    <s v="ORD2874"/>
    <d v="2024-05-19T00:00:00"/>
    <s v="Donna Freeman"/>
    <s v="North"/>
    <s v="Office Supplies"/>
    <s v="Hoover WindTunnel™ Plus Canister Vacuum"/>
    <x v="6"/>
    <n v="1130.96"/>
    <n v="15"/>
    <s v="UPI"/>
    <n v="1922.63"/>
  </r>
  <r>
    <s v="ORD2875"/>
    <d v="2023-10-28T00:00:00"/>
    <s v="Mr. Logan Gregory"/>
    <s v="East"/>
    <s v="Technology"/>
    <s v="Maxell Pro 80 Minute CD-R, 10/Pack"/>
    <x v="6"/>
    <n v="439.04"/>
    <n v="10"/>
    <s v="Cash"/>
    <n v="790.27"/>
  </r>
  <r>
    <s v="ORD2876"/>
    <d v="2025-01-25T00:00:00"/>
    <s v="Katherine Klein"/>
    <s v="East"/>
    <s v="Furniture"/>
    <s v="Executive Impressions 13&quot; Clairmont Wall Clock"/>
    <x v="8"/>
    <n v="623.20000000000005"/>
    <n v="20"/>
    <s v="Cash"/>
    <n v="4487.04"/>
  </r>
  <r>
    <s v="ORD2877"/>
    <d v="2024-05-23T00:00:00"/>
    <s v="Jennifer Stewart"/>
    <s v="South"/>
    <s v="Technology"/>
    <s v="BASF Silver 74 Minute CD-R"/>
    <x v="3"/>
    <n v="512.32000000000005"/>
    <n v="15"/>
    <s v="Credit Card"/>
    <n v="2177.36"/>
  </r>
  <r>
    <s v="ORD2878"/>
    <d v="2024-10-07T00:00:00"/>
    <s v="Steven Butler"/>
    <s v="South"/>
    <s v="Office Supplies"/>
    <s v="Xerox 19"/>
    <x v="6"/>
    <n v="1899.58"/>
    <n v="0"/>
    <s v="Credit Card"/>
    <n v="3799.16"/>
  </r>
  <r>
    <s v="ORD2879"/>
    <d v="2025-07-12T00:00:00"/>
    <s v="Johnny Mcmillan"/>
    <s v="South"/>
    <s v="Office Supplies"/>
    <s v="Surelock™ Post Binders"/>
    <x v="8"/>
    <n v="1892.1"/>
    <n v="15"/>
    <s v="Credit Card"/>
    <n v="14474.56"/>
  </r>
  <r>
    <s v="ORD2880"/>
    <d v="2024-12-24T00:00:00"/>
    <s v="Michael Smith"/>
    <s v="West"/>
    <s v="Office Supplies"/>
    <s v="File Shuttle II and Handi-File, Black"/>
    <x v="8"/>
    <n v="1239.3900000000001"/>
    <n v="20"/>
    <s v="Cash"/>
    <n v="8923.61"/>
  </r>
  <r>
    <s v="ORD2881"/>
    <d v="2024-05-16T00:00:00"/>
    <s v="Corey Cooper"/>
    <s v="South"/>
    <s v="Office Supplies"/>
    <s v="Holmes Replacement Filter for HEPA Air Cleaner, Medium Room"/>
    <x v="7"/>
    <n v="1852.82"/>
    <n v="15"/>
    <s v="Net Banking"/>
    <n v="1574.9"/>
  </r>
  <r>
    <s v="ORD2882"/>
    <d v="2023-09-28T00:00:00"/>
    <s v="Daniel Stout"/>
    <s v="West"/>
    <s v="Office Supplies"/>
    <s v="Rogers® Profile Extra Capacity Storage Tub"/>
    <x v="4"/>
    <n v="1582.33"/>
    <n v="10"/>
    <s v="Net Banking"/>
    <n v="4272.29"/>
  </r>
  <r>
    <s v="ORD2883"/>
    <d v="2024-06-16T00:00:00"/>
    <s v="Lance Kirby"/>
    <s v="East"/>
    <s v="Furniture"/>
    <s v="G.E. Longer-Life Indoor Recessed Floodlight Bulbs"/>
    <x v="1"/>
    <n v="1200.4000000000001"/>
    <n v="5"/>
    <s v="Cash"/>
    <n v="4561.5200000000004"/>
  </r>
  <r>
    <s v="ORD2884"/>
    <d v="2024-03-13T00:00:00"/>
    <s v="Bonnie Carter"/>
    <s v="West"/>
    <s v="Office Supplies"/>
    <s v="Tyvek® Side-Opening Peel &amp; Seel® Expanding Envelopes"/>
    <x v="0"/>
    <n v="62.55"/>
    <n v="5"/>
    <s v="Credit Card"/>
    <n v="415.96"/>
  </r>
  <r>
    <s v="ORD2885"/>
    <d v="2024-01-06T00:00:00"/>
    <s v="Toni Whitaker"/>
    <s v="West"/>
    <s v="Office Supplies"/>
    <s v="Wirebound Four 2-3/4 x 5 Forms per Page, 400 Sets per Book"/>
    <x v="1"/>
    <n v="1556.41"/>
    <n v="20"/>
    <s v="Cash"/>
    <n v="4980.51"/>
  </r>
  <r>
    <s v="ORD2886"/>
    <d v="2023-11-14T00:00:00"/>
    <s v="Morgan Flynn"/>
    <s v="South"/>
    <s v="Furniture"/>
    <s v="Global High-Back Leather Tilter, Burgundy"/>
    <x v="6"/>
    <n v="1419.85"/>
    <n v="5"/>
    <s v="Net Banking"/>
    <n v="2697.71"/>
  </r>
  <r>
    <s v="ORD2887"/>
    <d v="2025-05-31T00:00:00"/>
    <s v="Sarah Howell"/>
    <s v="South"/>
    <s v="Office Supplies"/>
    <s v="Avery Legal 4-Ring Binder"/>
    <x v="0"/>
    <n v="1249.74"/>
    <n v="5"/>
    <s v="Net Banking"/>
    <n v="8310.77"/>
  </r>
  <r>
    <s v="ORD2888"/>
    <d v="2025-05-13T00:00:00"/>
    <s v="Paul Estrada"/>
    <s v="North"/>
    <s v="Office Supplies"/>
    <s v="Newell 342"/>
    <x v="5"/>
    <n v="1532.83"/>
    <n v="0"/>
    <s v="Net Banking"/>
    <n v="9196.98"/>
  </r>
  <r>
    <s v="ORD2889"/>
    <d v="2024-07-30T00:00:00"/>
    <s v="Curtis Obrien"/>
    <s v="West"/>
    <s v="Office Supplies"/>
    <s v="Sanford 52201 APSCO Electric Pencil Sharpener"/>
    <x v="4"/>
    <n v="1050.2"/>
    <n v="20"/>
    <s v="Cash"/>
    <n v="2520.48"/>
  </r>
  <r>
    <s v="ORD2890"/>
    <d v="2023-10-22T00:00:00"/>
    <s v="Jason Chaney"/>
    <s v="East"/>
    <s v="Office Supplies"/>
    <s v="Xerox 217"/>
    <x v="5"/>
    <n v="1422.96"/>
    <n v="20"/>
    <s v="Net Banking"/>
    <n v="6830.21"/>
  </r>
  <r>
    <s v="ORD2891"/>
    <d v="2025-01-07T00:00:00"/>
    <s v="Daniel Williams"/>
    <s v="North"/>
    <s v="Office Supplies"/>
    <s v="#10- 4 1/8&quot; x 9 1/2&quot; Recycled Envelopes"/>
    <x v="5"/>
    <n v="1873.59"/>
    <n v="5"/>
    <s v="Net Banking"/>
    <n v="10679.46"/>
  </r>
  <r>
    <s v="ORD2892"/>
    <d v="2024-01-23T00:00:00"/>
    <s v="Stanley Kelly"/>
    <s v="North"/>
    <s v="Office Supplies"/>
    <s v="DIXON Ticonderoga® Erasable Checking Pencils"/>
    <x v="3"/>
    <n v="782.82"/>
    <n v="5"/>
    <s v="Net Banking"/>
    <n v="3718.4"/>
  </r>
  <r>
    <s v="ORD2893"/>
    <d v="2024-12-22T00:00:00"/>
    <s v="Ronald Kline"/>
    <s v="North"/>
    <s v="Furniture"/>
    <s v="Hon Comfortask® Task/Swivel Chairs"/>
    <x v="1"/>
    <n v="1430.84"/>
    <n v="5"/>
    <s v="Net Banking"/>
    <n v="5437.19"/>
  </r>
  <r>
    <s v="ORD2894"/>
    <d v="2024-12-20T00:00:00"/>
    <s v="Arthur Jordan"/>
    <s v="South"/>
    <s v="Office Supplies"/>
    <s v="Xerox 204"/>
    <x v="7"/>
    <n v="977.59"/>
    <n v="10"/>
    <s v="UPI"/>
    <n v="879.83"/>
  </r>
  <r>
    <s v="ORD2895"/>
    <d v="2024-11-17T00:00:00"/>
    <s v="Barbara Walker"/>
    <s v="South"/>
    <s v="Office Supplies"/>
    <s v="Perma STOR-ALL™ Hanging File Box, 13 1/8&quot;W x 12 1/4&quot;D x 10 1/2&quot;H"/>
    <x v="5"/>
    <n v="1365.08"/>
    <n v="15"/>
    <s v="Cash"/>
    <n v="6961.91"/>
  </r>
  <r>
    <s v="ORD2896"/>
    <d v="2023-08-28T00:00:00"/>
    <s v="Gerald Kelly"/>
    <s v="South"/>
    <s v="Office Supplies"/>
    <s v="EcoTones® Memo Sheets"/>
    <x v="6"/>
    <n v="1537.64"/>
    <n v="10"/>
    <s v="Cash"/>
    <n v="2767.75"/>
  </r>
  <r>
    <s v="ORD2897"/>
    <d v="2023-09-20T00:00:00"/>
    <s v="Shawn Adams"/>
    <s v="East"/>
    <s v="Office Supplies"/>
    <s v="Xerox 212"/>
    <x v="4"/>
    <n v="138.63"/>
    <n v="20"/>
    <s v="Net Banking"/>
    <n v="332.71"/>
  </r>
  <r>
    <s v="ORD2898"/>
    <d v="2025-04-14T00:00:00"/>
    <s v="Michael Robertson"/>
    <s v="West"/>
    <s v="Office Supplies"/>
    <s v="Avery 494"/>
    <x v="2"/>
    <n v="1310.87"/>
    <n v="0"/>
    <s v="Credit Card"/>
    <n v="10486.96"/>
  </r>
  <r>
    <s v="ORD2899"/>
    <d v="2024-04-27T00:00:00"/>
    <s v="Michelle House"/>
    <s v="North"/>
    <s v="Office Supplies"/>
    <s v="Hunt BOSTON® Vista® Battery-Operated Pencil Sharpener, Black"/>
    <x v="5"/>
    <n v="492.15"/>
    <n v="15"/>
    <s v="Net Banking"/>
    <n v="2509.96"/>
  </r>
  <r>
    <s v="ORD2900"/>
    <d v="2024-02-17T00:00:00"/>
    <s v="Jim Skinner"/>
    <s v="South"/>
    <s v="Technology"/>
    <s v="i1000plus"/>
    <x v="4"/>
    <n v="1356.56"/>
    <n v="0"/>
    <s v="Cash"/>
    <n v="4069.68"/>
  </r>
  <r>
    <s v="ORD2901"/>
    <d v="2023-11-17T00:00:00"/>
    <s v="Brian Bishop"/>
    <s v="West"/>
    <s v="Furniture"/>
    <s v="Electrix Halogen Magnifier Lamp"/>
    <x v="0"/>
    <n v="963.24"/>
    <n v="20"/>
    <s v="UPI"/>
    <n v="5394.14"/>
  </r>
  <r>
    <s v="ORD2902"/>
    <d v="2025-04-14T00:00:00"/>
    <s v="Theresa Colon"/>
    <s v="North"/>
    <s v="Furniture"/>
    <s v="Electrix Halogen Magnifier Lamp"/>
    <x v="1"/>
    <n v="1558.43"/>
    <n v="20"/>
    <s v="Net Banking"/>
    <n v="4986.9799999999996"/>
  </r>
  <r>
    <s v="ORD2903"/>
    <d v="2024-10-23T00:00:00"/>
    <s v="Brian Soto"/>
    <s v="West"/>
    <s v="Office Supplies"/>
    <s v="GBC VeloBinder Strips"/>
    <x v="8"/>
    <n v="290.63"/>
    <n v="0"/>
    <s v="UPI"/>
    <n v="2615.67"/>
  </r>
  <r>
    <s v="ORD2904"/>
    <d v="2024-01-18T00:00:00"/>
    <s v="Susan Moore"/>
    <s v="North"/>
    <s v="Furniture"/>
    <s v="G.E. Longer-Life Indoor Recessed Floodlight Bulbs"/>
    <x v="3"/>
    <n v="1271.33"/>
    <n v="0"/>
    <s v="Credit Card"/>
    <n v="6356.65"/>
  </r>
  <r>
    <s v="ORD2905"/>
    <d v="2023-10-04T00:00:00"/>
    <s v="Jeremy Hunter"/>
    <s v="West"/>
    <s v="Technology"/>
    <s v="T18"/>
    <x v="4"/>
    <n v="593.02"/>
    <n v="0"/>
    <s v="Credit Card"/>
    <n v="1779.06"/>
  </r>
  <r>
    <s v="ORD2906"/>
    <d v="2025-05-17T00:00:00"/>
    <s v="Annette Holland"/>
    <s v="South"/>
    <s v="Technology"/>
    <s v="Keytronic 105-Key Spanish Keyboard"/>
    <x v="6"/>
    <n v="1713.31"/>
    <n v="20"/>
    <s v="Net Banking"/>
    <n v="2741.3"/>
  </r>
  <r>
    <s v="ORD2907"/>
    <d v="2025-03-28T00:00:00"/>
    <s v="Chad Allison"/>
    <s v="West"/>
    <s v="Office Supplies"/>
    <s v="Belkin 6 Outlet Metallic Surge Strip"/>
    <x v="6"/>
    <n v="1860.35"/>
    <n v="5"/>
    <s v="UPI"/>
    <n v="3534.66"/>
  </r>
  <r>
    <s v="ORD2908"/>
    <d v="2024-10-15T00:00:00"/>
    <s v="Jason Mack"/>
    <s v="West"/>
    <s v="Office Supplies"/>
    <s v="Turquoise Lead Holder with Pocket Clip"/>
    <x v="4"/>
    <n v="1992.98"/>
    <n v="0"/>
    <s v="Credit Card"/>
    <n v="5978.94"/>
  </r>
  <r>
    <s v="ORD2909"/>
    <d v="2024-01-19T00:00:00"/>
    <s v="Robert Peterson"/>
    <s v="North"/>
    <s v="Office Supplies"/>
    <s v="Lock-Up Easel 'Spel-Binder'"/>
    <x v="6"/>
    <n v="1602.21"/>
    <n v="15"/>
    <s v="Net Banking"/>
    <n v="2723.76"/>
  </r>
  <r>
    <s v="ORD2910"/>
    <d v="2024-11-09T00:00:00"/>
    <s v="Angela Watson"/>
    <s v="West"/>
    <s v="Office Supplies"/>
    <s v="Universal Premium White Copier/Laser Paper (20Lb. and 87 Bright)"/>
    <x v="1"/>
    <n v="1519.78"/>
    <n v="20"/>
    <s v="Credit Card"/>
    <n v="4863.3"/>
  </r>
  <r>
    <s v="ORD2911"/>
    <d v="2024-01-26T00:00:00"/>
    <s v="Heather Ortega"/>
    <s v="East"/>
    <s v="Office Supplies"/>
    <s v="Avery 487"/>
    <x v="6"/>
    <n v="470.23"/>
    <n v="10"/>
    <s v="Cash"/>
    <n v="846.41"/>
  </r>
  <r>
    <s v="ORD2912"/>
    <d v="2025-05-04T00:00:00"/>
    <s v="Paul Fisher"/>
    <s v="North"/>
    <s v="Office Supplies"/>
    <s v="GBC VeloBinder Electric Binding Machine"/>
    <x v="8"/>
    <n v="705.21"/>
    <n v="10"/>
    <s v="UPI"/>
    <n v="5712.2"/>
  </r>
  <r>
    <s v="ORD2913"/>
    <d v="2025-06-17T00:00:00"/>
    <s v="Robert Gutierrez"/>
    <s v="West"/>
    <s v="Technology"/>
    <s v="Imation 3.5 IBM Formatted Diskettes, 10/Box"/>
    <x v="6"/>
    <n v="958.08"/>
    <n v="15"/>
    <s v="Net Banking"/>
    <n v="1628.74"/>
  </r>
  <r>
    <s v="ORD2914"/>
    <d v="2024-02-08T00:00:00"/>
    <s v="Jimmy Phelps"/>
    <s v="East"/>
    <s v="Technology"/>
    <s v="V3682"/>
    <x v="8"/>
    <n v="1558.09"/>
    <n v="5"/>
    <s v="Credit Card"/>
    <n v="13321.67"/>
  </r>
  <r>
    <s v="ORD2915"/>
    <d v="2024-04-23T00:00:00"/>
    <s v="Heidi Johnson"/>
    <s v="North"/>
    <s v="Office Supplies"/>
    <s v="Pressboard Data Binder, Crimson, 12&quot; X 8 1/2&quot;"/>
    <x v="5"/>
    <n v="1834.18"/>
    <n v="0"/>
    <s v="Credit Card"/>
    <n v="11005.08"/>
  </r>
  <r>
    <s v="ORD2916"/>
    <d v="2025-04-04T00:00:00"/>
    <s v="Adam Drake"/>
    <s v="South"/>
    <s v="Furniture"/>
    <s v="Office Star - Mid Back Dual function Ergonomic High Back Chair with 2-Way Adjustable Arms"/>
    <x v="7"/>
    <n v="418.82"/>
    <n v="20"/>
    <s v="Cash"/>
    <n v="335.06"/>
  </r>
  <r>
    <s v="ORD2917"/>
    <d v="2023-12-04T00:00:00"/>
    <s v="Angela Edwards"/>
    <s v="North"/>
    <s v="Technology"/>
    <s v="2190"/>
    <x v="1"/>
    <n v="1848.62"/>
    <n v="0"/>
    <s v="Net Banking"/>
    <n v="7394.48"/>
  </r>
  <r>
    <s v="ORD2918"/>
    <d v="2025-04-15T00:00:00"/>
    <s v="Mrs. Amy Malone"/>
    <s v="North"/>
    <s v="Office Supplies"/>
    <s v="Lock-Up Easel 'Spel-Binder'"/>
    <x v="7"/>
    <n v="1406.47"/>
    <n v="20"/>
    <s v="Credit Card"/>
    <n v="1125.18"/>
  </r>
  <r>
    <s v="ORD2919"/>
    <d v="2025-07-11T00:00:00"/>
    <s v="Margaret Orr"/>
    <s v="West"/>
    <s v="Office Supplies"/>
    <s v="Black Print Carbonless Snap-Off® Rapid Letter, 8 1/2&quot; x 7&quot;"/>
    <x v="5"/>
    <n v="1241"/>
    <n v="10"/>
    <s v="UPI"/>
    <n v="6701.4"/>
  </r>
  <r>
    <s v="ORD2920"/>
    <d v="2024-11-16T00:00:00"/>
    <s v="Mark Reeves"/>
    <s v="East"/>
    <s v="Furniture"/>
    <s v="Nu-Dell Executive Frame"/>
    <x v="1"/>
    <n v="439.69"/>
    <n v="0"/>
    <s v="Credit Card"/>
    <n v="1758.76"/>
  </r>
  <r>
    <s v="ORD2921"/>
    <d v="2023-08-14T00:00:00"/>
    <s v="Kelly Phillips"/>
    <s v="North"/>
    <s v="Furniture"/>
    <s v="Staples Plastic Wall Frames"/>
    <x v="4"/>
    <n v="158.27000000000001"/>
    <n v="15"/>
    <s v="UPI"/>
    <n v="403.59"/>
  </r>
  <r>
    <s v="ORD2922"/>
    <d v="2024-03-14T00:00:00"/>
    <s v="Michael Spencer"/>
    <s v="North"/>
    <s v="Office Supplies"/>
    <s v="Cardinal Holdit Business Card Pockets"/>
    <x v="4"/>
    <n v="1158.51"/>
    <n v="5"/>
    <s v="Credit Card"/>
    <n v="3301.75"/>
  </r>
  <r>
    <s v="ORD2923"/>
    <d v="2025-06-08T00:00:00"/>
    <s v="Patrick Blankenship"/>
    <s v="North"/>
    <s v="Technology"/>
    <s v="Lexmark Z25 Color Inkjet Printer"/>
    <x v="8"/>
    <n v="1320.46"/>
    <n v="15"/>
    <s v="Net Banking"/>
    <n v="10101.52"/>
  </r>
  <r>
    <s v="ORD2924"/>
    <d v="2023-12-02T00:00:00"/>
    <s v="Douglas Rose"/>
    <s v="West"/>
    <s v="Office Supplies"/>
    <s v="Xerox 231"/>
    <x v="5"/>
    <n v="461.02"/>
    <n v="5"/>
    <s v="Net Banking"/>
    <n v="2627.81"/>
  </r>
  <r>
    <s v="ORD2925"/>
    <d v="2023-11-20T00:00:00"/>
    <s v="Melody Griffin"/>
    <s v="North"/>
    <s v="Technology"/>
    <s v="Microsoft Multimedia Keyboard"/>
    <x v="8"/>
    <n v="1135.0899999999999"/>
    <n v="0"/>
    <s v="Net Banking"/>
    <n v="10215.81"/>
  </r>
  <r>
    <s v="ORD2926"/>
    <d v="2024-10-04T00:00:00"/>
    <s v="Joshua Kramer"/>
    <s v="East"/>
    <s v="Office Supplies"/>
    <s v="Avery 506"/>
    <x v="3"/>
    <n v="1720.16"/>
    <n v="0"/>
    <s v="UPI"/>
    <n v="8600.7999999999993"/>
  </r>
  <r>
    <s v="ORD2927"/>
    <d v="2024-02-22T00:00:00"/>
    <s v="Melissa Barron"/>
    <s v="West"/>
    <s v="Office Supplies"/>
    <s v="Wilson Jones Hanging View Binder, White, 1&quot;"/>
    <x v="6"/>
    <n v="1678.38"/>
    <n v="5"/>
    <s v="Net Banking"/>
    <n v="3188.92"/>
  </r>
  <r>
    <s v="ORD2928"/>
    <d v="2025-04-23T00:00:00"/>
    <s v="Jennifer Gonzalez"/>
    <s v="South"/>
    <s v="Furniture"/>
    <s v="Bevis Round Conference Table Top, X-Base"/>
    <x v="2"/>
    <n v="1858.34"/>
    <n v="10"/>
    <s v="UPI"/>
    <n v="13380.05"/>
  </r>
  <r>
    <s v="ORD2929"/>
    <d v="2023-12-25T00:00:00"/>
    <s v="Andrew Cook"/>
    <s v="South"/>
    <s v="Technology"/>
    <s v="Keytronic 105-Key Spanish Keyboard"/>
    <x v="3"/>
    <n v="763.48"/>
    <n v="20"/>
    <s v="UPI"/>
    <n v="3053.92"/>
  </r>
  <r>
    <s v="ORD2930"/>
    <d v="2023-11-05T00:00:00"/>
    <s v="Natalie Martinez"/>
    <s v="West"/>
    <s v="Office Supplies"/>
    <s v="Universal Premium White Copier/Laser Paper (20Lb. and 87 Bright)"/>
    <x v="6"/>
    <n v="670.2"/>
    <n v="15"/>
    <s v="UPI"/>
    <n v="1139.3399999999999"/>
  </r>
  <r>
    <s v="ORD2931"/>
    <d v="2025-01-06T00:00:00"/>
    <s v="Diane Davis DDS"/>
    <s v="East"/>
    <s v="Office Supplies"/>
    <s v="Barrel Sharpener"/>
    <x v="1"/>
    <n v="1511.38"/>
    <n v="15"/>
    <s v="Cash"/>
    <n v="5138.6899999999996"/>
  </r>
  <r>
    <s v="ORD2932"/>
    <d v="2025-06-14T00:00:00"/>
    <s v="Nicole Moore"/>
    <s v="West"/>
    <s v="Office Supplies"/>
    <s v="Xerox 1936"/>
    <x v="8"/>
    <n v="890.67"/>
    <n v="15"/>
    <s v="Credit Card"/>
    <n v="6813.63"/>
  </r>
  <r>
    <s v="ORD2933"/>
    <d v="2023-09-01T00:00:00"/>
    <s v="Robert Vargas"/>
    <s v="West"/>
    <s v="Office Supplies"/>
    <s v="Serrated Blade or Curved Handle Hand Letter Openers"/>
    <x v="1"/>
    <n v="220.72"/>
    <n v="0"/>
    <s v="UPI"/>
    <n v="882.88"/>
  </r>
  <r>
    <s v="ORD2934"/>
    <d v="2023-11-22T00:00:00"/>
    <s v="Raymond Barber"/>
    <s v="West"/>
    <s v="Office Supplies"/>
    <s v="GBC ProClick™ 150 Presentation Binding System"/>
    <x v="1"/>
    <n v="601.46"/>
    <n v="15"/>
    <s v="UPI"/>
    <n v="2044.96"/>
  </r>
  <r>
    <s v="ORD2935"/>
    <d v="2023-08-23T00:00:00"/>
    <s v="Mrs. Amy Watson"/>
    <s v="West"/>
    <s v="Furniture"/>
    <s v="SAFCO Arco Folding Chair"/>
    <x v="6"/>
    <n v="866.24"/>
    <n v="20"/>
    <s v="Credit Card"/>
    <n v="1385.98"/>
  </r>
  <r>
    <s v="ORD2936"/>
    <d v="2024-05-16T00:00:00"/>
    <s v="Heather Williams"/>
    <s v="North"/>
    <s v="Furniture"/>
    <s v="Howard Miller 16&quot; Diameter Gallery Wall Clock"/>
    <x v="5"/>
    <n v="620.41"/>
    <n v="20"/>
    <s v="Net Banking"/>
    <n v="2977.97"/>
  </r>
  <r>
    <s v="ORD2937"/>
    <d v="2025-04-16T00:00:00"/>
    <s v="Belinda Evans"/>
    <s v="South"/>
    <s v="Office Supplies"/>
    <s v="Staples SlimLine Pencil Sharpener"/>
    <x v="6"/>
    <n v="697.8"/>
    <n v="5"/>
    <s v="Cash"/>
    <n v="1325.82"/>
  </r>
  <r>
    <s v="ORD2938"/>
    <d v="2025-04-15T00:00:00"/>
    <s v="Jody Bird"/>
    <s v="East"/>
    <s v="Office Supplies"/>
    <s v="Lock-Up Easel 'Spel-Binder'"/>
    <x v="0"/>
    <n v="622.86"/>
    <n v="0"/>
    <s v="Credit Card"/>
    <n v="4360.0200000000004"/>
  </r>
  <r>
    <s v="ORD2939"/>
    <d v="2024-02-12T00:00:00"/>
    <s v="Virginia Cunningham"/>
    <s v="North"/>
    <s v="Office Supplies"/>
    <s v="Premium Writing Pencils, Soft, #2 by Central Association for the Blind"/>
    <x v="4"/>
    <n v="130.91999999999999"/>
    <n v="20"/>
    <s v="UPI"/>
    <n v="314.20999999999998"/>
  </r>
  <r>
    <s v="ORD2940"/>
    <d v="2024-11-11T00:00:00"/>
    <s v="Lori Ferguson"/>
    <s v="South"/>
    <s v="Technology"/>
    <s v="M70"/>
    <x v="4"/>
    <n v="1292.33"/>
    <n v="10"/>
    <s v="Credit Card"/>
    <n v="3489.29"/>
  </r>
  <r>
    <s v="ORD2941"/>
    <d v="2024-04-19T00:00:00"/>
    <s v="Hayley Mitchell"/>
    <s v="West"/>
    <s v="Office Supplies"/>
    <s v="Avery 494"/>
    <x v="3"/>
    <n v="1214.72"/>
    <n v="0"/>
    <s v="UPI"/>
    <n v="6073.6"/>
  </r>
  <r>
    <s v="ORD2942"/>
    <d v="2023-08-24T00:00:00"/>
    <s v="Michelle Chambers"/>
    <s v="South"/>
    <s v="Furniture"/>
    <s v="Executive Impressions 13&quot; Chairman Wall Clock"/>
    <x v="4"/>
    <n v="1324.1"/>
    <n v="0"/>
    <s v="Net Banking"/>
    <n v="3972.3"/>
  </r>
  <r>
    <s v="ORD2943"/>
    <d v="2023-12-25T00:00:00"/>
    <s v="Kelly Wright"/>
    <s v="South"/>
    <s v="Office Supplies"/>
    <s v="Safco Industrial Wire Shelving"/>
    <x v="6"/>
    <n v="425"/>
    <n v="20"/>
    <s v="Credit Card"/>
    <n v="680"/>
  </r>
  <r>
    <s v="ORD2944"/>
    <d v="2024-03-05T00:00:00"/>
    <s v="Kevin Carson"/>
    <s v="North"/>
    <s v="Technology"/>
    <s v="StarTAC 3000"/>
    <x v="8"/>
    <n v="626.53"/>
    <n v="10"/>
    <s v="Cash"/>
    <n v="5074.8900000000003"/>
  </r>
  <r>
    <s v="ORD2945"/>
    <d v="2023-09-21T00:00:00"/>
    <s v="Brent Dawson"/>
    <s v="North"/>
    <s v="Office Supplies"/>
    <s v="Ampad #10 Peel &amp; Seel® Holiday Envelopes"/>
    <x v="6"/>
    <n v="1258.25"/>
    <n v="5"/>
    <s v="Credit Card"/>
    <n v="2390.67"/>
  </r>
  <r>
    <s v="ORD2946"/>
    <d v="2023-11-18T00:00:00"/>
    <s v="Angela Brown"/>
    <s v="East"/>
    <s v="Office Supplies"/>
    <s v="Fellowes PB500 Electric Punch Plastic Comb Binding Machine with Manual Bind"/>
    <x v="6"/>
    <n v="1219.27"/>
    <n v="20"/>
    <s v="UPI"/>
    <n v="1950.83"/>
  </r>
  <r>
    <s v="ORD2947"/>
    <d v="2025-03-10T00:00:00"/>
    <s v="Karen Griffin"/>
    <s v="West"/>
    <s v="Office Supplies"/>
    <s v="Crate-A-Files™"/>
    <x v="2"/>
    <n v="1037.3399999999999"/>
    <n v="10"/>
    <s v="UPI"/>
    <n v="7468.85"/>
  </r>
  <r>
    <s v="ORD2948"/>
    <d v="2024-07-03T00:00:00"/>
    <s v="Joseph Chapman"/>
    <s v="West"/>
    <s v="Technology"/>
    <s v="Bell Sonecor JB700 Caller ID"/>
    <x v="8"/>
    <n v="733.31"/>
    <n v="0"/>
    <s v="Cash"/>
    <n v="6599.79"/>
  </r>
  <r>
    <s v="ORD2949"/>
    <d v="2024-09-23T00:00:00"/>
    <s v="Jennifer Baker"/>
    <s v="West"/>
    <s v="Office Supplies"/>
    <s v="Staples SlimLine Pencil Sharpener"/>
    <x v="0"/>
    <n v="1830.22"/>
    <n v="10"/>
    <s v="UPI"/>
    <n v="11530.39"/>
  </r>
  <r>
    <s v="ORD2950"/>
    <d v="2023-11-08T00:00:00"/>
    <s v="Mr. Jeremiah Galvan MD"/>
    <s v="South"/>
    <s v="Furniture"/>
    <s v="Eldon Expressions Punched Metal &amp; Wood Desk Accessories, Black &amp; Cherry"/>
    <x v="4"/>
    <n v="712.55"/>
    <n v="0"/>
    <s v="UPI"/>
    <n v="2137.65"/>
  </r>
  <r>
    <s v="ORD2951"/>
    <d v="2025-03-13T00:00:00"/>
    <s v="Samantha Thomas"/>
    <s v="South"/>
    <s v="Furniture"/>
    <s v="Tenex 46&quot; x 60&quot; Computer Anti-Static Chairmat, Rectangular Shaped"/>
    <x v="8"/>
    <n v="938.46"/>
    <n v="20"/>
    <s v="UPI"/>
    <n v="6756.91"/>
  </r>
  <r>
    <s v="ORD2952"/>
    <d v="2023-09-30T00:00:00"/>
    <s v="Michael Anderson"/>
    <s v="West"/>
    <s v="Technology"/>
    <s v="i1000plus"/>
    <x v="4"/>
    <n v="1372.32"/>
    <n v="20"/>
    <s v="Credit Card"/>
    <n v="3293.57"/>
  </r>
  <r>
    <s v="ORD2953"/>
    <d v="2024-08-15T00:00:00"/>
    <s v="Sharon Wilson"/>
    <s v="East"/>
    <s v="Furniture"/>
    <s v="Electrix Halogen Magnifier Lamp"/>
    <x v="3"/>
    <n v="1108.8900000000001"/>
    <n v="15"/>
    <s v="Credit Card"/>
    <n v="4712.78"/>
  </r>
  <r>
    <s v="ORD2954"/>
    <d v="2024-07-25T00:00:00"/>
    <s v="John Francis"/>
    <s v="South"/>
    <s v="Furniture"/>
    <s v="Electrix Halogen Magnifier Lamp"/>
    <x v="8"/>
    <n v="726.43"/>
    <n v="15"/>
    <s v="Cash"/>
    <n v="5557.19"/>
  </r>
  <r>
    <s v="ORD2955"/>
    <d v="2025-04-07T00:00:00"/>
    <s v="Jaclyn Crane"/>
    <s v="East"/>
    <s v="Office Supplies"/>
    <s v="GBC VeloBinder Strips"/>
    <x v="4"/>
    <n v="899.51"/>
    <n v="15"/>
    <s v="Cash"/>
    <n v="2293.75"/>
  </r>
  <r>
    <s v="ORD2956"/>
    <d v="2024-05-19T00:00:00"/>
    <s v="Jennifer Martinez"/>
    <s v="South"/>
    <s v="Furniture"/>
    <s v="G.E. Longer-Life Indoor Recessed Floodlight Bulbs"/>
    <x v="0"/>
    <n v="1599.24"/>
    <n v="20"/>
    <s v="Net Banking"/>
    <n v="8955.74"/>
  </r>
  <r>
    <s v="ORD2957"/>
    <d v="2024-09-13T00:00:00"/>
    <s v="Amanda Hernandez"/>
    <s v="North"/>
    <s v="Technology"/>
    <s v="T18"/>
    <x v="7"/>
    <n v="592.35"/>
    <n v="5"/>
    <s v="UPI"/>
    <n v="562.73"/>
  </r>
  <r>
    <s v="ORD2958"/>
    <d v="2024-11-15T00:00:00"/>
    <s v="William Turner"/>
    <s v="North"/>
    <s v="Technology"/>
    <s v="Keytronic 105-Key Spanish Keyboard"/>
    <x v="1"/>
    <n v="327.39999999999998"/>
    <n v="20"/>
    <s v="Cash"/>
    <n v="1047.68"/>
  </r>
  <r>
    <s v="ORD2959"/>
    <d v="2023-11-04T00:00:00"/>
    <s v="Dr. Charles Lawrence"/>
    <s v="West"/>
    <s v="Office Supplies"/>
    <s v="Belkin 6 Outlet Metallic Surge Strip"/>
    <x v="1"/>
    <n v="660.67"/>
    <n v="10"/>
    <s v="UPI"/>
    <n v="2378.41"/>
  </r>
  <r>
    <s v="ORD2960"/>
    <d v="2024-07-28T00:00:00"/>
    <s v="Steven Small"/>
    <s v="North"/>
    <s v="Office Supplies"/>
    <s v="Turquoise Lead Holder with Pocket Clip"/>
    <x v="0"/>
    <n v="1706.59"/>
    <n v="20"/>
    <s v="Cash"/>
    <n v="9556.9"/>
  </r>
  <r>
    <s v="ORD2961"/>
    <d v="2024-09-06T00:00:00"/>
    <s v="Robert Burns"/>
    <s v="South"/>
    <s v="Office Supplies"/>
    <s v="Lock-Up Easel 'Spel-Binder'"/>
    <x v="2"/>
    <n v="223.53"/>
    <n v="20"/>
    <s v="Net Banking"/>
    <n v="1430.59"/>
  </r>
  <r>
    <s v="ORD2962"/>
    <d v="2024-01-31T00:00:00"/>
    <s v="Gregory Harrell"/>
    <s v="South"/>
    <s v="Office Supplies"/>
    <s v="Universal Premium White Copier/Laser Paper (20Lb. and 87 Bright)"/>
    <x v="7"/>
    <n v="1983.81"/>
    <n v="0"/>
    <s v="Cash"/>
    <n v="1983.81"/>
  </r>
  <r>
    <s v="ORD2963"/>
    <d v="2024-12-01T00:00:00"/>
    <s v="Kenneth Knight"/>
    <s v="North"/>
    <s v="Office Supplies"/>
    <s v="Avery 487"/>
    <x v="3"/>
    <n v="1104.96"/>
    <n v="0"/>
    <s v="Credit Card"/>
    <n v="5524.8"/>
  </r>
  <r>
    <s v="ORD2964"/>
    <d v="2023-09-14T00:00:00"/>
    <s v="Rachael Alvarez"/>
    <s v="North"/>
    <s v="Office Supplies"/>
    <s v="GBC VeloBinder Electric Binding Machine"/>
    <x v="0"/>
    <n v="1970.45"/>
    <n v="0"/>
    <s v="UPI"/>
    <n v="13793.15"/>
  </r>
  <r>
    <s v="ORD2965"/>
    <d v="2025-02-26T00:00:00"/>
    <s v="Lisa Gill"/>
    <s v="North"/>
    <s v="Technology"/>
    <s v="Imation 3.5 IBM Formatted Diskettes, 10/Box"/>
    <x v="1"/>
    <n v="1881.04"/>
    <n v="20"/>
    <s v="Credit Card"/>
    <n v="6019.33"/>
  </r>
  <r>
    <s v="ORD2966"/>
    <d v="2025-04-11T00:00:00"/>
    <s v="Julia Cole"/>
    <s v="West"/>
    <s v="Technology"/>
    <s v="V3682"/>
    <x v="1"/>
    <n v="932.99"/>
    <n v="5"/>
    <s v="Cash"/>
    <n v="3545.36"/>
  </r>
  <r>
    <s v="ORD2967"/>
    <d v="2025-07-17T00:00:00"/>
    <s v="Sean Nguyen"/>
    <s v="North"/>
    <s v="Office Supplies"/>
    <s v="Pressboard Data Binder, Crimson, 12&quot; X 8 1/2&quot;"/>
    <x v="1"/>
    <n v="437.06"/>
    <n v="10"/>
    <s v="Cash"/>
    <n v="1573.42"/>
  </r>
  <r>
    <s v="ORD2968"/>
    <d v="2025-06-15T00:00:00"/>
    <s v="Mary Ortiz"/>
    <s v="South"/>
    <s v="Furniture"/>
    <s v="Office Star - Mid Back Dual function Ergonomic High Back Chair with 2-Way Adjustable Arms"/>
    <x v="5"/>
    <n v="371.53"/>
    <n v="10"/>
    <s v="Net Banking"/>
    <n v="2006.26"/>
  </r>
  <r>
    <s v="ORD2969"/>
    <d v="2025-01-04T00:00:00"/>
    <s v="James Weaver"/>
    <s v="North"/>
    <s v="Technology"/>
    <s v="2190"/>
    <x v="0"/>
    <n v="517.98"/>
    <n v="5"/>
    <s v="Net Banking"/>
    <n v="3444.57"/>
  </r>
  <r>
    <s v="ORD2970"/>
    <d v="2024-09-20T00:00:00"/>
    <s v="Stacy Fitzgerald"/>
    <s v="West"/>
    <s v="Office Supplies"/>
    <s v="Lock-Up Easel 'Spel-Binder'"/>
    <x v="6"/>
    <n v="1434.76"/>
    <n v="5"/>
    <s v="Net Banking"/>
    <n v="2726.04"/>
  </r>
  <r>
    <s v="ORD2971"/>
    <d v="2024-04-02T00:00:00"/>
    <s v="Sharon Mann"/>
    <s v="West"/>
    <s v="Office Supplies"/>
    <s v="Black Print Carbonless Snap-Off® Rapid Letter, 8 1/2&quot; x 7&quot;"/>
    <x v="3"/>
    <n v="582.25"/>
    <n v="10"/>
    <s v="Cash"/>
    <n v="2620.12"/>
  </r>
  <r>
    <s v="ORD2972"/>
    <d v="2024-08-01T00:00:00"/>
    <s v="Rebecca Zimmerman"/>
    <s v="South"/>
    <s v="Furniture"/>
    <s v="Nu-Dell Executive Frame"/>
    <x v="1"/>
    <n v="715.78"/>
    <n v="15"/>
    <s v="Net Banking"/>
    <n v="2433.65"/>
  </r>
  <r>
    <s v="ORD2973"/>
    <d v="2024-12-23T00:00:00"/>
    <s v="Becky Hansen"/>
    <s v="South"/>
    <s v="Furniture"/>
    <s v="Staples Plastic Wall Frames"/>
    <x v="4"/>
    <n v="925.12"/>
    <n v="0"/>
    <s v="Cash"/>
    <n v="2775.36"/>
  </r>
  <r>
    <s v="ORD2974"/>
    <d v="2023-09-05T00:00:00"/>
    <s v="Luke Ray"/>
    <s v="North"/>
    <s v="Office Supplies"/>
    <s v="Cardinal Holdit Business Card Pockets"/>
    <x v="0"/>
    <n v="1830.8"/>
    <n v="0"/>
    <s v="Cash"/>
    <n v="12815.6"/>
  </r>
  <r>
    <s v="ORD2975"/>
    <d v="2023-09-28T00:00:00"/>
    <s v="Kelly Lopez"/>
    <s v="South"/>
    <s v="Technology"/>
    <s v="Lexmark Z25 Color Inkjet Printer"/>
    <x v="5"/>
    <n v="419.32"/>
    <n v="10"/>
    <s v="UPI"/>
    <n v="2264.33"/>
  </r>
  <r>
    <s v="ORD2976"/>
    <d v="2024-08-18T00:00:00"/>
    <s v="Steven Martinez"/>
    <s v="East"/>
    <s v="Office Supplies"/>
    <s v="Xerox 231"/>
    <x v="0"/>
    <n v="59.8"/>
    <n v="5"/>
    <s v="Credit Card"/>
    <n v="397.67"/>
  </r>
  <r>
    <s v="ORD2977"/>
    <d v="2025-05-31T00:00:00"/>
    <s v="Catherine Smith"/>
    <s v="South"/>
    <s v="Technology"/>
    <s v="Microsoft Multimedia Keyboard"/>
    <x v="3"/>
    <n v="167.19"/>
    <n v="15"/>
    <s v="UPI"/>
    <n v="710.56"/>
  </r>
  <r>
    <s v="ORD2978"/>
    <d v="2024-06-18T00:00:00"/>
    <s v="Danielle Thornton"/>
    <s v="East"/>
    <s v="Office Supplies"/>
    <s v="Avery 506"/>
    <x v="5"/>
    <n v="1814.29"/>
    <n v="10"/>
    <s v="Credit Card"/>
    <n v="9797.17"/>
  </r>
  <r>
    <s v="ORD2979"/>
    <d v="2024-07-08T00:00:00"/>
    <s v="Jill Roman"/>
    <s v="East"/>
    <s v="Office Supplies"/>
    <s v="Wilson Jones Hanging View Binder, White, 1&quot;"/>
    <x v="3"/>
    <n v="1312.66"/>
    <n v="0"/>
    <s v="Credit Card"/>
    <n v="6563.3"/>
  </r>
  <r>
    <s v="ORD2980"/>
    <d v="2025-01-25T00:00:00"/>
    <s v="Jennifer Williams"/>
    <s v="South"/>
    <s v="Furniture"/>
    <s v="Bevis Round Conference Table Top, X-Base"/>
    <x v="0"/>
    <n v="582.42999999999995"/>
    <n v="20"/>
    <s v="Cash"/>
    <n v="3261.61"/>
  </r>
  <r>
    <s v="ORD2981"/>
    <d v="2023-11-03T00:00:00"/>
    <s v="Allison Kim"/>
    <s v="East"/>
    <s v="Technology"/>
    <s v="Keytronic 105-Key Spanish Keyboard"/>
    <x v="6"/>
    <n v="395.53"/>
    <n v="5"/>
    <s v="Net Banking"/>
    <n v="751.51"/>
  </r>
  <r>
    <s v="ORD2982"/>
    <d v="2024-08-26T00:00:00"/>
    <s v="Scott Stewart"/>
    <s v="South"/>
    <s v="Office Supplies"/>
    <s v="Universal Premium White Copier/Laser Paper (20Lb. and 87 Bright)"/>
    <x v="3"/>
    <n v="623.82000000000005"/>
    <n v="20"/>
    <s v="Net Banking"/>
    <n v="2495.2800000000002"/>
  </r>
  <r>
    <s v="ORD2983"/>
    <d v="2025-02-15T00:00:00"/>
    <s v="Brian Garcia"/>
    <s v="South"/>
    <s v="Office Supplies"/>
    <s v="Barrel Sharpener"/>
    <x v="5"/>
    <n v="273.85000000000002"/>
    <n v="10"/>
    <s v="Net Banking"/>
    <n v="1478.79"/>
  </r>
  <r>
    <s v="ORD2984"/>
    <d v="2025-07-18T00:00:00"/>
    <s v="Charles Scott"/>
    <s v="West"/>
    <s v="Office Supplies"/>
    <s v="Xerox 1936"/>
    <x v="5"/>
    <n v="1885.99"/>
    <n v="0"/>
    <s v="UPI"/>
    <n v="11315.94"/>
  </r>
  <r>
    <s v="ORD2985"/>
    <d v="2024-07-21T00:00:00"/>
    <s v="Eric Russell"/>
    <s v="East"/>
    <s v="Office Supplies"/>
    <s v="Serrated Blade or Curved Handle Hand Letter Openers"/>
    <x v="3"/>
    <n v="1579.2"/>
    <n v="15"/>
    <s v="Net Banking"/>
    <n v="6711.6"/>
  </r>
  <r>
    <s v="ORD2986"/>
    <d v="2023-10-08T00:00:00"/>
    <s v="Lucas Nguyen"/>
    <s v="East"/>
    <s v="Office Supplies"/>
    <s v="GBC ProClick™ 150 Presentation Binding System"/>
    <x v="0"/>
    <n v="951.66"/>
    <n v="20"/>
    <s v="Cash"/>
    <n v="5329.3"/>
  </r>
  <r>
    <s v="ORD2987"/>
    <d v="2025-07-10T00:00:00"/>
    <s v="Anthony Price"/>
    <s v="North"/>
    <s v="Furniture"/>
    <s v="SAFCO Arco Folding Chair"/>
    <x v="2"/>
    <n v="1736.68"/>
    <n v="15"/>
    <s v="Net Banking"/>
    <n v="11809.42"/>
  </r>
  <r>
    <s v="ORD2988"/>
    <d v="2023-10-13T00:00:00"/>
    <s v="Jason Nguyen"/>
    <s v="South"/>
    <s v="Furniture"/>
    <s v="Howard Miller 16&quot; Diameter Gallery Wall Clock"/>
    <x v="0"/>
    <n v="536.44000000000005"/>
    <n v="0"/>
    <s v="Net Banking"/>
    <n v="3755.08"/>
  </r>
  <r>
    <s v="ORD2989"/>
    <d v="2024-04-18T00:00:00"/>
    <s v="Ronald Martinez"/>
    <s v="West"/>
    <s v="Office Supplies"/>
    <s v="Staples SlimLine Pencil Sharpener"/>
    <x v="3"/>
    <n v="1448.39"/>
    <n v="20"/>
    <s v="Net Banking"/>
    <n v="5793.56"/>
  </r>
  <r>
    <s v="ORD2990"/>
    <d v="2024-11-26T00:00:00"/>
    <s v="Paul Willis"/>
    <s v="West"/>
    <s v="Office Supplies"/>
    <s v="Lock-Up Easel 'Spel-Binder'"/>
    <x v="7"/>
    <n v="1719.46"/>
    <n v="15"/>
    <s v="UPI"/>
    <n v="1461.54"/>
  </r>
  <r>
    <s v="ORD2991"/>
    <d v="2023-12-05T00:00:00"/>
    <s v="Paul Cruz Jr."/>
    <s v="North"/>
    <s v="Office Supplies"/>
    <s v="Premium Writing Pencils, Soft, #2 by Central Association for the Blind"/>
    <x v="3"/>
    <n v="745.7"/>
    <n v="15"/>
    <s v="Cash"/>
    <n v="3169.22"/>
  </r>
  <r>
    <s v="ORD2992"/>
    <d v="2023-10-02T00:00:00"/>
    <s v="John Russell"/>
    <s v="East"/>
    <s v="Technology"/>
    <s v="M70"/>
    <x v="6"/>
    <n v="1527.06"/>
    <n v="20"/>
    <s v="Net Banking"/>
    <n v="2443.3000000000002"/>
  </r>
  <r>
    <s v="ORD2993"/>
    <d v="2023-11-18T00:00:00"/>
    <s v="Mr. David Mercado"/>
    <s v="West"/>
    <s v="Office Supplies"/>
    <s v="Avery 494"/>
    <x v="3"/>
    <n v="625.39"/>
    <n v="0"/>
    <s v="Credit Card"/>
    <n v="3126.95"/>
  </r>
  <r>
    <s v="ORD2994"/>
    <d v="2024-03-12T00:00:00"/>
    <s v="Victor Leonard"/>
    <s v="East"/>
    <s v="Furniture"/>
    <s v="Executive Impressions 13&quot; Chairman Wall Clock"/>
    <x v="3"/>
    <n v="632.77"/>
    <n v="15"/>
    <s v="UPI"/>
    <n v="2689.27"/>
  </r>
  <r>
    <s v="ORD2995"/>
    <d v="2024-12-08T00:00:00"/>
    <s v="Justin Glover"/>
    <s v="West"/>
    <s v="Office Supplies"/>
    <s v="Safco Industrial Wire Shelving"/>
    <x v="6"/>
    <n v="258.76"/>
    <n v="10"/>
    <s v="Net Banking"/>
    <n v="465.77"/>
  </r>
  <r>
    <s v="ORD2996"/>
    <d v="2024-12-15T00:00:00"/>
    <s v="Jason Miller"/>
    <s v="West"/>
    <s v="Technology"/>
    <s v="StarTAC 3000"/>
    <x v="3"/>
    <n v="908.11"/>
    <n v="20"/>
    <s v="Net Banking"/>
    <n v="3632.44"/>
  </r>
  <r>
    <s v="ORD2997"/>
    <d v="2024-11-08T00:00:00"/>
    <s v="Christina Faulkner"/>
    <s v="South"/>
    <s v="Office Supplies"/>
    <s v="Ampad #10 Peel &amp; Seel® Holiday Envelopes"/>
    <x v="1"/>
    <n v="1472.94"/>
    <n v="5"/>
    <s v="UPI"/>
    <n v="5597.17"/>
  </r>
  <r>
    <s v="ORD2998"/>
    <d v="2024-10-10T00:00:00"/>
    <s v="William Casey"/>
    <s v="East"/>
    <s v="Office Supplies"/>
    <s v="Fellowes PB500 Electric Punch Plastic Comb Binding Machine with Manual Bind"/>
    <x v="7"/>
    <n v="1883.43"/>
    <n v="5"/>
    <s v="Credit Card"/>
    <n v="1789.26"/>
  </r>
  <r>
    <s v="ORD2999"/>
    <d v="2025-02-15T00:00:00"/>
    <s v="Jessica Buck"/>
    <s v="West"/>
    <s v="Office Supplies"/>
    <s v="Crate-A-Files™"/>
    <x v="4"/>
    <n v="1227.4000000000001"/>
    <n v="0"/>
    <s v="Credit Card"/>
    <n v="368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ECDC98-E110-4B9D-A850-55A87AFCB41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C4:D9" firstHeaderRow="1" firstDataRow="1" firstDataCol="1"/>
  <pivotFields count="14">
    <pivotField showAll="0"/>
    <pivotField numFmtId="14" showAll="0">
      <items count="699">
        <item x="192"/>
        <item x="305"/>
        <item x="173"/>
        <item x="490"/>
        <item x="36"/>
        <item x="359"/>
        <item x="348"/>
        <item x="165"/>
        <item x="561"/>
        <item x="595"/>
        <item x="294"/>
        <item x="692"/>
        <item x="583"/>
        <item x="195"/>
        <item x="237"/>
        <item x="673"/>
        <item x="427"/>
        <item x="2"/>
        <item x="23"/>
        <item x="435"/>
        <item x="531"/>
        <item x="17"/>
        <item x="16"/>
        <item x="617"/>
        <item x="391"/>
        <item x="635"/>
        <item x="437"/>
        <item x="335"/>
        <item x="546"/>
        <item x="397"/>
        <item x="56"/>
        <item x="381"/>
        <item x="76"/>
        <item x="149"/>
        <item x="320"/>
        <item x="290"/>
        <item x="544"/>
        <item x="605"/>
        <item x="271"/>
        <item x="114"/>
        <item x="201"/>
        <item x="243"/>
        <item x="613"/>
        <item x="276"/>
        <item x="523"/>
        <item x="157"/>
        <item x="603"/>
        <item x="118"/>
        <item x="244"/>
        <item x="208"/>
        <item x="75"/>
        <item x="98"/>
        <item x="347"/>
        <item x="604"/>
        <item x="288"/>
        <item x="556"/>
        <item x="516"/>
        <item x="63"/>
        <item x="326"/>
        <item x="337"/>
        <item x="474"/>
        <item x="204"/>
        <item x="13"/>
        <item x="636"/>
        <item x="147"/>
        <item x="379"/>
        <item x="18"/>
        <item x="264"/>
        <item x="49"/>
        <item x="275"/>
        <item x="351"/>
        <item x="83"/>
        <item x="9"/>
        <item x="365"/>
        <item x="563"/>
        <item x="181"/>
        <item x="369"/>
        <item x="281"/>
        <item x="151"/>
        <item x="1"/>
        <item x="167"/>
        <item x="368"/>
        <item x="637"/>
        <item x="644"/>
        <item x="589"/>
        <item x="233"/>
        <item x="497"/>
        <item x="681"/>
        <item x="60"/>
        <item x="212"/>
        <item x="396"/>
        <item x="213"/>
        <item x="691"/>
        <item x="344"/>
        <item x="252"/>
        <item x="499"/>
        <item x="367"/>
        <item x="539"/>
        <item x="650"/>
        <item x="144"/>
        <item x="7"/>
        <item x="680"/>
        <item x="131"/>
        <item x="664"/>
        <item x="649"/>
        <item x="670"/>
        <item x="482"/>
        <item x="390"/>
        <item x="519"/>
        <item x="152"/>
        <item x="645"/>
        <item x="44"/>
        <item x="616"/>
        <item x="172"/>
        <item x="415"/>
        <item x="39"/>
        <item x="188"/>
        <item x="88"/>
        <item x="304"/>
        <item x="217"/>
        <item x="299"/>
        <item x="551"/>
        <item x="473"/>
        <item x="100"/>
        <item x="464"/>
        <item x="493"/>
        <item x="408"/>
        <item x="178"/>
        <item x="410"/>
        <item x="628"/>
        <item x="541"/>
        <item x="284"/>
        <item x="590"/>
        <item x="328"/>
        <item x="638"/>
        <item x="658"/>
        <item x="263"/>
        <item x="283"/>
        <item x="73"/>
        <item x="428"/>
        <item x="488"/>
        <item x="448"/>
        <item x="25"/>
        <item x="421"/>
        <item x="224"/>
        <item x="342"/>
        <item x="690"/>
        <item x="524"/>
        <item x="615"/>
        <item x="91"/>
        <item x="119"/>
        <item x="221"/>
        <item x="125"/>
        <item x="251"/>
        <item x="45"/>
        <item x="591"/>
        <item x="19"/>
        <item x="108"/>
        <item x="30"/>
        <item x="420"/>
        <item x="6"/>
        <item x="235"/>
        <item x="611"/>
        <item x="426"/>
        <item x="78"/>
        <item x="240"/>
        <item x="520"/>
        <item x="20"/>
        <item x="619"/>
        <item x="330"/>
        <item x="298"/>
        <item x="249"/>
        <item x="200"/>
        <item x="580"/>
        <item x="202"/>
        <item x="259"/>
        <item x="355"/>
        <item x="5"/>
        <item x="132"/>
        <item x="234"/>
        <item x="282"/>
        <item x="285"/>
        <item x="163"/>
        <item x="602"/>
        <item x="444"/>
        <item x="672"/>
        <item x="549"/>
        <item x="576"/>
        <item x="509"/>
        <item x="341"/>
        <item x="385"/>
        <item x="136"/>
        <item x="54"/>
        <item x="343"/>
        <item x="93"/>
        <item x="573"/>
        <item x="103"/>
        <item x="588"/>
        <item x="371"/>
        <item x="646"/>
        <item x="4"/>
        <item x="380"/>
        <item x="43"/>
        <item x="33"/>
        <item x="577"/>
        <item x="372"/>
        <item x="594"/>
        <item x="475"/>
        <item x="308"/>
        <item x="468"/>
        <item x="618"/>
        <item x="80"/>
        <item x="596"/>
        <item x="65"/>
        <item x="584"/>
        <item x="458"/>
        <item x="315"/>
        <item x="184"/>
        <item x="362"/>
        <item x="345"/>
        <item x="357"/>
        <item x="607"/>
        <item x="467"/>
        <item x="423"/>
        <item x="199"/>
        <item x="398"/>
        <item x="454"/>
        <item x="481"/>
        <item x="226"/>
        <item x="319"/>
        <item x="124"/>
        <item x="116"/>
        <item x="501"/>
        <item x="660"/>
        <item x="518"/>
        <item x="631"/>
        <item x="470"/>
        <item x="110"/>
        <item x="575"/>
        <item x="457"/>
        <item x="429"/>
        <item x="666"/>
        <item x="247"/>
        <item x="434"/>
        <item x="411"/>
        <item x="382"/>
        <item x="478"/>
        <item x="47"/>
        <item x="236"/>
        <item x="279"/>
        <item x="42"/>
        <item x="560"/>
        <item x="374"/>
        <item x="52"/>
        <item x="438"/>
        <item x="558"/>
        <item x="630"/>
        <item x="353"/>
        <item x="430"/>
        <item x="529"/>
        <item x="401"/>
        <item x="90"/>
        <item x="400"/>
        <item x="50"/>
        <item x="71"/>
        <item x="143"/>
        <item x="449"/>
        <item x="87"/>
        <item x="678"/>
        <item x="688"/>
        <item x="393"/>
        <item x="89"/>
        <item x="682"/>
        <item x="186"/>
        <item x="553"/>
        <item x="657"/>
        <item x="62"/>
        <item x="48"/>
        <item x="159"/>
        <item x="417"/>
        <item x="158"/>
        <item x="443"/>
        <item x="685"/>
        <item x="526"/>
        <item x="306"/>
        <item x="536"/>
        <item x="128"/>
        <item x="554"/>
        <item x="227"/>
        <item x="142"/>
        <item x="117"/>
        <item x="277"/>
        <item x="331"/>
        <item x="533"/>
        <item x="300"/>
        <item x="262"/>
        <item x="456"/>
        <item x="665"/>
        <item x="268"/>
        <item x="409"/>
        <item x="485"/>
        <item x="522"/>
        <item x="609"/>
        <item x="29"/>
        <item x="459"/>
        <item x="15"/>
        <item x="41"/>
        <item x="267"/>
        <item x="492"/>
        <item x="502"/>
        <item x="139"/>
        <item x="395"/>
        <item x="266"/>
        <item x="625"/>
        <item x="564"/>
        <item x="171"/>
        <item x="440"/>
        <item x="229"/>
        <item x="515"/>
        <item x="601"/>
        <item x="386"/>
        <item x="289"/>
        <item x="687"/>
        <item x="504"/>
        <item x="31"/>
        <item x="508"/>
        <item x="232"/>
        <item x="694"/>
        <item x="84"/>
        <item x="307"/>
        <item x="498"/>
        <item x="346"/>
        <item x="58"/>
        <item x="422"/>
        <item x="540"/>
        <item x="102"/>
        <item x="495"/>
        <item x="471"/>
        <item x="269"/>
        <item x="161"/>
        <item x="599"/>
        <item x="419"/>
        <item x="648"/>
        <item x="258"/>
        <item x="507"/>
        <item x="215"/>
        <item x="321"/>
        <item x="600"/>
        <item x="697"/>
        <item x="301"/>
        <item x="647"/>
        <item x="570"/>
        <item x="513"/>
        <item x="206"/>
        <item x="314"/>
        <item x="194"/>
        <item x="562"/>
        <item x="582"/>
        <item x="684"/>
        <item x="146"/>
        <item x="633"/>
        <item x="675"/>
        <item x="671"/>
        <item x="127"/>
        <item x="176"/>
        <item x="679"/>
        <item x="322"/>
        <item x="695"/>
        <item x="21"/>
        <item x="453"/>
        <item x="179"/>
        <item x="145"/>
        <item x="442"/>
        <item x="693"/>
        <item x="248"/>
        <item x="476"/>
        <item x="578"/>
        <item x="231"/>
        <item x="446"/>
        <item x="512"/>
        <item x="567"/>
        <item x="340"/>
        <item x="593"/>
        <item x="662"/>
        <item x="218"/>
        <item x="162"/>
        <item x="190"/>
        <item x="325"/>
        <item x="210"/>
        <item x="101"/>
        <item x="59"/>
        <item x="169"/>
        <item x="135"/>
        <item x="292"/>
        <item x="668"/>
        <item x="318"/>
        <item x="620"/>
        <item x="12"/>
        <item x="530"/>
        <item x="466"/>
        <item x="639"/>
        <item x="216"/>
        <item x="64"/>
        <item x="164"/>
        <item x="239"/>
        <item x="312"/>
        <item x="107"/>
        <item x="608"/>
        <item x="403"/>
        <item x="24"/>
        <item x="134"/>
        <item x="350"/>
        <item x="538"/>
        <item x="339"/>
        <item x="121"/>
        <item x="612"/>
        <item x="333"/>
        <item x="256"/>
        <item x="659"/>
        <item x="598"/>
        <item x="626"/>
        <item x="257"/>
        <item x="72"/>
        <item x="316"/>
        <item x="436"/>
        <item x="586"/>
        <item x="394"/>
        <item x="141"/>
        <item x="138"/>
        <item x="655"/>
        <item x="238"/>
        <item x="32"/>
        <item x="14"/>
        <item x="537"/>
        <item x="572"/>
        <item x="334"/>
        <item x="160"/>
        <item x="156"/>
        <item x="623"/>
        <item x="193"/>
        <item x="557"/>
        <item x="22"/>
        <item x="53"/>
        <item x="373"/>
        <item x="441"/>
        <item x="220"/>
        <item x="641"/>
        <item x="99"/>
        <item x="483"/>
        <item x="358"/>
        <item x="696"/>
        <item x="465"/>
        <item x="669"/>
        <item x="68"/>
        <item x="336"/>
        <item x="349"/>
        <item x="535"/>
        <item x="451"/>
        <item x="183"/>
        <item x="514"/>
        <item x="153"/>
        <item x="67"/>
        <item x="487"/>
        <item x="242"/>
        <item x="477"/>
        <item x="376"/>
        <item x="85"/>
        <item x="384"/>
        <item x="511"/>
        <item x="0"/>
        <item x="105"/>
        <item x="431"/>
        <item x="130"/>
        <item x="689"/>
        <item x="274"/>
        <item x="559"/>
        <item x="97"/>
        <item x="27"/>
        <item x="568"/>
        <item x="291"/>
        <item x="273"/>
        <item x="469"/>
        <item x="126"/>
        <item x="338"/>
        <item x="265"/>
        <item x="214"/>
        <item x="77"/>
        <item x="313"/>
        <item x="364"/>
        <item x="460"/>
        <item x="455"/>
        <item x="360"/>
        <item x="250"/>
        <item x="92"/>
        <item x="228"/>
        <item x="480"/>
        <item x="272"/>
        <item x="329"/>
        <item x="10"/>
        <item x="461"/>
        <item x="432"/>
        <item x="155"/>
        <item x="168"/>
        <item x="96"/>
        <item x="109"/>
        <item x="674"/>
        <item x="375"/>
        <item x="106"/>
        <item x="223"/>
        <item x="388"/>
        <item x="585"/>
        <item x="632"/>
        <item x="521"/>
        <item x="489"/>
        <item x="309"/>
        <item x="40"/>
        <item x="548"/>
        <item x="28"/>
        <item x="94"/>
        <item x="356"/>
        <item x="74"/>
        <item x="387"/>
        <item x="241"/>
        <item x="445"/>
        <item x="643"/>
        <item x="581"/>
        <item x="225"/>
        <item x="517"/>
        <item x="555"/>
        <item x="26"/>
        <item x="123"/>
        <item x="175"/>
        <item x="166"/>
        <item x="174"/>
        <item x="253"/>
        <item x="534"/>
        <item x="653"/>
        <item x="686"/>
        <item x="278"/>
        <item x="57"/>
        <item x="310"/>
        <item x="205"/>
        <item x="566"/>
        <item x="414"/>
        <item x="317"/>
        <item x="8"/>
        <item x="592"/>
        <item x="614"/>
        <item x="3"/>
        <item x="370"/>
        <item x="506"/>
        <item x="133"/>
        <item x="587"/>
        <item x="137"/>
        <item x="462"/>
        <item x="405"/>
        <item x="170"/>
        <item x="543"/>
        <item x="296"/>
        <item x="222"/>
        <item x="148"/>
        <item x="579"/>
        <item x="37"/>
        <item x="209"/>
        <item x="177"/>
        <item x="187"/>
        <item x="46"/>
        <item x="211"/>
        <item x="550"/>
        <item x="112"/>
        <item x="527"/>
        <item x="383"/>
        <item x="79"/>
        <item x="569"/>
        <item x="113"/>
        <item x="189"/>
        <item x="402"/>
        <item x="545"/>
        <item x="412"/>
        <item x="311"/>
        <item x="260"/>
        <item x="439"/>
        <item x="416"/>
        <item x="676"/>
        <item x="651"/>
        <item x="610"/>
        <item x="154"/>
        <item x="472"/>
        <item x="425"/>
        <item x="399"/>
        <item x="532"/>
        <item x="642"/>
        <item x="280"/>
        <item x="500"/>
        <item x="413"/>
        <item x="494"/>
        <item x="38"/>
        <item x="55"/>
        <item x="261"/>
        <item x="34"/>
        <item x="407"/>
        <item x="606"/>
        <item x="634"/>
        <item x="629"/>
        <item x="207"/>
        <item x="361"/>
        <item x="479"/>
        <item x="552"/>
        <item x="424"/>
        <item x="115"/>
        <item x="683"/>
        <item x="622"/>
        <item x="571"/>
        <item x="621"/>
        <item x="565"/>
        <item x="66"/>
        <item x="198"/>
        <item x="525"/>
        <item x="86"/>
        <item x="392"/>
        <item x="293"/>
        <item x="654"/>
        <item x="547"/>
        <item x="510"/>
        <item x="185"/>
        <item x="111"/>
        <item x="433"/>
        <item x="661"/>
        <item x="378"/>
        <item x="51"/>
        <item x="297"/>
        <item x="484"/>
        <item x="327"/>
        <item x="324"/>
        <item x="652"/>
        <item x="81"/>
        <item x="528"/>
        <item x="418"/>
        <item x="246"/>
        <item x="150"/>
        <item x="70"/>
        <item x="270"/>
        <item x="302"/>
        <item x="656"/>
        <item x="82"/>
        <item x="597"/>
        <item x="35"/>
        <item x="182"/>
        <item x="219"/>
        <item x="286"/>
        <item x="122"/>
        <item x="203"/>
        <item x="197"/>
        <item x="542"/>
        <item x="354"/>
        <item x="255"/>
        <item x="404"/>
        <item x="69"/>
        <item x="486"/>
        <item x="667"/>
        <item x="624"/>
        <item x="332"/>
        <item x="11"/>
        <item x="491"/>
        <item x="505"/>
        <item x="140"/>
        <item x="230"/>
        <item x="452"/>
        <item x="303"/>
        <item x="463"/>
        <item x="389"/>
        <item x="245"/>
        <item x="503"/>
        <item x="377"/>
        <item x="677"/>
        <item x="663"/>
        <item x="180"/>
        <item x="120"/>
        <item x="129"/>
        <item x="627"/>
        <item x="496"/>
        <item x="191"/>
        <item x="323"/>
        <item x="450"/>
        <item x="61"/>
        <item x="287"/>
        <item x="104"/>
        <item x="295"/>
        <item x="640"/>
        <item x="196"/>
        <item x="406"/>
        <item x="363"/>
        <item x="352"/>
        <item x="574"/>
        <item x="254"/>
        <item x="95"/>
        <item x="366"/>
        <item x="447"/>
        <item t="default"/>
      </items>
    </pivotField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Price" fld="10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741BFB-5FB8-44DB-BBD2-1B7BEAF37FE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C32:D36" firstHeaderRow="1" firstDataRow="1" firstDataCol="1"/>
  <pivotFields count="14">
    <pivotField showAll="0"/>
    <pivotField numFmtId="14" showAll="0">
      <items count="699">
        <item x="192"/>
        <item x="305"/>
        <item x="173"/>
        <item x="490"/>
        <item x="36"/>
        <item x="359"/>
        <item x="348"/>
        <item x="165"/>
        <item x="561"/>
        <item x="595"/>
        <item x="294"/>
        <item x="692"/>
        <item x="583"/>
        <item x="195"/>
        <item x="237"/>
        <item x="673"/>
        <item x="427"/>
        <item x="2"/>
        <item x="23"/>
        <item x="435"/>
        <item x="531"/>
        <item x="17"/>
        <item x="16"/>
        <item x="617"/>
        <item x="391"/>
        <item x="635"/>
        <item x="437"/>
        <item x="335"/>
        <item x="546"/>
        <item x="397"/>
        <item x="56"/>
        <item x="381"/>
        <item x="76"/>
        <item x="149"/>
        <item x="320"/>
        <item x="290"/>
        <item x="544"/>
        <item x="605"/>
        <item x="271"/>
        <item x="114"/>
        <item x="201"/>
        <item x="243"/>
        <item x="613"/>
        <item x="276"/>
        <item x="523"/>
        <item x="157"/>
        <item x="603"/>
        <item x="118"/>
        <item x="244"/>
        <item x="208"/>
        <item x="75"/>
        <item x="98"/>
        <item x="347"/>
        <item x="604"/>
        <item x="288"/>
        <item x="556"/>
        <item x="516"/>
        <item x="63"/>
        <item x="326"/>
        <item x="337"/>
        <item x="474"/>
        <item x="204"/>
        <item x="13"/>
        <item x="636"/>
        <item x="147"/>
        <item x="379"/>
        <item x="18"/>
        <item x="264"/>
        <item x="49"/>
        <item x="275"/>
        <item x="351"/>
        <item x="83"/>
        <item x="9"/>
        <item x="365"/>
        <item x="563"/>
        <item x="181"/>
        <item x="369"/>
        <item x="281"/>
        <item x="151"/>
        <item x="1"/>
        <item x="167"/>
        <item x="368"/>
        <item x="637"/>
        <item x="644"/>
        <item x="589"/>
        <item x="233"/>
        <item x="497"/>
        <item x="681"/>
        <item x="60"/>
        <item x="212"/>
        <item x="396"/>
        <item x="213"/>
        <item x="691"/>
        <item x="344"/>
        <item x="252"/>
        <item x="499"/>
        <item x="367"/>
        <item x="539"/>
        <item x="650"/>
        <item x="144"/>
        <item x="7"/>
        <item x="680"/>
        <item x="131"/>
        <item x="664"/>
        <item x="649"/>
        <item x="670"/>
        <item x="482"/>
        <item x="390"/>
        <item x="519"/>
        <item x="152"/>
        <item x="645"/>
        <item x="44"/>
        <item x="616"/>
        <item x="172"/>
        <item x="415"/>
        <item x="39"/>
        <item x="188"/>
        <item x="88"/>
        <item x="304"/>
        <item x="217"/>
        <item x="299"/>
        <item x="551"/>
        <item x="473"/>
        <item x="100"/>
        <item x="464"/>
        <item x="493"/>
        <item x="408"/>
        <item x="178"/>
        <item x="410"/>
        <item x="628"/>
        <item x="541"/>
        <item x="284"/>
        <item x="590"/>
        <item x="328"/>
        <item x="638"/>
        <item x="658"/>
        <item x="263"/>
        <item x="283"/>
        <item x="73"/>
        <item x="428"/>
        <item x="488"/>
        <item x="448"/>
        <item x="25"/>
        <item x="421"/>
        <item x="224"/>
        <item x="342"/>
        <item x="690"/>
        <item x="524"/>
        <item x="615"/>
        <item x="91"/>
        <item x="119"/>
        <item x="221"/>
        <item x="125"/>
        <item x="251"/>
        <item x="45"/>
        <item x="591"/>
        <item x="19"/>
        <item x="108"/>
        <item x="30"/>
        <item x="420"/>
        <item x="6"/>
        <item x="235"/>
        <item x="611"/>
        <item x="426"/>
        <item x="78"/>
        <item x="240"/>
        <item x="520"/>
        <item x="20"/>
        <item x="619"/>
        <item x="330"/>
        <item x="298"/>
        <item x="249"/>
        <item x="200"/>
        <item x="580"/>
        <item x="202"/>
        <item x="259"/>
        <item x="355"/>
        <item x="5"/>
        <item x="132"/>
        <item x="234"/>
        <item x="282"/>
        <item x="285"/>
        <item x="163"/>
        <item x="602"/>
        <item x="444"/>
        <item x="672"/>
        <item x="549"/>
        <item x="576"/>
        <item x="509"/>
        <item x="341"/>
        <item x="385"/>
        <item x="136"/>
        <item x="54"/>
        <item x="343"/>
        <item x="93"/>
        <item x="573"/>
        <item x="103"/>
        <item x="588"/>
        <item x="371"/>
        <item x="646"/>
        <item x="4"/>
        <item x="380"/>
        <item x="43"/>
        <item x="33"/>
        <item x="577"/>
        <item x="372"/>
        <item x="594"/>
        <item x="475"/>
        <item x="308"/>
        <item x="468"/>
        <item x="618"/>
        <item x="80"/>
        <item x="596"/>
        <item x="65"/>
        <item x="584"/>
        <item x="458"/>
        <item x="315"/>
        <item x="184"/>
        <item x="362"/>
        <item x="345"/>
        <item x="357"/>
        <item x="607"/>
        <item x="467"/>
        <item x="423"/>
        <item x="199"/>
        <item x="398"/>
        <item x="454"/>
        <item x="481"/>
        <item x="226"/>
        <item x="319"/>
        <item x="124"/>
        <item x="116"/>
        <item x="501"/>
        <item x="660"/>
        <item x="518"/>
        <item x="631"/>
        <item x="470"/>
        <item x="110"/>
        <item x="575"/>
        <item x="457"/>
        <item x="429"/>
        <item x="666"/>
        <item x="247"/>
        <item x="434"/>
        <item x="411"/>
        <item x="382"/>
        <item x="478"/>
        <item x="47"/>
        <item x="236"/>
        <item x="279"/>
        <item x="42"/>
        <item x="560"/>
        <item x="374"/>
        <item x="52"/>
        <item x="438"/>
        <item x="558"/>
        <item x="630"/>
        <item x="353"/>
        <item x="430"/>
        <item x="529"/>
        <item x="401"/>
        <item x="90"/>
        <item x="400"/>
        <item x="50"/>
        <item x="71"/>
        <item x="143"/>
        <item x="449"/>
        <item x="87"/>
        <item x="678"/>
        <item x="688"/>
        <item x="393"/>
        <item x="89"/>
        <item x="682"/>
        <item x="186"/>
        <item x="553"/>
        <item x="657"/>
        <item x="62"/>
        <item x="48"/>
        <item x="159"/>
        <item x="417"/>
        <item x="158"/>
        <item x="443"/>
        <item x="685"/>
        <item x="526"/>
        <item x="306"/>
        <item x="536"/>
        <item x="128"/>
        <item x="554"/>
        <item x="227"/>
        <item x="142"/>
        <item x="117"/>
        <item x="277"/>
        <item x="331"/>
        <item x="533"/>
        <item x="300"/>
        <item x="262"/>
        <item x="456"/>
        <item x="665"/>
        <item x="268"/>
        <item x="409"/>
        <item x="485"/>
        <item x="522"/>
        <item x="609"/>
        <item x="29"/>
        <item x="459"/>
        <item x="15"/>
        <item x="41"/>
        <item x="267"/>
        <item x="492"/>
        <item x="502"/>
        <item x="139"/>
        <item x="395"/>
        <item x="266"/>
        <item x="625"/>
        <item x="564"/>
        <item x="171"/>
        <item x="440"/>
        <item x="229"/>
        <item x="515"/>
        <item x="601"/>
        <item x="386"/>
        <item x="289"/>
        <item x="687"/>
        <item x="504"/>
        <item x="31"/>
        <item x="508"/>
        <item x="232"/>
        <item x="694"/>
        <item x="84"/>
        <item x="307"/>
        <item x="498"/>
        <item x="346"/>
        <item x="58"/>
        <item x="422"/>
        <item x="540"/>
        <item x="102"/>
        <item x="495"/>
        <item x="471"/>
        <item x="269"/>
        <item x="161"/>
        <item x="599"/>
        <item x="419"/>
        <item x="648"/>
        <item x="258"/>
        <item x="507"/>
        <item x="215"/>
        <item x="321"/>
        <item x="600"/>
        <item x="697"/>
        <item x="301"/>
        <item x="647"/>
        <item x="570"/>
        <item x="513"/>
        <item x="206"/>
        <item x="314"/>
        <item x="194"/>
        <item x="562"/>
        <item x="582"/>
        <item x="684"/>
        <item x="146"/>
        <item x="633"/>
        <item x="675"/>
        <item x="671"/>
        <item x="127"/>
        <item x="176"/>
        <item x="679"/>
        <item x="322"/>
        <item x="695"/>
        <item x="21"/>
        <item x="453"/>
        <item x="179"/>
        <item x="145"/>
        <item x="442"/>
        <item x="693"/>
        <item x="248"/>
        <item x="476"/>
        <item x="578"/>
        <item x="231"/>
        <item x="446"/>
        <item x="512"/>
        <item x="567"/>
        <item x="340"/>
        <item x="593"/>
        <item x="662"/>
        <item x="218"/>
        <item x="162"/>
        <item x="190"/>
        <item x="325"/>
        <item x="210"/>
        <item x="101"/>
        <item x="59"/>
        <item x="169"/>
        <item x="135"/>
        <item x="292"/>
        <item x="668"/>
        <item x="318"/>
        <item x="620"/>
        <item x="12"/>
        <item x="530"/>
        <item x="466"/>
        <item x="639"/>
        <item x="216"/>
        <item x="64"/>
        <item x="164"/>
        <item x="239"/>
        <item x="312"/>
        <item x="107"/>
        <item x="608"/>
        <item x="403"/>
        <item x="24"/>
        <item x="134"/>
        <item x="350"/>
        <item x="538"/>
        <item x="339"/>
        <item x="121"/>
        <item x="612"/>
        <item x="333"/>
        <item x="256"/>
        <item x="659"/>
        <item x="598"/>
        <item x="626"/>
        <item x="257"/>
        <item x="72"/>
        <item x="316"/>
        <item x="436"/>
        <item x="586"/>
        <item x="394"/>
        <item x="141"/>
        <item x="138"/>
        <item x="655"/>
        <item x="238"/>
        <item x="32"/>
        <item x="14"/>
        <item x="537"/>
        <item x="572"/>
        <item x="334"/>
        <item x="160"/>
        <item x="156"/>
        <item x="623"/>
        <item x="193"/>
        <item x="557"/>
        <item x="22"/>
        <item x="53"/>
        <item x="373"/>
        <item x="441"/>
        <item x="220"/>
        <item x="641"/>
        <item x="99"/>
        <item x="483"/>
        <item x="358"/>
        <item x="696"/>
        <item x="465"/>
        <item x="669"/>
        <item x="68"/>
        <item x="336"/>
        <item x="349"/>
        <item x="535"/>
        <item x="451"/>
        <item x="183"/>
        <item x="514"/>
        <item x="153"/>
        <item x="67"/>
        <item x="487"/>
        <item x="242"/>
        <item x="477"/>
        <item x="376"/>
        <item x="85"/>
        <item x="384"/>
        <item x="511"/>
        <item x="0"/>
        <item x="105"/>
        <item x="431"/>
        <item x="130"/>
        <item x="689"/>
        <item x="274"/>
        <item x="559"/>
        <item x="97"/>
        <item x="27"/>
        <item x="568"/>
        <item x="291"/>
        <item x="273"/>
        <item x="469"/>
        <item x="126"/>
        <item x="338"/>
        <item x="265"/>
        <item x="214"/>
        <item x="77"/>
        <item x="313"/>
        <item x="364"/>
        <item x="460"/>
        <item x="455"/>
        <item x="360"/>
        <item x="250"/>
        <item x="92"/>
        <item x="228"/>
        <item x="480"/>
        <item x="272"/>
        <item x="329"/>
        <item x="10"/>
        <item x="461"/>
        <item x="432"/>
        <item x="155"/>
        <item x="168"/>
        <item x="96"/>
        <item x="109"/>
        <item x="674"/>
        <item x="375"/>
        <item x="106"/>
        <item x="223"/>
        <item x="388"/>
        <item x="585"/>
        <item x="632"/>
        <item x="521"/>
        <item x="489"/>
        <item x="309"/>
        <item x="40"/>
        <item x="548"/>
        <item x="28"/>
        <item x="94"/>
        <item x="356"/>
        <item x="74"/>
        <item x="387"/>
        <item x="241"/>
        <item x="445"/>
        <item x="643"/>
        <item x="581"/>
        <item x="225"/>
        <item x="517"/>
        <item x="555"/>
        <item x="26"/>
        <item x="123"/>
        <item x="175"/>
        <item x="166"/>
        <item x="174"/>
        <item x="253"/>
        <item x="534"/>
        <item x="653"/>
        <item x="686"/>
        <item x="278"/>
        <item x="57"/>
        <item x="310"/>
        <item x="205"/>
        <item x="566"/>
        <item x="414"/>
        <item x="317"/>
        <item x="8"/>
        <item x="592"/>
        <item x="614"/>
        <item x="3"/>
        <item x="370"/>
        <item x="506"/>
        <item x="133"/>
        <item x="587"/>
        <item x="137"/>
        <item x="462"/>
        <item x="405"/>
        <item x="170"/>
        <item x="543"/>
        <item x="296"/>
        <item x="222"/>
        <item x="148"/>
        <item x="579"/>
        <item x="37"/>
        <item x="209"/>
        <item x="177"/>
        <item x="187"/>
        <item x="46"/>
        <item x="211"/>
        <item x="550"/>
        <item x="112"/>
        <item x="527"/>
        <item x="383"/>
        <item x="79"/>
        <item x="569"/>
        <item x="113"/>
        <item x="189"/>
        <item x="402"/>
        <item x="545"/>
        <item x="412"/>
        <item x="311"/>
        <item x="260"/>
        <item x="439"/>
        <item x="416"/>
        <item x="676"/>
        <item x="651"/>
        <item x="610"/>
        <item x="154"/>
        <item x="472"/>
        <item x="425"/>
        <item x="399"/>
        <item x="532"/>
        <item x="642"/>
        <item x="280"/>
        <item x="500"/>
        <item x="413"/>
        <item x="494"/>
        <item x="38"/>
        <item x="55"/>
        <item x="261"/>
        <item x="34"/>
        <item x="407"/>
        <item x="606"/>
        <item x="634"/>
        <item x="629"/>
        <item x="207"/>
        <item x="361"/>
        <item x="479"/>
        <item x="552"/>
        <item x="424"/>
        <item x="115"/>
        <item x="683"/>
        <item x="622"/>
        <item x="571"/>
        <item x="621"/>
        <item x="565"/>
        <item x="66"/>
        <item x="198"/>
        <item x="525"/>
        <item x="86"/>
        <item x="392"/>
        <item x="293"/>
        <item x="654"/>
        <item x="547"/>
        <item x="510"/>
        <item x="185"/>
        <item x="111"/>
        <item x="433"/>
        <item x="661"/>
        <item x="378"/>
        <item x="51"/>
        <item x="297"/>
        <item x="484"/>
        <item x="327"/>
        <item x="324"/>
        <item x="652"/>
        <item x="81"/>
        <item x="528"/>
        <item x="418"/>
        <item x="246"/>
        <item x="150"/>
        <item x="70"/>
        <item x="270"/>
        <item x="302"/>
        <item x="656"/>
        <item x="82"/>
        <item x="597"/>
        <item x="35"/>
        <item x="182"/>
        <item x="219"/>
        <item x="286"/>
        <item x="122"/>
        <item x="203"/>
        <item x="197"/>
        <item x="542"/>
        <item x="354"/>
        <item x="255"/>
        <item x="404"/>
        <item x="69"/>
        <item x="486"/>
        <item x="667"/>
        <item x="624"/>
        <item x="332"/>
        <item x="11"/>
        <item x="491"/>
        <item x="505"/>
        <item x="140"/>
        <item x="230"/>
        <item x="452"/>
        <item x="303"/>
        <item x="463"/>
        <item x="389"/>
        <item x="245"/>
        <item x="503"/>
        <item x="377"/>
        <item x="677"/>
        <item x="663"/>
        <item x="180"/>
        <item x="120"/>
        <item x="129"/>
        <item x="627"/>
        <item x="496"/>
        <item x="191"/>
        <item x="323"/>
        <item x="450"/>
        <item x="61"/>
        <item x="287"/>
        <item x="104"/>
        <item x="295"/>
        <item x="640"/>
        <item x="196"/>
        <item x="406"/>
        <item x="363"/>
        <item x="352"/>
        <item x="574"/>
        <item x="254"/>
        <item x="95"/>
        <item x="366"/>
        <item x="447"/>
        <item t="default"/>
      </items>
    </pivotField>
    <pivotField showAll="0"/>
    <pivotField showAll="0">
      <items count="5">
        <item x="1"/>
        <item x="0"/>
        <item x="2"/>
        <item x="3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Price" fld="10" baseField="0" baseItem="0"/>
  </dataFields>
  <chartFormats count="8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DDA0CA-6BF8-4C1A-9F7C-8084AA2961D8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83:D93" firstHeaderRow="1" firstDataRow="1" firstDataCol="1"/>
  <pivotFields count="11">
    <pivotField showAll="0"/>
    <pivotField numFmtId="14" showAll="0"/>
    <pivotField showAll="0"/>
    <pivotField showAll="0"/>
    <pivotField showAll="0"/>
    <pivotField showAll="0"/>
    <pivotField axis="axisRow" showAll="0">
      <items count="10">
        <item x="7"/>
        <item x="6"/>
        <item x="4"/>
        <item x="1"/>
        <item x="3"/>
        <item x="5"/>
        <item x="0"/>
        <item x="2"/>
        <item x="8"/>
        <item t="default"/>
      </items>
    </pivotField>
    <pivotField dataField="1" showAll="0"/>
    <pivotField showAll="0"/>
    <pivotField showAll="0"/>
    <pivotField showAll="0"/>
  </pivotFields>
  <rowFields count="1">
    <field x="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UnitPrice" fld="7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72FC09-1BDF-4DCE-AE01-4554C38EA92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C39:D43" firstHeaderRow="1" firstDataRow="1" firstDataCol="1"/>
  <pivotFields count="14">
    <pivotField showAll="0"/>
    <pivotField numFmtId="14" showAll="0">
      <items count="699">
        <item x="192"/>
        <item x="305"/>
        <item x="173"/>
        <item x="490"/>
        <item x="36"/>
        <item x="359"/>
        <item x="348"/>
        <item x="165"/>
        <item x="561"/>
        <item x="595"/>
        <item x="294"/>
        <item x="692"/>
        <item x="583"/>
        <item x="195"/>
        <item x="237"/>
        <item x="673"/>
        <item x="427"/>
        <item x="2"/>
        <item x="23"/>
        <item x="435"/>
        <item x="531"/>
        <item x="17"/>
        <item x="16"/>
        <item x="617"/>
        <item x="391"/>
        <item x="635"/>
        <item x="437"/>
        <item x="335"/>
        <item x="546"/>
        <item x="397"/>
        <item x="56"/>
        <item x="381"/>
        <item x="76"/>
        <item x="149"/>
        <item x="320"/>
        <item x="290"/>
        <item x="544"/>
        <item x="605"/>
        <item x="271"/>
        <item x="114"/>
        <item x="201"/>
        <item x="243"/>
        <item x="613"/>
        <item x="276"/>
        <item x="523"/>
        <item x="157"/>
        <item x="603"/>
        <item x="118"/>
        <item x="244"/>
        <item x="208"/>
        <item x="75"/>
        <item x="98"/>
        <item x="347"/>
        <item x="604"/>
        <item x="288"/>
        <item x="556"/>
        <item x="516"/>
        <item x="63"/>
        <item x="326"/>
        <item x="337"/>
        <item x="474"/>
        <item x="204"/>
        <item x="13"/>
        <item x="636"/>
        <item x="147"/>
        <item x="379"/>
        <item x="18"/>
        <item x="264"/>
        <item x="49"/>
        <item x="275"/>
        <item x="351"/>
        <item x="83"/>
        <item x="9"/>
        <item x="365"/>
        <item x="563"/>
        <item x="181"/>
        <item x="369"/>
        <item x="281"/>
        <item x="151"/>
        <item x="1"/>
        <item x="167"/>
        <item x="368"/>
        <item x="637"/>
        <item x="644"/>
        <item x="589"/>
        <item x="233"/>
        <item x="497"/>
        <item x="681"/>
        <item x="60"/>
        <item x="212"/>
        <item x="396"/>
        <item x="213"/>
        <item x="691"/>
        <item x="344"/>
        <item x="252"/>
        <item x="499"/>
        <item x="367"/>
        <item x="539"/>
        <item x="650"/>
        <item x="144"/>
        <item x="7"/>
        <item x="680"/>
        <item x="131"/>
        <item x="664"/>
        <item x="649"/>
        <item x="670"/>
        <item x="482"/>
        <item x="390"/>
        <item x="519"/>
        <item x="152"/>
        <item x="645"/>
        <item x="44"/>
        <item x="616"/>
        <item x="172"/>
        <item x="415"/>
        <item x="39"/>
        <item x="188"/>
        <item x="88"/>
        <item x="304"/>
        <item x="217"/>
        <item x="299"/>
        <item x="551"/>
        <item x="473"/>
        <item x="100"/>
        <item x="464"/>
        <item x="493"/>
        <item x="408"/>
        <item x="178"/>
        <item x="410"/>
        <item x="628"/>
        <item x="541"/>
        <item x="284"/>
        <item x="590"/>
        <item x="328"/>
        <item x="638"/>
        <item x="658"/>
        <item x="263"/>
        <item x="283"/>
        <item x="73"/>
        <item x="428"/>
        <item x="488"/>
        <item x="448"/>
        <item x="25"/>
        <item x="421"/>
        <item x="224"/>
        <item x="342"/>
        <item x="690"/>
        <item x="524"/>
        <item x="615"/>
        <item x="91"/>
        <item x="119"/>
        <item x="221"/>
        <item x="125"/>
        <item x="251"/>
        <item x="45"/>
        <item x="591"/>
        <item x="19"/>
        <item x="108"/>
        <item x="30"/>
        <item x="420"/>
        <item x="6"/>
        <item x="235"/>
        <item x="611"/>
        <item x="426"/>
        <item x="78"/>
        <item x="240"/>
        <item x="520"/>
        <item x="20"/>
        <item x="619"/>
        <item x="330"/>
        <item x="298"/>
        <item x="249"/>
        <item x="200"/>
        <item x="580"/>
        <item x="202"/>
        <item x="259"/>
        <item x="355"/>
        <item x="5"/>
        <item x="132"/>
        <item x="234"/>
        <item x="282"/>
        <item x="285"/>
        <item x="163"/>
        <item x="602"/>
        <item x="444"/>
        <item x="672"/>
        <item x="549"/>
        <item x="576"/>
        <item x="509"/>
        <item x="341"/>
        <item x="385"/>
        <item x="136"/>
        <item x="54"/>
        <item x="343"/>
        <item x="93"/>
        <item x="573"/>
        <item x="103"/>
        <item x="588"/>
        <item x="371"/>
        <item x="646"/>
        <item x="4"/>
        <item x="380"/>
        <item x="43"/>
        <item x="33"/>
        <item x="577"/>
        <item x="372"/>
        <item x="594"/>
        <item x="475"/>
        <item x="308"/>
        <item x="468"/>
        <item x="618"/>
        <item x="80"/>
        <item x="596"/>
        <item x="65"/>
        <item x="584"/>
        <item x="458"/>
        <item x="315"/>
        <item x="184"/>
        <item x="362"/>
        <item x="345"/>
        <item x="357"/>
        <item x="607"/>
        <item x="467"/>
        <item x="423"/>
        <item x="199"/>
        <item x="398"/>
        <item x="454"/>
        <item x="481"/>
        <item x="226"/>
        <item x="319"/>
        <item x="124"/>
        <item x="116"/>
        <item x="501"/>
        <item x="660"/>
        <item x="518"/>
        <item x="631"/>
        <item x="470"/>
        <item x="110"/>
        <item x="575"/>
        <item x="457"/>
        <item x="429"/>
        <item x="666"/>
        <item x="247"/>
        <item x="434"/>
        <item x="411"/>
        <item x="382"/>
        <item x="478"/>
        <item x="47"/>
        <item x="236"/>
        <item x="279"/>
        <item x="42"/>
        <item x="560"/>
        <item x="374"/>
        <item x="52"/>
        <item x="438"/>
        <item x="558"/>
        <item x="630"/>
        <item x="353"/>
        <item x="430"/>
        <item x="529"/>
        <item x="401"/>
        <item x="90"/>
        <item x="400"/>
        <item x="50"/>
        <item x="71"/>
        <item x="143"/>
        <item x="449"/>
        <item x="87"/>
        <item x="678"/>
        <item x="688"/>
        <item x="393"/>
        <item x="89"/>
        <item x="682"/>
        <item x="186"/>
        <item x="553"/>
        <item x="657"/>
        <item x="62"/>
        <item x="48"/>
        <item x="159"/>
        <item x="417"/>
        <item x="158"/>
        <item x="443"/>
        <item x="685"/>
        <item x="526"/>
        <item x="306"/>
        <item x="536"/>
        <item x="128"/>
        <item x="554"/>
        <item x="227"/>
        <item x="142"/>
        <item x="117"/>
        <item x="277"/>
        <item x="331"/>
        <item x="533"/>
        <item x="300"/>
        <item x="262"/>
        <item x="456"/>
        <item x="665"/>
        <item x="268"/>
        <item x="409"/>
        <item x="485"/>
        <item x="522"/>
        <item x="609"/>
        <item x="29"/>
        <item x="459"/>
        <item x="15"/>
        <item x="41"/>
        <item x="267"/>
        <item x="492"/>
        <item x="502"/>
        <item x="139"/>
        <item x="395"/>
        <item x="266"/>
        <item x="625"/>
        <item x="564"/>
        <item x="171"/>
        <item x="440"/>
        <item x="229"/>
        <item x="515"/>
        <item x="601"/>
        <item x="386"/>
        <item x="289"/>
        <item x="687"/>
        <item x="504"/>
        <item x="31"/>
        <item x="508"/>
        <item x="232"/>
        <item x="694"/>
        <item x="84"/>
        <item x="307"/>
        <item x="498"/>
        <item x="346"/>
        <item x="58"/>
        <item x="422"/>
        <item x="540"/>
        <item x="102"/>
        <item x="495"/>
        <item x="471"/>
        <item x="269"/>
        <item x="161"/>
        <item x="599"/>
        <item x="419"/>
        <item x="648"/>
        <item x="258"/>
        <item x="507"/>
        <item x="215"/>
        <item x="321"/>
        <item x="600"/>
        <item x="697"/>
        <item x="301"/>
        <item x="647"/>
        <item x="570"/>
        <item x="513"/>
        <item x="206"/>
        <item x="314"/>
        <item x="194"/>
        <item x="562"/>
        <item x="582"/>
        <item x="684"/>
        <item x="146"/>
        <item x="633"/>
        <item x="675"/>
        <item x="671"/>
        <item x="127"/>
        <item x="176"/>
        <item x="679"/>
        <item x="322"/>
        <item x="695"/>
        <item x="21"/>
        <item x="453"/>
        <item x="179"/>
        <item x="145"/>
        <item x="442"/>
        <item x="693"/>
        <item x="248"/>
        <item x="476"/>
        <item x="578"/>
        <item x="231"/>
        <item x="446"/>
        <item x="512"/>
        <item x="567"/>
        <item x="340"/>
        <item x="593"/>
        <item x="662"/>
        <item x="218"/>
        <item x="162"/>
        <item x="190"/>
        <item x="325"/>
        <item x="210"/>
        <item x="101"/>
        <item x="59"/>
        <item x="169"/>
        <item x="135"/>
        <item x="292"/>
        <item x="668"/>
        <item x="318"/>
        <item x="620"/>
        <item x="12"/>
        <item x="530"/>
        <item x="466"/>
        <item x="639"/>
        <item x="216"/>
        <item x="64"/>
        <item x="164"/>
        <item x="239"/>
        <item x="312"/>
        <item x="107"/>
        <item x="608"/>
        <item x="403"/>
        <item x="24"/>
        <item x="134"/>
        <item x="350"/>
        <item x="538"/>
        <item x="339"/>
        <item x="121"/>
        <item x="612"/>
        <item x="333"/>
        <item x="256"/>
        <item x="659"/>
        <item x="598"/>
        <item x="626"/>
        <item x="257"/>
        <item x="72"/>
        <item x="316"/>
        <item x="436"/>
        <item x="586"/>
        <item x="394"/>
        <item x="141"/>
        <item x="138"/>
        <item x="655"/>
        <item x="238"/>
        <item x="32"/>
        <item x="14"/>
        <item x="537"/>
        <item x="572"/>
        <item x="334"/>
        <item x="160"/>
        <item x="156"/>
        <item x="623"/>
        <item x="193"/>
        <item x="557"/>
        <item x="22"/>
        <item x="53"/>
        <item x="373"/>
        <item x="441"/>
        <item x="220"/>
        <item x="641"/>
        <item x="99"/>
        <item x="483"/>
        <item x="358"/>
        <item x="696"/>
        <item x="465"/>
        <item x="669"/>
        <item x="68"/>
        <item x="336"/>
        <item x="349"/>
        <item x="535"/>
        <item x="451"/>
        <item x="183"/>
        <item x="514"/>
        <item x="153"/>
        <item x="67"/>
        <item x="487"/>
        <item x="242"/>
        <item x="477"/>
        <item x="376"/>
        <item x="85"/>
        <item x="384"/>
        <item x="511"/>
        <item x="0"/>
        <item x="105"/>
        <item x="431"/>
        <item x="130"/>
        <item x="689"/>
        <item x="274"/>
        <item x="559"/>
        <item x="97"/>
        <item x="27"/>
        <item x="568"/>
        <item x="291"/>
        <item x="273"/>
        <item x="469"/>
        <item x="126"/>
        <item x="338"/>
        <item x="265"/>
        <item x="214"/>
        <item x="77"/>
        <item x="313"/>
        <item x="364"/>
        <item x="460"/>
        <item x="455"/>
        <item x="360"/>
        <item x="250"/>
        <item x="92"/>
        <item x="228"/>
        <item x="480"/>
        <item x="272"/>
        <item x="329"/>
        <item x="10"/>
        <item x="461"/>
        <item x="432"/>
        <item x="155"/>
        <item x="168"/>
        <item x="96"/>
        <item x="109"/>
        <item x="674"/>
        <item x="375"/>
        <item x="106"/>
        <item x="223"/>
        <item x="388"/>
        <item x="585"/>
        <item x="632"/>
        <item x="521"/>
        <item x="489"/>
        <item x="309"/>
        <item x="40"/>
        <item x="548"/>
        <item x="28"/>
        <item x="94"/>
        <item x="356"/>
        <item x="74"/>
        <item x="387"/>
        <item x="241"/>
        <item x="445"/>
        <item x="643"/>
        <item x="581"/>
        <item x="225"/>
        <item x="517"/>
        <item x="555"/>
        <item x="26"/>
        <item x="123"/>
        <item x="175"/>
        <item x="166"/>
        <item x="174"/>
        <item x="253"/>
        <item x="534"/>
        <item x="653"/>
        <item x="686"/>
        <item x="278"/>
        <item x="57"/>
        <item x="310"/>
        <item x="205"/>
        <item x="566"/>
        <item x="414"/>
        <item x="317"/>
        <item x="8"/>
        <item x="592"/>
        <item x="614"/>
        <item x="3"/>
        <item x="370"/>
        <item x="506"/>
        <item x="133"/>
        <item x="587"/>
        <item x="137"/>
        <item x="462"/>
        <item x="405"/>
        <item x="170"/>
        <item x="543"/>
        <item x="296"/>
        <item x="222"/>
        <item x="148"/>
        <item x="579"/>
        <item x="37"/>
        <item x="209"/>
        <item x="177"/>
        <item x="187"/>
        <item x="46"/>
        <item x="211"/>
        <item x="550"/>
        <item x="112"/>
        <item x="527"/>
        <item x="383"/>
        <item x="79"/>
        <item x="569"/>
        <item x="113"/>
        <item x="189"/>
        <item x="402"/>
        <item x="545"/>
        <item x="412"/>
        <item x="311"/>
        <item x="260"/>
        <item x="439"/>
        <item x="416"/>
        <item x="676"/>
        <item x="651"/>
        <item x="610"/>
        <item x="154"/>
        <item x="472"/>
        <item x="425"/>
        <item x="399"/>
        <item x="532"/>
        <item x="642"/>
        <item x="280"/>
        <item x="500"/>
        <item x="413"/>
        <item x="494"/>
        <item x="38"/>
        <item x="55"/>
        <item x="261"/>
        <item x="34"/>
        <item x="407"/>
        <item x="606"/>
        <item x="634"/>
        <item x="629"/>
        <item x="207"/>
        <item x="361"/>
        <item x="479"/>
        <item x="552"/>
        <item x="424"/>
        <item x="115"/>
        <item x="683"/>
        <item x="622"/>
        <item x="571"/>
        <item x="621"/>
        <item x="565"/>
        <item x="66"/>
        <item x="198"/>
        <item x="525"/>
        <item x="86"/>
        <item x="392"/>
        <item x="293"/>
        <item x="654"/>
        <item x="547"/>
        <item x="510"/>
        <item x="185"/>
        <item x="111"/>
        <item x="433"/>
        <item x="661"/>
        <item x="378"/>
        <item x="51"/>
        <item x="297"/>
        <item x="484"/>
        <item x="327"/>
        <item x="324"/>
        <item x="652"/>
        <item x="81"/>
        <item x="528"/>
        <item x="418"/>
        <item x="246"/>
        <item x="150"/>
        <item x="70"/>
        <item x="270"/>
        <item x="302"/>
        <item x="656"/>
        <item x="82"/>
        <item x="597"/>
        <item x="35"/>
        <item x="182"/>
        <item x="219"/>
        <item x="286"/>
        <item x="122"/>
        <item x="203"/>
        <item x="197"/>
        <item x="542"/>
        <item x="354"/>
        <item x="255"/>
        <item x="404"/>
        <item x="69"/>
        <item x="486"/>
        <item x="667"/>
        <item x="624"/>
        <item x="332"/>
        <item x="11"/>
        <item x="491"/>
        <item x="505"/>
        <item x="140"/>
        <item x="230"/>
        <item x="452"/>
        <item x="303"/>
        <item x="463"/>
        <item x="389"/>
        <item x="245"/>
        <item x="503"/>
        <item x="377"/>
        <item x="677"/>
        <item x="663"/>
        <item x="180"/>
        <item x="120"/>
        <item x="129"/>
        <item x="627"/>
        <item x="496"/>
        <item x="191"/>
        <item x="323"/>
        <item x="450"/>
        <item x="61"/>
        <item x="287"/>
        <item x="104"/>
        <item x="295"/>
        <item x="640"/>
        <item x="196"/>
        <item x="406"/>
        <item x="363"/>
        <item x="352"/>
        <item x="574"/>
        <item x="254"/>
        <item x="95"/>
        <item x="366"/>
        <item x="447"/>
        <item t="default"/>
      </items>
    </pivotField>
    <pivotField showAll="0"/>
    <pivotField showAll="0">
      <items count="5">
        <item x="1"/>
        <item x="0"/>
        <item x="2"/>
        <item x="3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UnitPrice" fld="7" subtotal="average" baseField="4" baseItem="0"/>
  </dataFields>
  <chartFormats count="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6347E7-CFB6-4A1A-B1A3-00A4F2F78315}" name="PivotTable2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18">
  <location ref="C14:D27" firstHeaderRow="1" firstDataRow="1" firstDataCol="1"/>
  <pivotFields count="14">
    <pivotField showAll="0"/>
    <pivotField axis="axisRow" numFmtId="14" showAll="0">
      <items count="699">
        <item x="192"/>
        <item x="305"/>
        <item x="173"/>
        <item x="490"/>
        <item x="36"/>
        <item x="359"/>
        <item x="348"/>
        <item x="165"/>
        <item x="561"/>
        <item x="595"/>
        <item x="294"/>
        <item x="692"/>
        <item x="583"/>
        <item x="195"/>
        <item x="237"/>
        <item x="673"/>
        <item x="427"/>
        <item x="2"/>
        <item x="23"/>
        <item x="435"/>
        <item x="531"/>
        <item x="17"/>
        <item x="16"/>
        <item x="617"/>
        <item x="391"/>
        <item x="635"/>
        <item x="437"/>
        <item x="335"/>
        <item x="546"/>
        <item x="397"/>
        <item x="56"/>
        <item x="381"/>
        <item x="76"/>
        <item x="149"/>
        <item x="320"/>
        <item x="290"/>
        <item x="544"/>
        <item x="605"/>
        <item x="271"/>
        <item x="114"/>
        <item x="201"/>
        <item x="243"/>
        <item x="613"/>
        <item x="276"/>
        <item x="523"/>
        <item x="157"/>
        <item x="603"/>
        <item x="118"/>
        <item x="244"/>
        <item x="208"/>
        <item x="75"/>
        <item x="98"/>
        <item x="347"/>
        <item x="604"/>
        <item x="288"/>
        <item x="556"/>
        <item x="516"/>
        <item x="63"/>
        <item x="326"/>
        <item x="337"/>
        <item x="474"/>
        <item x="204"/>
        <item x="13"/>
        <item x="636"/>
        <item x="147"/>
        <item x="379"/>
        <item x="18"/>
        <item x="264"/>
        <item x="49"/>
        <item x="275"/>
        <item x="351"/>
        <item x="83"/>
        <item x="9"/>
        <item x="365"/>
        <item x="563"/>
        <item x="181"/>
        <item x="369"/>
        <item x="281"/>
        <item x="151"/>
        <item x="1"/>
        <item x="167"/>
        <item x="368"/>
        <item x="637"/>
        <item x="644"/>
        <item x="589"/>
        <item x="233"/>
        <item x="497"/>
        <item x="681"/>
        <item x="60"/>
        <item x="212"/>
        <item x="396"/>
        <item x="213"/>
        <item x="691"/>
        <item x="344"/>
        <item x="252"/>
        <item x="499"/>
        <item x="367"/>
        <item x="539"/>
        <item x="650"/>
        <item x="144"/>
        <item x="7"/>
        <item x="680"/>
        <item x="131"/>
        <item x="664"/>
        <item x="649"/>
        <item x="670"/>
        <item x="482"/>
        <item x="390"/>
        <item x="519"/>
        <item x="152"/>
        <item x="645"/>
        <item x="44"/>
        <item x="616"/>
        <item x="172"/>
        <item x="415"/>
        <item x="39"/>
        <item x="188"/>
        <item x="88"/>
        <item x="304"/>
        <item x="217"/>
        <item x="299"/>
        <item x="551"/>
        <item x="473"/>
        <item x="100"/>
        <item x="464"/>
        <item x="493"/>
        <item x="408"/>
        <item x="178"/>
        <item x="410"/>
        <item x="628"/>
        <item x="541"/>
        <item x="284"/>
        <item x="590"/>
        <item x="328"/>
        <item x="638"/>
        <item x="658"/>
        <item x="263"/>
        <item x="283"/>
        <item x="73"/>
        <item x="428"/>
        <item x="488"/>
        <item x="448"/>
        <item x="25"/>
        <item x="421"/>
        <item x="224"/>
        <item x="342"/>
        <item x="690"/>
        <item x="524"/>
        <item x="615"/>
        <item x="91"/>
        <item x="119"/>
        <item x="221"/>
        <item x="125"/>
        <item x="251"/>
        <item x="45"/>
        <item x="591"/>
        <item x="19"/>
        <item x="108"/>
        <item x="30"/>
        <item x="420"/>
        <item x="6"/>
        <item x="235"/>
        <item x="611"/>
        <item x="426"/>
        <item x="78"/>
        <item x="240"/>
        <item x="520"/>
        <item x="20"/>
        <item x="619"/>
        <item x="330"/>
        <item x="298"/>
        <item x="249"/>
        <item x="200"/>
        <item x="580"/>
        <item x="202"/>
        <item x="259"/>
        <item x="355"/>
        <item x="5"/>
        <item x="132"/>
        <item x="234"/>
        <item x="282"/>
        <item x="285"/>
        <item x="163"/>
        <item x="602"/>
        <item x="444"/>
        <item x="672"/>
        <item x="549"/>
        <item x="576"/>
        <item x="509"/>
        <item x="341"/>
        <item x="385"/>
        <item x="136"/>
        <item x="54"/>
        <item x="343"/>
        <item x="93"/>
        <item x="573"/>
        <item x="103"/>
        <item x="588"/>
        <item x="371"/>
        <item x="646"/>
        <item x="4"/>
        <item x="380"/>
        <item x="43"/>
        <item x="33"/>
        <item x="577"/>
        <item x="372"/>
        <item x="594"/>
        <item x="475"/>
        <item x="308"/>
        <item x="468"/>
        <item x="618"/>
        <item x="80"/>
        <item x="596"/>
        <item x="65"/>
        <item x="584"/>
        <item x="458"/>
        <item x="315"/>
        <item x="184"/>
        <item x="362"/>
        <item x="345"/>
        <item x="357"/>
        <item x="607"/>
        <item x="467"/>
        <item x="423"/>
        <item x="199"/>
        <item x="398"/>
        <item x="454"/>
        <item x="481"/>
        <item x="226"/>
        <item x="319"/>
        <item x="124"/>
        <item x="116"/>
        <item x="501"/>
        <item x="660"/>
        <item x="518"/>
        <item x="631"/>
        <item x="470"/>
        <item x="110"/>
        <item x="575"/>
        <item x="457"/>
        <item x="429"/>
        <item x="666"/>
        <item x="247"/>
        <item x="434"/>
        <item x="411"/>
        <item x="382"/>
        <item x="478"/>
        <item x="47"/>
        <item x="236"/>
        <item x="279"/>
        <item x="42"/>
        <item x="560"/>
        <item x="374"/>
        <item x="52"/>
        <item x="438"/>
        <item x="558"/>
        <item x="630"/>
        <item x="353"/>
        <item x="430"/>
        <item x="529"/>
        <item x="401"/>
        <item x="90"/>
        <item x="400"/>
        <item x="50"/>
        <item x="71"/>
        <item x="143"/>
        <item x="449"/>
        <item x="87"/>
        <item x="678"/>
        <item x="688"/>
        <item x="393"/>
        <item x="89"/>
        <item x="682"/>
        <item x="186"/>
        <item x="553"/>
        <item x="657"/>
        <item x="62"/>
        <item x="48"/>
        <item x="159"/>
        <item x="417"/>
        <item x="158"/>
        <item x="443"/>
        <item x="685"/>
        <item x="526"/>
        <item x="306"/>
        <item x="536"/>
        <item x="128"/>
        <item x="554"/>
        <item x="227"/>
        <item x="142"/>
        <item x="117"/>
        <item x="277"/>
        <item x="331"/>
        <item x="533"/>
        <item x="300"/>
        <item x="262"/>
        <item x="456"/>
        <item x="665"/>
        <item x="268"/>
        <item x="409"/>
        <item x="485"/>
        <item x="522"/>
        <item x="609"/>
        <item x="29"/>
        <item x="459"/>
        <item x="15"/>
        <item x="41"/>
        <item x="267"/>
        <item x="492"/>
        <item x="502"/>
        <item x="139"/>
        <item x="395"/>
        <item x="266"/>
        <item x="625"/>
        <item x="564"/>
        <item x="171"/>
        <item x="440"/>
        <item x="229"/>
        <item x="515"/>
        <item x="601"/>
        <item x="386"/>
        <item x="289"/>
        <item x="687"/>
        <item x="504"/>
        <item x="31"/>
        <item x="508"/>
        <item x="232"/>
        <item x="694"/>
        <item x="84"/>
        <item x="307"/>
        <item x="498"/>
        <item x="346"/>
        <item x="58"/>
        <item x="422"/>
        <item x="540"/>
        <item x="102"/>
        <item x="495"/>
        <item x="471"/>
        <item x="269"/>
        <item x="161"/>
        <item x="599"/>
        <item x="419"/>
        <item x="648"/>
        <item x="258"/>
        <item x="507"/>
        <item x="215"/>
        <item x="321"/>
        <item x="600"/>
        <item x="697"/>
        <item x="301"/>
        <item x="647"/>
        <item x="570"/>
        <item x="513"/>
        <item x="206"/>
        <item x="314"/>
        <item x="194"/>
        <item x="562"/>
        <item x="582"/>
        <item x="684"/>
        <item x="146"/>
        <item x="633"/>
        <item x="675"/>
        <item x="671"/>
        <item x="127"/>
        <item x="176"/>
        <item x="679"/>
        <item x="322"/>
        <item x="695"/>
        <item x="21"/>
        <item x="453"/>
        <item x="179"/>
        <item x="145"/>
        <item x="442"/>
        <item x="693"/>
        <item x="248"/>
        <item x="476"/>
        <item x="578"/>
        <item x="231"/>
        <item x="446"/>
        <item x="512"/>
        <item x="567"/>
        <item x="340"/>
        <item x="593"/>
        <item x="662"/>
        <item x="218"/>
        <item x="162"/>
        <item x="190"/>
        <item x="325"/>
        <item x="210"/>
        <item x="101"/>
        <item x="59"/>
        <item x="169"/>
        <item x="135"/>
        <item x="292"/>
        <item x="668"/>
        <item x="318"/>
        <item x="620"/>
        <item x="12"/>
        <item x="530"/>
        <item x="466"/>
        <item x="639"/>
        <item x="216"/>
        <item x="64"/>
        <item x="164"/>
        <item x="239"/>
        <item x="312"/>
        <item x="107"/>
        <item x="608"/>
        <item x="403"/>
        <item x="24"/>
        <item x="134"/>
        <item x="350"/>
        <item x="538"/>
        <item x="339"/>
        <item x="121"/>
        <item x="612"/>
        <item x="333"/>
        <item x="256"/>
        <item x="659"/>
        <item x="598"/>
        <item x="626"/>
        <item x="257"/>
        <item x="72"/>
        <item x="316"/>
        <item x="436"/>
        <item x="586"/>
        <item x="394"/>
        <item x="141"/>
        <item x="138"/>
        <item x="655"/>
        <item x="238"/>
        <item x="32"/>
        <item x="14"/>
        <item x="537"/>
        <item x="572"/>
        <item x="334"/>
        <item x="160"/>
        <item x="156"/>
        <item x="623"/>
        <item x="193"/>
        <item x="557"/>
        <item x="22"/>
        <item x="53"/>
        <item x="373"/>
        <item x="441"/>
        <item x="220"/>
        <item x="641"/>
        <item x="99"/>
        <item x="483"/>
        <item x="358"/>
        <item x="696"/>
        <item x="465"/>
        <item x="669"/>
        <item x="68"/>
        <item x="336"/>
        <item x="349"/>
        <item x="535"/>
        <item x="451"/>
        <item x="183"/>
        <item x="514"/>
        <item x="153"/>
        <item x="67"/>
        <item x="487"/>
        <item x="242"/>
        <item x="477"/>
        <item x="376"/>
        <item x="85"/>
        <item x="384"/>
        <item x="511"/>
        <item x="0"/>
        <item x="105"/>
        <item x="431"/>
        <item x="130"/>
        <item x="689"/>
        <item x="274"/>
        <item x="559"/>
        <item x="97"/>
        <item x="27"/>
        <item x="568"/>
        <item x="291"/>
        <item x="273"/>
        <item x="469"/>
        <item x="126"/>
        <item x="338"/>
        <item x="265"/>
        <item x="214"/>
        <item x="77"/>
        <item x="313"/>
        <item x="364"/>
        <item x="460"/>
        <item x="455"/>
        <item x="360"/>
        <item x="250"/>
        <item x="92"/>
        <item x="228"/>
        <item x="480"/>
        <item x="272"/>
        <item x="329"/>
        <item x="10"/>
        <item x="461"/>
        <item x="432"/>
        <item x="155"/>
        <item x="168"/>
        <item x="96"/>
        <item x="109"/>
        <item x="674"/>
        <item x="375"/>
        <item x="106"/>
        <item x="223"/>
        <item x="388"/>
        <item x="585"/>
        <item x="632"/>
        <item x="521"/>
        <item x="489"/>
        <item x="309"/>
        <item x="40"/>
        <item x="548"/>
        <item x="28"/>
        <item x="94"/>
        <item x="356"/>
        <item x="74"/>
        <item x="387"/>
        <item x="241"/>
        <item x="445"/>
        <item x="643"/>
        <item x="581"/>
        <item x="225"/>
        <item x="517"/>
        <item x="555"/>
        <item x="26"/>
        <item x="123"/>
        <item x="175"/>
        <item x="166"/>
        <item x="174"/>
        <item x="253"/>
        <item x="534"/>
        <item x="653"/>
        <item x="686"/>
        <item x="278"/>
        <item x="57"/>
        <item x="310"/>
        <item x="205"/>
        <item x="566"/>
        <item x="414"/>
        <item x="317"/>
        <item x="8"/>
        <item x="592"/>
        <item x="614"/>
        <item x="3"/>
        <item x="370"/>
        <item x="506"/>
        <item x="133"/>
        <item x="587"/>
        <item x="137"/>
        <item x="462"/>
        <item x="405"/>
        <item x="170"/>
        <item x="543"/>
        <item x="296"/>
        <item x="222"/>
        <item x="148"/>
        <item x="579"/>
        <item x="37"/>
        <item x="209"/>
        <item x="177"/>
        <item x="187"/>
        <item x="46"/>
        <item x="211"/>
        <item x="550"/>
        <item x="112"/>
        <item x="527"/>
        <item x="383"/>
        <item x="79"/>
        <item x="569"/>
        <item x="113"/>
        <item x="189"/>
        <item x="402"/>
        <item x="545"/>
        <item x="412"/>
        <item x="311"/>
        <item x="260"/>
        <item x="439"/>
        <item x="416"/>
        <item x="676"/>
        <item x="651"/>
        <item x="610"/>
        <item x="154"/>
        <item x="472"/>
        <item x="425"/>
        <item x="399"/>
        <item x="532"/>
        <item x="642"/>
        <item x="280"/>
        <item x="500"/>
        <item x="413"/>
        <item x="494"/>
        <item x="38"/>
        <item x="55"/>
        <item x="261"/>
        <item x="34"/>
        <item x="407"/>
        <item x="606"/>
        <item x="634"/>
        <item x="629"/>
        <item x="207"/>
        <item x="361"/>
        <item x="479"/>
        <item x="552"/>
        <item x="424"/>
        <item x="115"/>
        <item x="683"/>
        <item x="622"/>
        <item x="571"/>
        <item x="621"/>
        <item x="565"/>
        <item x="66"/>
        <item x="198"/>
        <item x="525"/>
        <item x="86"/>
        <item x="392"/>
        <item x="293"/>
        <item x="654"/>
        <item x="547"/>
        <item x="510"/>
        <item x="185"/>
        <item x="111"/>
        <item x="433"/>
        <item x="661"/>
        <item x="378"/>
        <item x="51"/>
        <item x="297"/>
        <item x="484"/>
        <item x="327"/>
        <item x="324"/>
        <item x="652"/>
        <item x="81"/>
        <item x="528"/>
        <item x="418"/>
        <item x="246"/>
        <item x="150"/>
        <item x="70"/>
        <item x="270"/>
        <item x="302"/>
        <item x="656"/>
        <item x="82"/>
        <item x="597"/>
        <item x="35"/>
        <item x="182"/>
        <item x="219"/>
        <item x="286"/>
        <item x="122"/>
        <item x="203"/>
        <item x="197"/>
        <item x="542"/>
        <item x="354"/>
        <item x="255"/>
        <item x="404"/>
        <item x="69"/>
        <item x="486"/>
        <item x="667"/>
        <item x="624"/>
        <item x="332"/>
        <item x="11"/>
        <item x="491"/>
        <item x="505"/>
        <item x="140"/>
        <item x="230"/>
        <item x="452"/>
        <item x="303"/>
        <item x="463"/>
        <item x="389"/>
        <item x="245"/>
        <item x="503"/>
        <item x="377"/>
        <item x="677"/>
        <item x="663"/>
        <item x="180"/>
        <item x="120"/>
        <item x="129"/>
        <item x="627"/>
        <item x="496"/>
        <item x="191"/>
        <item x="323"/>
        <item x="450"/>
        <item x="61"/>
        <item x="287"/>
        <item x="104"/>
        <item x="295"/>
        <item x="640"/>
        <item x="196"/>
        <item x="406"/>
        <item x="363"/>
        <item x="352"/>
        <item x="574"/>
        <item x="254"/>
        <item x="95"/>
        <item x="366"/>
        <item x="447"/>
        <item t="default"/>
      </items>
    </pivotField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11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Price" fld="10" baseField="0" baseItem="0"/>
  </dataFields>
  <chartFormats count="1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3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3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3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13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13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13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7"/>
          </reference>
        </references>
      </pivotArea>
    </chartFormat>
    <chartFormat chart="13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8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9"/>
          </reference>
        </references>
      </pivotArea>
    </chartFormat>
    <chartFormat chart="13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0"/>
          </reference>
        </references>
      </pivotArea>
    </chartFormat>
    <chartFormat chart="13" format="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1"/>
          </reference>
        </references>
      </pivotArea>
    </chartFormat>
    <chartFormat chart="13" format="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28" name="OrderDate">
      <autoFilter ref="A1">
        <filterColumn colId="0">
          <customFilters and="1">
            <customFilter operator="greaterThanOrEqual" val="45170"/>
            <customFilter operator="lessThanOrEqual" val="460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472032-7430-4B80-A905-E418EF23D8B6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C65:E78" firstHeaderRow="0" firstDataRow="1" firstDataCol="1"/>
  <pivotFields count="14">
    <pivotField showAll="0"/>
    <pivotField numFmtId="14" showAll="0">
      <items count="699">
        <item x="192"/>
        <item x="305"/>
        <item x="173"/>
        <item x="490"/>
        <item x="36"/>
        <item x="359"/>
        <item x="348"/>
        <item x="165"/>
        <item x="561"/>
        <item x="595"/>
        <item x="294"/>
        <item x="692"/>
        <item x="583"/>
        <item x="195"/>
        <item x="237"/>
        <item x="673"/>
        <item x="427"/>
        <item x="2"/>
        <item x="23"/>
        <item x="435"/>
        <item x="531"/>
        <item x="17"/>
        <item x="16"/>
        <item x="617"/>
        <item x="391"/>
        <item x="635"/>
        <item x="437"/>
        <item x="335"/>
        <item x="546"/>
        <item x="397"/>
        <item x="56"/>
        <item x="381"/>
        <item x="76"/>
        <item x="149"/>
        <item x="320"/>
        <item x="290"/>
        <item x="544"/>
        <item x="605"/>
        <item x="271"/>
        <item x="114"/>
        <item x="201"/>
        <item x="243"/>
        <item x="613"/>
        <item x="276"/>
        <item x="523"/>
        <item x="157"/>
        <item x="603"/>
        <item x="118"/>
        <item x="244"/>
        <item x="208"/>
        <item x="75"/>
        <item x="98"/>
        <item x="347"/>
        <item x="604"/>
        <item x="288"/>
        <item x="556"/>
        <item x="516"/>
        <item x="63"/>
        <item x="326"/>
        <item x="337"/>
        <item x="474"/>
        <item x="204"/>
        <item x="13"/>
        <item x="636"/>
        <item x="147"/>
        <item x="379"/>
        <item x="18"/>
        <item x="264"/>
        <item x="49"/>
        <item x="275"/>
        <item x="351"/>
        <item x="83"/>
        <item x="9"/>
        <item x="365"/>
        <item x="563"/>
        <item x="181"/>
        <item x="369"/>
        <item x="281"/>
        <item x="151"/>
        <item x="1"/>
        <item x="167"/>
        <item x="368"/>
        <item x="637"/>
        <item x="644"/>
        <item x="589"/>
        <item x="233"/>
        <item x="497"/>
        <item x="681"/>
        <item x="60"/>
        <item x="212"/>
        <item x="396"/>
        <item x="213"/>
        <item x="691"/>
        <item x="344"/>
        <item x="252"/>
        <item x="499"/>
        <item x="367"/>
        <item x="539"/>
        <item x="650"/>
        <item x="144"/>
        <item x="7"/>
        <item x="680"/>
        <item x="131"/>
        <item x="664"/>
        <item x="649"/>
        <item x="670"/>
        <item x="482"/>
        <item x="390"/>
        <item x="519"/>
        <item x="152"/>
        <item x="645"/>
        <item x="44"/>
        <item x="616"/>
        <item x="172"/>
        <item x="415"/>
        <item x="39"/>
        <item x="188"/>
        <item x="88"/>
        <item x="304"/>
        <item x="217"/>
        <item x="299"/>
        <item x="551"/>
        <item x="473"/>
        <item x="100"/>
        <item x="464"/>
        <item x="493"/>
        <item x="408"/>
        <item x="178"/>
        <item x="410"/>
        <item x="628"/>
        <item x="541"/>
        <item x="284"/>
        <item x="590"/>
        <item x="328"/>
        <item x="638"/>
        <item x="658"/>
        <item x="263"/>
        <item x="283"/>
        <item x="73"/>
        <item x="428"/>
        <item x="488"/>
        <item x="448"/>
        <item x="25"/>
        <item x="421"/>
        <item x="224"/>
        <item x="342"/>
        <item x="690"/>
        <item x="524"/>
        <item x="615"/>
        <item x="91"/>
        <item x="119"/>
        <item x="221"/>
        <item x="125"/>
        <item x="251"/>
        <item x="45"/>
        <item x="591"/>
        <item x="19"/>
        <item x="108"/>
        <item x="30"/>
        <item x="420"/>
        <item x="6"/>
        <item x="235"/>
        <item x="611"/>
        <item x="426"/>
        <item x="78"/>
        <item x="240"/>
        <item x="520"/>
        <item x="20"/>
        <item x="619"/>
        <item x="330"/>
        <item x="298"/>
        <item x="249"/>
        <item x="200"/>
        <item x="580"/>
        <item x="202"/>
        <item x="259"/>
        <item x="355"/>
        <item x="5"/>
        <item x="132"/>
        <item x="234"/>
        <item x="282"/>
        <item x="285"/>
        <item x="163"/>
        <item x="602"/>
        <item x="444"/>
        <item x="672"/>
        <item x="549"/>
        <item x="576"/>
        <item x="509"/>
        <item x="341"/>
        <item x="385"/>
        <item x="136"/>
        <item x="54"/>
        <item x="343"/>
        <item x="93"/>
        <item x="573"/>
        <item x="103"/>
        <item x="588"/>
        <item x="371"/>
        <item x="646"/>
        <item x="4"/>
        <item x="380"/>
        <item x="43"/>
        <item x="33"/>
        <item x="577"/>
        <item x="372"/>
        <item x="594"/>
        <item x="475"/>
        <item x="308"/>
        <item x="468"/>
        <item x="618"/>
        <item x="80"/>
        <item x="596"/>
        <item x="65"/>
        <item x="584"/>
        <item x="458"/>
        <item x="315"/>
        <item x="184"/>
        <item x="362"/>
        <item x="345"/>
        <item x="357"/>
        <item x="607"/>
        <item x="467"/>
        <item x="423"/>
        <item x="199"/>
        <item x="398"/>
        <item x="454"/>
        <item x="481"/>
        <item x="226"/>
        <item x="319"/>
        <item x="124"/>
        <item x="116"/>
        <item x="501"/>
        <item x="660"/>
        <item x="518"/>
        <item x="631"/>
        <item x="470"/>
        <item x="110"/>
        <item x="575"/>
        <item x="457"/>
        <item x="429"/>
        <item x="666"/>
        <item x="247"/>
        <item x="434"/>
        <item x="411"/>
        <item x="382"/>
        <item x="478"/>
        <item x="47"/>
        <item x="236"/>
        <item x="279"/>
        <item x="42"/>
        <item x="560"/>
        <item x="374"/>
        <item x="52"/>
        <item x="438"/>
        <item x="558"/>
        <item x="630"/>
        <item x="353"/>
        <item x="430"/>
        <item x="529"/>
        <item x="401"/>
        <item x="90"/>
        <item x="400"/>
        <item x="50"/>
        <item x="71"/>
        <item x="143"/>
        <item x="449"/>
        <item x="87"/>
        <item x="678"/>
        <item x="688"/>
        <item x="393"/>
        <item x="89"/>
        <item x="682"/>
        <item x="186"/>
        <item x="553"/>
        <item x="657"/>
        <item x="62"/>
        <item x="48"/>
        <item x="159"/>
        <item x="417"/>
        <item x="158"/>
        <item x="443"/>
        <item x="685"/>
        <item x="526"/>
        <item x="306"/>
        <item x="536"/>
        <item x="128"/>
        <item x="554"/>
        <item x="227"/>
        <item x="142"/>
        <item x="117"/>
        <item x="277"/>
        <item x="331"/>
        <item x="533"/>
        <item x="300"/>
        <item x="262"/>
        <item x="456"/>
        <item x="665"/>
        <item x="268"/>
        <item x="409"/>
        <item x="485"/>
        <item x="522"/>
        <item x="609"/>
        <item x="29"/>
        <item x="459"/>
        <item x="15"/>
        <item x="41"/>
        <item x="267"/>
        <item x="492"/>
        <item x="502"/>
        <item x="139"/>
        <item x="395"/>
        <item x="266"/>
        <item x="625"/>
        <item x="564"/>
        <item x="171"/>
        <item x="440"/>
        <item x="229"/>
        <item x="515"/>
        <item x="601"/>
        <item x="386"/>
        <item x="289"/>
        <item x="687"/>
        <item x="504"/>
        <item x="31"/>
        <item x="508"/>
        <item x="232"/>
        <item x="694"/>
        <item x="84"/>
        <item x="307"/>
        <item x="498"/>
        <item x="346"/>
        <item x="58"/>
        <item x="422"/>
        <item x="540"/>
        <item x="102"/>
        <item x="495"/>
        <item x="471"/>
        <item x="269"/>
        <item x="161"/>
        <item x="599"/>
        <item x="419"/>
        <item x="648"/>
        <item x="258"/>
        <item x="507"/>
        <item x="215"/>
        <item x="321"/>
        <item x="600"/>
        <item x="697"/>
        <item x="301"/>
        <item x="647"/>
        <item x="570"/>
        <item x="513"/>
        <item x="206"/>
        <item x="314"/>
        <item x="194"/>
        <item x="562"/>
        <item x="582"/>
        <item x="684"/>
        <item x="146"/>
        <item x="633"/>
        <item x="675"/>
        <item x="671"/>
        <item x="127"/>
        <item x="176"/>
        <item x="679"/>
        <item x="322"/>
        <item x="695"/>
        <item x="21"/>
        <item x="453"/>
        <item x="179"/>
        <item x="145"/>
        <item x="442"/>
        <item x="693"/>
        <item x="248"/>
        <item x="476"/>
        <item x="578"/>
        <item x="231"/>
        <item x="446"/>
        <item x="512"/>
        <item x="567"/>
        <item x="340"/>
        <item x="593"/>
        <item x="662"/>
        <item x="218"/>
        <item x="162"/>
        <item x="190"/>
        <item x="325"/>
        <item x="210"/>
        <item x="101"/>
        <item x="59"/>
        <item x="169"/>
        <item x="135"/>
        <item x="292"/>
        <item x="668"/>
        <item x="318"/>
        <item x="620"/>
        <item x="12"/>
        <item x="530"/>
        <item x="466"/>
        <item x="639"/>
        <item x="216"/>
        <item x="64"/>
        <item x="164"/>
        <item x="239"/>
        <item x="312"/>
        <item x="107"/>
        <item x="608"/>
        <item x="403"/>
        <item x="24"/>
        <item x="134"/>
        <item x="350"/>
        <item x="538"/>
        <item x="339"/>
        <item x="121"/>
        <item x="612"/>
        <item x="333"/>
        <item x="256"/>
        <item x="659"/>
        <item x="598"/>
        <item x="626"/>
        <item x="257"/>
        <item x="72"/>
        <item x="316"/>
        <item x="436"/>
        <item x="586"/>
        <item x="394"/>
        <item x="141"/>
        <item x="138"/>
        <item x="655"/>
        <item x="238"/>
        <item x="32"/>
        <item x="14"/>
        <item x="537"/>
        <item x="572"/>
        <item x="334"/>
        <item x="160"/>
        <item x="156"/>
        <item x="623"/>
        <item x="193"/>
        <item x="557"/>
        <item x="22"/>
        <item x="53"/>
        <item x="373"/>
        <item x="441"/>
        <item x="220"/>
        <item x="641"/>
        <item x="99"/>
        <item x="483"/>
        <item x="358"/>
        <item x="696"/>
        <item x="465"/>
        <item x="669"/>
        <item x="68"/>
        <item x="336"/>
        <item x="349"/>
        <item x="535"/>
        <item x="451"/>
        <item x="183"/>
        <item x="514"/>
        <item x="153"/>
        <item x="67"/>
        <item x="487"/>
        <item x="242"/>
        <item x="477"/>
        <item x="376"/>
        <item x="85"/>
        <item x="384"/>
        <item x="511"/>
        <item x="0"/>
        <item x="105"/>
        <item x="431"/>
        <item x="130"/>
        <item x="689"/>
        <item x="274"/>
        <item x="559"/>
        <item x="97"/>
        <item x="27"/>
        <item x="568"/>
        <item x="291"/>
        <item x="273"/>
        <item x="469"/>
        <item x="126"/>
        <item x="338"/>
        <item x="265"/>
        <item x="214"/>
        <item x="77"/>
        <item x="313"/>
        <item x="364"/>
        <item x="460"/>
        <item x="455"/>
        <item x="360"/>
        <item x="250"/>
        <item x="92"/>
        <item x="228"/>
        <item x="480"/>
        <item x="272"/>
        <item x="329"/>
        <item x="10"/>
        <item x="461"/>
        <item x="432"/>
        <item x="155"/>
        <item x="168"/>
        <item x="96"/>
        <item x="109"/>
        <item x="674"/>
        <item x="375"/>
        <item x="106"/>
        <item x="223"/>
        <item x="388"/>
        <item x="585"/>
        <item x="632"/>
        <item x="521"/>
        <item x="489"/>
        <item x="309"/>
        <item x="40"/>
        <item x="548"/>
        <item x="28"/>
        <item x="94"/>
        <item x="356"/>
        <item x="74"/>
        <item x="387"/>
        <item x="241"/>
        <item x="445"/>
        <item x="643"/>
        <item x="581"/>
        <item x="225"/>
        <item x="517"/>
        <item x="555"/>
        <item x="26"/>
        <item x="123"/>
        <item x="175"/>
        <item x="166"/>
        <item x="174"/>
        <item x="253"/>
        <item x="534"/>
        <item x="653"/>
        <item x="686"/>
        <item x="278"/>
        <item x="57"/>
        <item x="310"/>
        <item x="205"/>
        <item x="566"/>
        <item x="414"/>
        <item x="317"/>
        <item x="8"/>
        <item x="592"/>
        <item x="614"/>
        <item x="3"/>
        <item x="370"/>
        <item x="506"/>
        <item x="133"/>
        <item x="587"/>
        <item x="137"/>
        <item x="462"/>
        <item x="405"/>
        <item x="170"/>
        <item x="543"/>
        <item x="296"/>
        <item x="222"/>
        <item x="148"/>
        <item x="579"/>
        <item x="37"/>
        <item x="209"/>
        <item x="177"/>
        <item x="187"/>
        <item x="46"/>
        <item x="211"/>
        <item x="550"/>
        <item x="112"/>
        <item x="527"/>
        <item x="383"/>
        <item x="79"/>
        <item x="569"/>
        <item x="113"/>
        <item x="189"/>
        <item x="402"/>
        <item x="545"/>
        <item x="412"/>
        <item x="311"/>
        <item x="260"/>
        <item x="439"/>
        <item x="416"/>
        <item x="676"/>
        <item x="651"/>
        <item x="610"/>
        <item x="154"/>
        <item x="472"/>
        <item x="425"/>
        <item x="399"/>
        <item x="532"/>
        <item x="642"/>
        <item x="280"/>
        <item x="500"/>
        <item x="413"/>
        <item x="494"/>
        <item x="38"/>
        <item x="55"/>
        <item x="261"/>
        <item x="34"/>
        <item x="407"/>
        <item x="606"/>
        <item x="634"/>
        <item x="629"/>
        <item x="207"/>
        <item x="361"/>
        <item x="479"/>
        <item x="552"/>
        <item x="424"/>
        <item x="115"/>
        <item x="683"/>
        <item x="622"/>
        <item x="571"/>
        <item x="621"/>
        <item x="565"/>
        <item x="66"/>
        <item x="198"/>
        <item x="525"/>
        <item x="86"/>
        <item x="392"/>
        <item x="293"/>
        <item x="654"/>
        <item x="547"/>
        <item x="510"/>
        <item x="185"/>
        <item x="111"/>
        <item x="433"/>
        <item x="661"/>
        <item x="378"/>
        <item x="51"/>
        <item x="297"/>
        <item x="484"/>
        <item x="327"/>
        <item x="324"/>
        <item x="652"/>
        <item x="81"/>
        <item x="528"/>
        <item x="418"/>
        <item x="246"/>
        <item x="150"/>
        <item x="70"/>
        <item x="270"/>
        <item x="302"/>
        <item x="656"/>
        <item x="82"/>
        <item x="597"/>
        <item x="35"/>
        <item x="182"/>
        <item x="219"/>
        <item x="286"/>
        <item x="122"/>
        <item x="203"/>
        <item x="197"/>
        <item x="542"/>
        <item x="354"/>
        <item x="255"/>
        <item x="404"/>
        <item x="69"/>
        <item x="486"/>
        <item x="667"/>
        <item x="624"/>
        <item x="332"/>
        <item x="11"/>
        <item x="491"/>
        <item x="505"/>
        <item x="140"/>
        <item x="230"/>
        <item x="452"/>
        <item x="303"/>
        <item x="463"/>
        <item x="389"/>
        <item x="245"/>
        <item x="503"/>
        <item x="377"/>
        <item x="677"/>
        <item x="663"/>
        <item x="180"/>
        <item x="120"/>
        <item x="129"/>
        <item x="627"/>
        <item x="496"/>
        <item x="191"/>
        <item x="323"/>
        <item x="450"/>
        <item x="61"/>
        <item x="287"/>
        <item x="104"/>
        <item x="295"/>
        <item x="640"/>
        <item x="196"/>
        <item x="406"/>
        <item x="363"/>
        <item x="352"/>
        <item x="574"/>
        <item x="254"/>
        <item x="95"/>
        <item x="366"/>
        <item x="447"/>
        <item t="default"/>
      </items>
    </pivotField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dataField="1" showAll="0">
      <items count="10">
        <item x="7"/>
        <item x="6"/>
        <item x="4"/>
        <item x="1"/>
        <item x="3"/>
        <item x="5"/>
        <item x="0"/>
        <item x="2"/>
        <item x="8"/>
        <item t="default"/>
      </items>
    </pivotField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Price" fld="10" baseField="0" baseItem="0"/>
    <dataField name="Sum of Quantity" fld="6" baseField="0" baseItem="0"/>
  </dataFields>
  <chartFormats count="6">
    <chartFormat chart="4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41A974-F45F-4978-9994-0817D3C0AF0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C54:H59" firstHeaderRow="1" firstDataRow="2" firstDataCol="1"/>
  <pivotFields count="14">
    <pivotField showAll="0"/>
    <pivotField numFmtId="14" showAll="0">
      <items count="699">
        <item x="192"/>
        <item x="305"/>
        <item x="173"/>
        <item x="490"/>
        <item x="36"/>
        <item x="359"/>
        <item x="348"/>
        <item x="165"/>
        <item x="561"/>
        <item x="595"/>
        <item x="294"/>
        <item x="692"/>
        <item x="583"/>
        <item x="195"/>
        <item x="237"/>
        <item x="673"/>
        <item x="427"/>
        <item x="2"/>
        <item x="23"/>
        <item x="435"/>
        <item x="531"/>
        <item x="17"/>
        <item x="16"/>
        <item x="617"/>
        <item x="391"/>
        <item x="635"/>
        <item x="437"/>
        <item x="335"/>
        <item x="546"/>
        <item x="397"/>
        <item x="56"/>
        <item x="381"/>
        <item x="76"/>
        <item x="149"/>
        <item x="320"/>
        <item x="290"/>
        <item x="544"/>
        <item x="605"/>
        <item x="271"/>
        <item x="114"/>
        <item x="201"/>
        <item x="243"/>
        <item x="613"/>
        <item x="276"/>
        <item x="523"/>
        <item x="157"/>
        <item x="603"/>
        <item x="118"/>
        <item x="244"/>
        <item x="208"/>
        <item x="75"/>
        <item x="98"/>
        <item x="347"/>
        <item x="604"/>
        <item x="288"/>
        <item x="556"/>
        <item x="516"/>
        <item x="63"/>
        <item x="326"/>
        <item x="337"/>
        <item x="474"/>
        <item x="204"/>
        <item x="13"/>
        <item x="636"/>
        <item x="147"/>
        <item x="379"/>
        <item x="18"/>
        <item x="264"/>
        <item x="49"/>
        <item x="275"/>
        <item x="351"/>
        <item x="83"/>
        <item x="9"/>
        <item x="365"/>
        <item x="563"/>
        <item x="181"/>
        <item x="369"/>
        <item x="281"/>
        <item x="151"/>
        <item x="1"/>
        <item x="167"/>
        <item x="368"/>
        <item x="637"/>
        <item x="644"/>
        <item x="589"/>
        <item x="233"/>
        <item x="497"/>
        <item x="681"/>
        <item x="60"/>
        <item x="212"/>
        <item x="396"/>
        <item x="213"/>
        <item x="691"/>
        <item x="344"/>
        <item x="252"/>
        <item x="499"/>
        <item x="367"/>
        <item x="539"/>
        <item x="650"/>
        <item x="144"/>
        <item x="7"/>
        <item x="680"/>
        <item x="131"/>
        <item x="664"/>
        <item x="649"/>
        <item x="670"/>
        <item x="482"/>
        <item x="390"/>
        <item x="519"/>
        <item x="152"/>
        <item x="645"/>
        <item x="44"/>
        <item x="616"/>
        <item x="172"/>
        <item x="415"/>
        <item x="39"/>
        <item x="188"/>
        <item x="88"/>
        <item x="304"/>
        <item x="217"/>
        <item x="299"/>
        <item x="551"/>
        <item x="473"/>
        <item x="100"/>
        <item x="464"/>
        <item x="493"/>
        <item x="408"/>
        <item x="178"/>
        <item x="410"/>
        <item x="628"/>
        <item x="541"/>
        <item x="284"/>
        <item x="590"/>
        <item x="328"/>
        <item x="638"/>
        <item x="658"/>
        <item x="263"/>
        <item x="283"/>
        <item x="73"/>
        <item x="428"/>
        <item x="488"/>
        <item x="448"/>
        <item x="25"/>
        <item x="421"/>
        <item x="224"/>
        <item x="342"/>
        <item x="690"/>
        <item x="524"/>
        <item x="615"/>
        <item x="91"/>
        <item x="119"/>
        <item x="221"/>
        <item x="125"/>
        <item x="251"/>
        <item x="45"/>
        <item x="591"/>
        <item x="19"/>
        <item x="108"/>
        <item x="30"/>
        <item x="420"/>
        <item x="6"/>
        <item x="235"/>
        <item x="611"/>
        <item x="426"/>
        <item x="78"/>
        <item x="240"/>
        <item x="520"/>
        <item x="20"/>
        <item x="619"/>
        <item x="330"/>
        <item x="298"/>
        <item x="249"/>
        <item x="200"/>
        <item x="580"/>
        <item x="202"/>
        <item x="259"/>
        <item x="355"/>
        <item x="5"/>
        <item x="132"/>
        <item x="234"/>
        <item x="282"/>
        <item x="285"/>
        <item x="163"/>
        <item x="602"/>
        <item x="444"/>
        <item x="672"/>
        <item x="549"/>
        <item x="576"/>
        <item x="509"/>
        <item x="341"/>
        <item x="385"/>
        <item x="136"/>
        <item x="54"/>
        <item x="343"/>
        <item x="93"/>
        <item x="573"/>
        <item x="103"/>
        <item x="588"/>
        <item x="371"/>
        <item x="646"/>
        <item x="4"/>
        <item x="380"/>
        <item x="43"/>
        <item x="33"/>
        <item x="577"/>
        <item x="372"/>
        <item x="594"/>
        <item x="475"/>
        <item x="308"/>
        <item x="468"/>
        <item x="618"/>
        <item x="80"/>
        <item x="596"/>
        <item x="65"/>
        <item x="584"/>
        <item x="458"/>
        <item x="315"/>
        <item x="184"/>
        <item x="362"/>
        <item x="345"/>
        <item x="357"/>
        <item x="607"/>
        <item x="467"/>
        <item x="423"/>
        <item x="199"/>
        <item x="398"/>
        <item x="454"/>
        <item x="481"/>
        <item x="226"/>
        <item x="319"/>
        <item x="124"/>
        <item x="116"/>
        <item x="501"/>
        <item x="660"/>
        <item x="518"/>
        <item x="631"/>
        <item x="470"/>
        <item x="110"/>
        <item x="575"/>
        <item x="457"/>
        <item x="429"/>
        <item x="666"/>
        <item x="247"/>
        <item x="434"/>
        <item x="411"/>
        <item x="382"/>
        <item x="478"/>
        <item x="47"/>
        <item x="236"/>
        <item x="279"/>
        <item x="42"/>
        <item x="560"/>
        <item x="374"/>
        <item x="52"/>
        <item x="438"/>
        <item x="558"/>
        <item x="630"/>
        <item x="353"/>
        <item x="430"/>
        <item x="529"/>
        <item x="401"/>
        <item x="90"/>
        <item x="400"/>
        <item x="50"/>
        <item x="71"/>
        <item x="143"/>
        <item x="449"/>
        <item x="87"/>
        <item x="678"/>
        <item x="688"/>
        <item x="393"/>
        <item x="89"/>
        <item x="682"/>
        <item x="186"/>
        <item x="553"/>
        <item x="657"/>
        <item x="62"/>
        <item x="48"/>
        <item x="159"/>
        <item x="417"/>
        <item x="158"/>
        <item x="443"/>
        <item x="685"/>
        <item x="526"/>
        <item x="306"/>
        <item x="536"/>
        <item x="128"/>
        <item x="554"/>
        <item x="227"/>
        <item x="142"/>
        <item x="117"/>
        <item x="277"/>
        <item x="331"/>
        <item x="533"/>
        <item x="300"/>
        <item x="262"/>
        <item x="456"/>
        <item x="665"/>
        <item x="268"/>
        <item x="409"/>
        <item x="485"/>
        <item x="522"/>
        <item x="609"/>
        <item x="29"/>
        <item x="459"/>
        <item x="15"/>
        <item x="41"/>
        <item x="267"/>
        <item x="492"/>
        <item x="502"/>
        <item x="139"/>
        <item x="395"/>
        <item x="266"/>
        <item x="625"/>
        <item x="564"/>
        <item x="171"/>
        <item x="440"/>
        <item x="229"/>
        <item x="515"/>
        <item x="601"/>
        <item x="386"/>
        <item x="289"/>
        <item x="687"/>
        <item x="504"/>
        <item x="31"/>
        <item x="508"/>
        <item x="232"/>
        <item x="694"/>
        <item x="84"/>
        <item x="307"/>
        <item x="498"/>
        <item x="346"/>
        <item x="58"/>
        <item x="422"/>
        <item x="540"/>
        <item x="102"/>
        <item x="495"/>
        <item x="471"/>
        <item x="269"/>
        <item x="161"/>
        <item x="599"/>
        <item x="419"/>
        <item x="648"/>
        <item x="258"/>
        <item x="507"/>
        <item x="215"/>
        <item x="321"/>
        <item x="600"/>
        <item x="697"/>
        <item x="301"/>
        <item x="647"/>
        <item x="570"/>
        <item x="513"/>
        <item x="206"/>
        <item x="314"/>
        <item x="194"/>
        <item x="562"/>
        <item x="582"/>
        <item x="684"/>
        <item x="146"/>
        <item x="633"/>
        <item x="675"/>
        <item x="671"/>
        <item x="127"/>
        <item x="176"/>
        <item x="679"/>
        <item x="322"/>
        <item x="695"/>
        <item x="21"/>
        <item x="453"/>
        <item x="179"/>
        <item x="145"/>
        <item x="442"/>
        <item x="693"/>
        <item x="248"/>
        <item x="476"/>
        <item x="578"/>
        <item x="231"/>
        <item x="446"/>
        <item x="512"/>
        <item x="567"/>
        <item x="340"/>
        <item x="593"/>
        <item x="662"/>
        <item x="218"/>
        <item x="162"/>
        <item x="190"/>
        <item x="325"/>
        <item x="210"/>
        <item x="101"/>
        <item x="59"/>
        <item x="169"/>
        <item x="135"/>
        <item x="292"/>
        <item x="668"/>
        <item x="318"/>
        <item x="620"/>
        <item x="12"/>
        <item x="530"/>
        <item x="466"/>
        <item x="639"/>
        <item x="216"/>
        <item x="64"/>
        <item x="164"/>
        <item x="239"/>
        <item x="312"/>
        <item x="107"/>
        <item x="608"/>
        <item x="403"/>
        <item x="24"/>
        <item x="134"/>
        <item x="350"/>
        <item x="538"/>
        <item x="339"/>
        <item x="121"/>
        <item x="612"/>
        <item x="333"/>
        <item x="256"/>
        <item x="659"/>
        <item x="598"/>
        <item x="626"/>
        <item x="257"/>
        <item x="72"/>
        <item x="316"/>
        <item x="436"/>
        <item x="586"/>
        <item x="394"/>
        <item x="141"/>
        <item x="138"/>
        <item x="655"/>
        <item x="238"/>
        <item x="32"/>
        <item x="14"/>
        <item x="537"/>
        <item x="572"/>
        <item x="334"/>
        <item x="160"/>
        <item x="156"/>
        <item x="623"/>
        <item x="193"/>
        <item x="557"/>
        <item x="22"/>
        <item x="53"/>
        <item x="373"/>
        <item x="441"/>
        <item x="220"/>
        <item x="641"/>
        <item x="99"/>
        <item x="483"/>
        <item x="358"/>
        <item x="696"/>
        <item x="465"/>
        <item x="669"/>
        <item x="68"/>
        <item x="336"/>
        <item x="349"/>
        <item x="535"/>
        <item x="451"/>
        <item x="183"/>
        <item x="514"/>
        <item x="153"/>
        <item x="67"/>
        <item x="487"/>
        <item x="242"/>
        <item x="477"/>
        <item x="376"/>
        <item x="85"/>
        <item x="384"/>
        <item x="511"/>
        <item x="0"/>
        <item x="105"/>
        <item x="431"/>
        <item x="130"/>
        <item x="689"/>
        <item x="274"/>
        <item x="559"/>
        <item x="97"/>
        <item x="27"/>
        <item x="568"/>
        <item x="291"/>
        <item x="273"/>
        <item x="469"/>
        <item x="126"/>
        <item x="338"/>
        <item x="265"/>
        <item x="214"/>
        <item x="77"/>
        <item x="313"/>
        <item x="364"/>
        <item x="460"/>
        <item x="455"/>
        <item x="360"/>
        <item x="250"/>
        <item x="92"/>
        <item x="228"/>
        <item x="480"/>
        <item x="272"/>
        <item x="329"/>
        <item x="10"/>
        <item x="461"/>
        <item x="432"/>
        <item x="155"/>
        <item x="168"/>
        <item x="96"/>
        <item x="109"/>
        <item x="674"/>
        <item x="375"/>
        <item x="106"/>
        <item x="223"/>
        <item x="388"/>
        <item x="585"/>
        <item x="632"/>
        <item x="521"/>
        <item x="489"/>
        <item x="309"/>
        <item x="40"/>
        <item x="548"/>
        <item x="28"/>
        <item x="94"/>
        <item x="356"/>
        <item x="74"/>
        <item x="387"/>
        <item x="241"/>
        <item x="445"/>
        <item x="643"/>
        <item x="581"/>
        <item x="225"/>
        <item x="517"/>
        <item x="555"/>
        <item x="26"/>
        <item x="123"/>
        <item x="175"/>
        <item x="166"/>
        <item x="174"/>
        <item x="253"/>
        <item x="534"/>
        <item x="653"/>
        <item x="686"/>
        <item x="278"/>
        <item x="57"/>
        <item x="310"/>
        <item x="205"/>
        <item x="566"/>
        <item x="414"/>
        <item x="317"/>
        <item x="8"/>
        <item x="592"/>
        <item x="614"/>
        <item x="3"/>
        <item x="370"/>
        <item x="506"/>
        <item x="133"/>
        <item x="587"/>
        <item x="137"/>
        <item x="462"/>
        <item x="405"/>
        <item x="170"/>
        <item x="543"/>
        <item x="296"/>
        <item x="222"/>
        <item x="148"/>
        <item x="579"/>
        <item x="37"/>
        <item x="209"/>
        <item x="177"/>
        <item x="187"/>
        <item x="46"/>
        <item x="211"/>
        <item x="550"/>
        <item x="112"/>
        <item x="527"/>
        <item x="383"/>
        <item x="79"/>
        <item x="569"/>
        <item x="113"/>
        <item x="189"/>
        <item x="402"/>
        <item x="545"/>
        <item x="412"/>
        <item x="311"/>
        <item x="260"/>
        <item x="439"/>
        <item x="416"/>
        <item x="676"/>
        <item x="651"/>
        <item x="610"/>
        <item x="154"/>
        <item x="472"/>
        <item x="425"/>
        <item x="399"/>
        <item x="532"/>
        <item x="642"/>
        <item x="280"/>
        <item x="500"/>
        <item x="413"/>
        <item x="494"/>
        <item x="38"/>
        <item x="55"/>
        <item x="261"/>
        <item x="34"/>
        <item x="407"/>
        <item x="606"/>
        <item x="634"/>
        <item x="629"/>
        <item x="207"/>
        <item x="361"/>
        <item x="479"/>
        <item x="552"/>
        <item x="424"/>
        <item x="115"/>
        <item x="683"/>
        <item x="622"/>
        <item x="571"/>
        <item x="621"/>
        <item x="565"/>
        <item x="66"/>
        <item x="198"/>
        <item x="525"/>
        <item x="86"/>
        <item x="392"/>
        <item x="293"/>
        <item x="654"/>
        <item x="547"/>
        <item x="510"/>
        <item x="185"/>
        <item x="111"/>
        <item x="433"/>
        <item x="661"/>
        <item x="378"/>
        <item x="51"/>
        <item x="297"/>
        <item x="484"/>
        <item x="327"/>
        <item x="324"/>
        <item x="652"/>
        <item x="81"/>
        <item x="528"/>
        <item x="418"/>
        <item x="246"/>
        <item x="150"/>
        <item x="70"/>
        <item x="270"/>
        <item x="302"/>
        <item x="656"/>
        <item x="82"/>
        <item x="597"/>
        <item x="35"/>
        <item x="182"/>
        <item x="219"/>
        <item x="286"/>
        <item x="122"/>
        <item x="203"/>
        <item x="197"/>
        <item x="542"/>
        <item x="354"/>
        <item x="255"/>
        <item x="404"/>
        <item x="69"/>
        <item x="486"/>
        <item x="667"/>
        <item x="624"/>
        <item x="332"/>
        <item x="11"/>
        <item x="491"/>
        <item x="505"/>
        <item x="140"/>
        <item x="230"/>
        <item x="452"/>
        <item x="303"/>
        <item x="463"/>
        <item x="389"/>
        <item x="245"/>
        <item x="503"/>
        <item x="377"/>
        <item x="677"/>
        <item x="663"/>
        <item x="180"/>
        <item x="120"/>
        <item x="129"/>
        <item x="627"/>
        <item x="496"/>
        <item x="191"/>
        <item x="323"/>
        <item x="450"/>
        <item x="61"/>
        <item x="287"/>
        <item x="104"/>
        <item x="295"/>
        <item x="640"/>
        <item x="196"/>
        <item x="406"/>
        <item x="363"/>
        <item x="352"/>
        <item x="574"/>
        <item x="254"/>
        <item x="95"/>
        <item x="366"/>
        <item x="447"/>
        <item t="default"/>
      </items>
    </pivotField>
    <pivotField showAll="0"/>
    <pivotField axis="axisCol" showAll="0">
      <items count="5">
        <item x="1"/>
        <item x="0"/>
        <item x="2"/>
        <item x="3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Price" fld="10" baseField="0" baseItem="0"/>
  </dataFields>
  <chartFormats count="8"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5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5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7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7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7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7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OrderDate" xr10:uid="{E462DDA8-BC45-4577-836D-DBA200D732F1}" sourceName="OrderDate">
  <pivotTables>
    <pivotTable tabId="3" name="PivotTable2"/>
  </pivotTables>
  <state minimalRefreshVersion="6" lastRefreshVersion="6" pivotCacheId="1829821030" filterType="dateBetween">
    <selection startDate="2023-09-01T00:00:00" endDate="2025-12-31T00:00:00"/>
    <bounds startDate="2023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Date 1" xr10:uid="{07432237-CAC4-4F58-BF1A-F1652A746BD4}" cache="NativeTimeline_OrderDate" caption="OrderDate" showSelectionLabel="0" level="0" selectionLevel="2" scrollPosition="2023-01-01T00:00:00" style="TimeSlicerStyleDark1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7BDA7-D544-482C-92A3-484DCCBF1A2A}">
  <dimension ref="A1"/>
  <sheetViews>
    <sheetView showGridLines="0" zoomScale="96" workbookViewId="0">
      <selection activeCell="Q22" sqref="Q2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6FC12-88A9-442C-8B05-3F903B907AB8}">
  <dimension ref="A1:K2001"/>
  <sheetViews>
    <sheetView zoomScale="95" workbookViewId="0">
      <selection activeCell="F1524" sqref="F1524"/>
    </sheetView>
  </sheetViews>
  <sheetFormatPr defaultRowHeight="15" x14ac:dyDescent="0.25"/>
  <cols>
    <col min="1" max="1" width="17.28515625" customWidth="1"/>
    <col min="2" max="2" width="13.5703125" bestFit="1" customWidth="1"/>
    <col min="3" max="3" width="26.140625" bestFit="1" customWidth="1"/>
    <col min="5" max="5" width="14.5703125" bestFit="1" customWidth="1"/>
    <col min="6" max="6" width="92.42578125" bestFit="1" customWidth="1"/>
    <col min="9" max="9" width="10.28515625" bestFit="1" customWidth="1"/>
    <col min="10" max="10" width="16" bestFit="1" customWidth="1"/>
    <col min="14" max="14" width="11.140625" bestFit="1" customWidth="1"/>
  </cols>
  <sheetData>
    <row r="1" spans="1:1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</row>
    <row r="2" spans="1:11" x14ac:dyDescent="0.25">
      <c r="A2" t="s">
        <v>11</v>
      </c>
      <c r="B2" s="1">
        <v>45646</v>
      </c>
      <c r="C2" t="s">
        <v>12</v>
      </c>
      <c r="D2" t="s">
        <v>13</v>
      </c>
      <c r="E2" t="s">
        <v>3988</v>
      </c>
      <c r="F2" t="s">
        <v>4014</v>
      </c>
      <c r="G2">
        <v>7</v>
      </c>
      <c r="H2">
        <v>568.41</v>
      </c>
      <c r="I2">
        <v>15</v>
      </c>
      <c r="J2" t="s">
        <v>14</v>
      </c>
      <c r="K2">
        <v>3382.04</v>
      </c>
    </row>
    <row r="3" spans="1:11" x14ac:dyDescent="0.25">
      <c r="A3" t="s">
        <v>15</v>
      </c>
      <c r="B3" s="1">
        <v>45236</v>
      </c>
      <c r="C3" t="s">
        <v>16</v>
      </c>
      <c r="D3" t="s">
        <v>13</v>
      </c>
      <c r="E3" t="s">
        <v>29</v>
      </c>
      <c r="F3" t="s">
        <v>4015</v>
      </c>
      <c r="G3">
        <v>4</v>
      </c>
      <c r="H3">
        <v>1309.8800000000001</v>
      </c>
      <c r="I3">
        <v>0</v>
      </c>
      <c r="J3" t="s">
        <v>17</v>
      </c>
      <c r="K3">
        <v>5239.5200000000004</v>
      </c>
    </row>
    <row r="4" spans="1:11" x14ac:dyDescent="0.25">
      <c r="A4" t="s">
        <v>18</v>
      </c>
      <c r="B4" s="1">
        <v>45169</v>
      </c>
      <c r="C4" t="s">
        <v>19</v>
      </c>
      <c r="D4" t="s">
        <v>20</v>
      </c>
      <c r="E4" t="s">
        <v>29</v>
      </c>
      <c r="F4" t="s">
        <v>4016</v>
      </c>
      <c r="G4">
        <v>8</v>
      </c>
      <c r="H4">
        <v>1023.7</v>
      </c>
      <c r="I4">
        <v>15</v>
      </c>
      <c r="J4" t="s">
        <v>21</v>
      </c>
      <c r="K4">
        <v>6961.16</v>
      </c>
    </row>
    <row r="5" spans="1:11" x14ac:dyDescent="0.25">
      <c r="A5" t="s">
        <v>22</v>
      </c>
      <c r="B5" s="1">
        <v>45725</v>
      </c>
      <c r="C5" t="s">
        <v>23</v>
      </c>
      <c r="D5" t="s">
        <v>24</v>
      </c>
      <c r="E5" t="s">
        <v>29</v>
      </c>
      <c r="F5" t="s">
        <v>4017</v>
      </c>
      <c r="G5">
        <v>5</v>
      </c>
      <c r="H5">
        <v>568.74</v>
      </c>
      <c r="I5">
        <v>20</v>
      </c>
      <c r="J5" t="s">
        <v>21</v>
      </c>
      <c r="K5">
        <v>2274.96</v>
      </c>
    </row>
    <row r="6" spans="1:11" x14ac:dyDescent="0.25">
      <c r="A6" t="s">
        <v>25</v>
      </c>
      <c r="B6" s="1">
        <v>45363</v>
      </c>
      <c r="C6" t="s">
        <v>26</v>
      </c>
      <c r="D6" t="s">
        <v>24</v>
      </c>
      <c r="E6" t="s">
        <v>3988</v>
      </c>
      <c r="F6" t="s">
        <v>4018</v>
      </c>
      <c r="G6">
        <v>7</v>
      </c>
      <c r="H6">
        <v>341.01</v>
      </c>
      <c r="I6">
        <v>20</v>
      </c>
      <c r="J6" t="s">
        <v>21</v>
      </c>
      <c r="K6">
        <v>1909.66</v>
      </c>
    </row>
    <row r="7" spans="1:11" x14ac:dyDescent="0.25">
      <c r="A7" t="s">
        <v>27</v>
      </c>
      <c r="B7" s="1">
        <v>45340</v>
      </c>
      <c r="C7" t="s">
        <v>28</v>
      </c>
      <c r="D7" t="s">
        <v>24</v>
      </c>
      <c r="E7" t="s">
        <v>3988</v>
      </c>
      <c r="F7" t="s">
        <v>4019</v>
      </c>
      <c r="G7">
        <v>3</v>
      </c>
      <c r="H7">
        <v>298.04000000000002</v>
      </c>
      <c r="I7">
        <v>0</v>
      </c>
      <c r="J7" t="s">
        <v>21</v>
      </c>
      <c r="K7">
        <v>894.12</v>
      </c>
    </row>
    <row r="8" spans="1:11" x14ac:dyDescent="0.25">
      <c r="A8" t="s">
        <v>30</v>
      </c>
      <c r="B8" s="1">
        <v>45323</v>
      </c>
      <c r="C8" t="s">
        <v>31</v>
      </c>
      <c r="D8" t="s">
        <v>13</v>
      </c>
      <c r="E8" t="s">
        <v>3988</v>
      </c>
      <c r="F8" t="s">
        <v>4020</v>
      </c>
      <c r="G8">
        <v>7</v>
      </c>
      <c r="H8">
        <v>1736.09</v>
      </c>
      <c r="I8">
        <v>15</v>
      </c>
      <c r="J8" t="s">
        <v>17</v>
      </c>
      <c r="K8">
        <v>10329.74</v>
      </c>
    </row>
    <row r="9" spans="1:11" x14ac:dyDescent="0.25">
      <c r="A9" t="s">
        <v>32</v>
      </c>
      <c r="B9" s="1">
        <v>45258</v>
      </c>
      <c r="C9" t="s">
        <v>33</v>
      </c>
      <c r="D9" t="s">
        <v>13</v>
      </c>
      <c r="E9" t="s">
        <v>3988</v>
      </c>
      <c r="F9" t="s">
        <v>4021</v>
      </c>
      <c r="G9">
        <v>8</v>
      </c>
      <c r="H9">
        <v>524.78</v>
      </c>
      <c r="I9">
        <v>20</v>
      </c>
      <c r="J9" t="s">
        <v>21</v>
      </c>
      <c r="K9">
        <v>3358.59</v>
      </c>
    </row>
    <row r="10" spans="1:11" x14ac:dyDescent="0.25">
      <c r="A10" t="s">
        <v>34</v>
      </c>
      <c r="B10" s="1">
        <v>45722</v>
      </c>
      <c r="C10" t="s">
        <v>35</v>
      </c>
      <c r="D10" t="s">
        <v>36</v>
      </c>
      <c r="E10" t="s">
        <v>3988</v>
      </c>
      <c r="F10" t="s">
        <v>4022</v>
      </c>
      <c r="G10">
        <v>5</v>
      </c>
      <c r="H10">
        <v>1320.84</v>
      </c>
      <c r="I10">
        <v>5</v>
      </c>
      <c r="J10" t="s">
        <v>17</v>
      </c>
      <c r="K10">
        <v>6273.99</v>
      </c>
    </row>
    <row r="11" spans="1:11" x14ac:dyDescent="0.25">
      <c r="A11" t="s">
        <v>37</v>
      </c>
      <c r="B11" s="1">
        <v>45229</v>
      </c>
      <c r="C11" t="s">
        <v>38</v>
      </c>
      <c r="D11" t="s">
        <v>13</v>
      </c>
      <c r="E11" t="s">
        <v>3988</v>
      </c>
      <c r="F11" t="s">
        <v>4023</v>
      </c>
      <c r="G11">
        <v>4</v>
      </c>
      <c r="H11">
        <v>1630.84</v>
      </c>
      <c r="I11">
        <v>5</v>
      </c>
      <c r="J11" t="s">
        <v>39</v>
      </c>
      <c r="K11">
        <v>6197.19</v>
      </c>
    </row>
    <row r="12" spans="1:11" x14ac:dyDescent="0.25">
      <c r="A12" t="s">
        <v>40</v>
      </c>
      <c r="B12" s="1">
        <v>45675</v>
      </c>
      <c r="C12" t="s">
        <v>41</v>
      </c>
      <c r="D12" t="s">
        <v>13</v>
      </c>
      <c r="E12" t="s">
        <v>3272</v>
      </c>
      <c r="F12" t="s">
        <v>4024</v>
      </c>
      <c r="G12">
        <v>8</v>
      </c>
      <c r="H12">
        <v>1247.46</v>
      </c>
      <c r="I12">
        <v>15</v>
      </c>
      <c r="J12" t="s">
        <v>17</v>
      </c>
      <c r="K12">
        <v>8482.73</v>
      </c>
    </row>
    <row r="13" spans="1:11" x14ac:dyDescent="0.25">
      <c r="A13" t="s">
        <v>42</v>
      </c>
      <c r="B13" s="1">
        <v>45725</v>
      </c>
      <c r="C13" t="s">
        <v>43</v>
      </c>
      <c r="D13" t="s">
        <v>13</v>
      </c>
      <c r="E13" t="s">
        <v>29</v>
      </c>
      <c r="F13" t="s">
        <v>4025</v>
      </c>
      <c r="G13">
        <v>8</v>
      </c>
      <c r="H13">
        <v>1726.15</v>
      </c>
      <c r="I13">
        <v>0</v>
      </c>
      <c r="J13" t="s">
        <v>14</v>
      </c>
      <c r="K13">
        <v>13809.2</v>
      </c>
    </row>
    <row r="14" spans="1:11" x14ac:dyDescent="0.25">
      <c r="A14" t="s">
        <v>44</v>
      </c>
      <c r="B14" s="1">
        <v>45842</v>
      </c>
      <c r="C14" t="s">
        <v>45</v>
      </c>
      <c r="D14" t="s">
        <v>24</v>
      </c>
      <c r="E14" t="s">
        <v>3272</v>
      </c>
      <c r="F14" t="s">
        <v>4026</v>
      </c>
      <c r="G14">
        <v>3</v>
      </c>
      <c r="H14">
        <v>815.17</v>
      </c>
      <c r="I14">
        <v>20</v>
      </c>
      <c r="J14" t="s">
        <v>39</v>
      </c>
      <c r="K14">
        <v>1956.41</v>
      </c>
    </row>
    <row r="15" spans="1:11" x14ac:dyDescent="0.25">
      <c r="A15" t="s">
        <v>46</v>
      </c>
      <c r="B15" s="1">
        <v>45573</v>
      </c>
      <c r="C15" t="s">
        <v>47</v>
      </c>
      <c r="D15" t="s">
        <v>24</v>
      </c>
      <c r="E15" t="s">
        <v>29</v>
      </c>
      <c r="F15" t="s">
        <v>4025</v>
      </c>
      <c r="G15">
        <v>6</v>
      </c>
      <c r="H15">
        <v>1914.63</v>
      </c>
      <c r="I15">
        <v>0</v>
      </c>
      <c r="J15" t="s">
        <v>17</v>
      </c>
      <c r="K15">
        <v>11487.78</v>
      </c>
    </row>
    <row r="16" spans="1:11" x14ac:dyDescent="0.25">
      <c r="A16" t="s">
        <v>48</v>
      </c>
      <c r="B16" s="1">
        <v>45217</v>
      </c>
      <c r="C16" t="s">
        <v>49</v>
      </c>
      <c r="D16" t="s">
        <v>13</v>
      </c>
      <c r="E16" t="s">
        <v>3988</v>
      </c>
      <c r="F16" t="s">
        <v>4027</v>
      </c>
      <c r="G16">
        <v>5</v>
      </c>
      <c r="H16">
        <v>309.63</v>
      </c>
      <c r="I16">
        <v>5</v>
      </c>
      <c r="J16" t="s">
        <v>17</v>
      </c>
      <c r="K16">
        <v>1470.74</v>
      </c>
    </row>
    <row r="17" spans="1:11" x14ac:dyDescent="0.25">
      <c r="A17" t="s">
        <v>50</v>
      </c>
      <c r="B17" s="1">
        <v>45608</v>
      </c>
      <c r="C17" t="s">
        <v>51</v>
      </c>
      <c r="D17" t="s">
        <v>24</v>
      </c>
      <c r="E17" t="s">
        <v>3272</v>
      </c>
      <c r="F17" t="s">
        <v>4026</v>
      </c>
      <c r="G17">
        <v>2</v>
      </c>
      <c r="H17">
        <v>249.19</v>
      </c>
      <c r="I17">
        <v>20</v>
      </c>
      <c r="J17" t="s">
        <v>17</v>
      </c>
      <c r="K17">
        <v>398.7</v>
      </c>
    </row>
    <row r="18" spans="1:11" x14ac:dyDescent="0.25">
      <c r="A18" t="s">
        <v>52</v>
      </c>
      <c r="B18" s="1">
        <v>45477</v>
      </c>
      <c r="C18" t="s">
        <v>53</v>
      </c>
      <c r="D18" t="s">
        <v>36</v>
      </c>
      <c r="E18" t="s">
        <v>3988</v>
      </c>
      <c r="F18" t="s">
        <v>4028</v>
      </c>
      <c r="G18">
        <v>8</v>
      </c>
      <c r="H18">
        <v>1334.45</v>
      </c>
      <c r="I18">
        <v>0</v>
      </c>
      <c r="J18" t="s">
        <v>17</v>
      </c>
      <c r="K18">
        <v>10675.6</v>
      </c>
    </row>
    <row r="19" spans="1:11" x14ac:dyDescent="0.25">
      <c r="A19" t="s">
        <v>54</v>
      </c>
      <c r="B19" s="1">
        <v>45174</v>
      </c>
      <c r="C19" t="s">
        <v>55</v>
      </c>
      <c r="D19" t="s">
        <v>24</v>
      </c>
      <c r="E19" t="s">
        <v>3988</v>
      </c>
      <c r="F19" t="s">
        <v>4029</v>
      </c>
      <c r="G19">
        <v>6</v>
      </c>
      <c r="H19">
        <v>1888.52</v>
      </c>
      <c r="I19">
        <v>10</v>
      </c>
      <c r="J19" t="s">
        <v>17</v>
      </c>
      <c r="K19">
        <v>10198.01</v>
      </c>
    </row>
    <row r="20" spans="1:11" x14ac:dyDescent="0.25">
      <c r="A20" t="s">
        <v>56</v>
      </c>
      <c r="B20" s="1">
        <v>45173</v>
      </c>
      <c r="C20" t="s">
        <v>57</v>
      </c>
      <c r="D20" t="s">
        <v>36</v>
      </c>
      <c r="E20" t="s">
        <v>29</v>
      </c>
      <c r="F20" t="s">
        <v>4030</v>
      </c>
      <c r="G20">
        <v>2</v>
      </c>
      <c r="H20">
        <v>1627.32</v>
      </c>
      <c r="I20">
        <v>15</v>
      </c>
      <c r="J20" t="s">
        <v>17</v>
      </c>
      <c r="K20">
        <v>2766.44</v>
      </c>
    </row>
    <row r="21" spans="1:11" x14ac:dyDescent="0.25">
      <c r="A21" t="s">
        <v>58</v>
      </c>
      <c r="B21" s="1">
        <v>45222</v>
      </c>
      <c r="C21" t="s">
        <v>59</v>
      </c>
      <c r="D21" t="s">
        <v>20</v>
      </c>
      <c r="E21" t="s">
        <v>3988</v>
      </c>
      <c r="F21" t="s">
        <v>4031</v>
      </c>
      <c r="G21">
        <v>5</v>
      </c>
      <c r="H21">
        <v>199.01</v>
      </c>
      <c r="I21">
        <v>15</v>
      </c>
      <c r="J21" t="s">
        <v>14</v>
      </c>
      <c r="K21">
        <v>845.79</v>
      </c>
    </row>
    <row r="22" spans="1:11" x14ac:dyDescent="0.25">
      <c r="A22" t="s">
        <v>60</v>
      </c>
      <c r="B22" s="1">
        <v>45319</v>
      </c>
      <c r="C22" t="s">
        <v>61</v>
      </c>
      <c r="D22" t="s">
        <v>13</v>
      </c>
      <c r="E22" t="s">
        <v>3272</v>
      </c>
      <c r="F22" t="s">
        <v>4032</v>
      </c>
      <c r="G22">
        <v>1</v>
      </c>
      <c r="H22">
        <v>594.77</v>
      </c>
      <c r="I22">
        <v>10</v>
      </c>
      <c r="J22" t="s">
        <v>14</v>
      </c>
      <c r="K22">
        <v>535.29</v>
      </c>
    </row>
    <row r="23" spans="1:11" x14ac:dyDescent="0.25">
      <c r="A23" t="s">
        <v>62</v>
      </c>
      <c r="B23" s="1">
        <v>45330</v>
      </c>
      <c r="C23" t="s">
        <v>63</v>
      </c>
      <c r="D23" t="s">
        <v>24</v>
      </c>
      <c r="E23" t="s">
        <v>3272</v>
      </c>
      <c r="F23" t="s">
        <v>4007</v>
      </c>
      <c r="G23">
        <v>6</v>
      </c>
      <c r="H23">
        <v>1864.12</v>
      </c>
      <c r="I23">
        <v>5</v>
      </c>
      <c r="J23" t="s">
        <v>14</v>
      </c>
      <c r="K23">
        <v>10625.48</v>
      </c>
    </row>
    <row r="24" spans="1:11" x14ac:dyDescent="0.25">
      <c r="A24" t="s">
        <v>64</v>
      </c>
      <c r="B24" s="1">
        <v>45542</v>
      </c>
      <c r="C24" t="s">
        <v>65</v>
      </c>
      <c r="D24" t="s">
        <v>36</v>
      </c>
      <c r="E24" t="s">
        <v>3272</v>
      </c>
      <c r="F24" t="s">
        <v>4033</v>
      </c>
      <c r="G24">
        <v>9</v>
      </c>
      <c r="H24">
        <v>543.46</v>
      </c>
      <c r="I24">
        <v>20</v>
      </c>
      <c r="J24" t="s">
        <v>17</v>
      </c>
      <c r="K24">
        <v>3912.91</v>
      </c>
    </row>
    <row r="25" spans="1:11" x14ac:dyDescent="0.25">
      <c r="A25" t="s">
        <v>66</v>
      </c>
      <c r="B25" s="1">
        <v>45617</v>
      </c>
      <c r="C25" t="s">
        <v>67</v>
      </c>
      <c r="D25" t="s">
        <v>20</v>
      </c>
      <c r="E25" t="s">
        <v>3988</v>
      </c>
      <c r="F25" t="s">
        <v>4034</v>
      </c>
      <c r="G25">
        <v>1</v>
      </c>
      <c r="H25">
        <v>1573.28</v>
      </c>
      <c r="I25">
        <v>15</v>
      </c>
      <c r="J25" t="s">
        <v>39</v>
      </c>
      <c r="K25">
        <v>1337.29</v>
      </c>
    </row>
    <row r="26" spans="1:11" x14ac:dyDescent="0.25">
      <c r="A26" t="s">
        <v>68</v>
      </c>
      <c r="B26" s="1">
        <v>45170</v>
      </c>
      <c r="C26" t="s">
        <v>69</v>
      </c>
      <c r="D26" t="s">
        <v>20</v>
      </c>
      <c r="E26" t="s">
        <v>3988</v>
      </c>
      <c r="F26" t="s">
        <v>4035</v>
      </c>
      <c r="G26">
        <v>3</v>
      </c>
      <c r="H26">
        <v>1659.01</v>
      </c>
      <c r="I26">
        <v>10</v>
      </c>
      <c r="J26" t="s">
        <v>14</v>
      </c>
      <c r="K26">
        <v>4479.33</v>
      </c>
    </row>
    <row r="27" spans="1:11" x14ac:dyDescent="0.25">
      <c r="A27" t="s">
        <v>70</v>
      </c>
      <c r="B27" s="1">
        <v>45585</v>
      </c>
      <c r="C27" t="s">
        <v>71</v>
      </c>
      <c r="D27" t="s">
        <v>24</v>
      </c>
      <c r="E27" t="s">
        <v>3272</v>
      </c>
      <c r="F27" t="s">
        <v>4036</v>
      </c>
      <c r="G27">
        <v>7</v>
      </c>
      <c r="H27">
        <v>1016.13</v>
      </c>
      <c r="I27">
        <v>10</v>
      </c>
      <c r="J27" t="s">
        <v>21</v>
      </c>
      <c r="K27">
        <v>6401.62</v>
      </c>
    </row>
    <row r="28" spans="1:11" x14ac:dyDescent="0.25">
      <c r="A28" t="s">
        <v>72</v>
      </c>
      <c r="B28" s="1">
        <v>45304</v>
      </c>
      <c r="C28" t="s">
        <v>73</v>
      </c>
      <c r="D28" t="s">
        <v>24</v>
      </c>
      <c r="E28" t="s">
        <v>3272</v>
      </c>
      <c r="F28" t="s">
        <v>4037</v>
      </c>
      <c r="G28">
        <v>4</v>
      </c>
      <c r="H28">
        <v>803.38</v>
      </c>
      <c r="I28">
        <v>5</v>
      </c>
      <c r="J28" t="s">
        <v>21</v>
      </c>
      <c r="K28">
        <v>3052.84</v>
      </c>
    </row>
    <row r="29" spans="1:11" x14ac:dyDescent="0.25">
      <c r="A29" t="s">
        <v>74</v>
      </c>
      <c r="B29" s="1">
        <v>45706</v>
      </c>
      <c r="C29" t="s">
        <v>75</v>
      </c>
      <c r="D29" t="s">
        <v>20</v>
      </c>
      <c r="E29" t="s">
        <v>3272</v>
      </c>
      <c r="F29" t="s">
        <v>4038</v>
      </c>
      <c r="G29">
        <v>9</v>
      </c>
      <c r="H29">
        <v>927.74</v>
      </c>
      <c r="I29">
        <v>5</v>
      </c>
      <c r="J29" t="s">
        <v>17</v>
      </c>
      <c r="K29">
        <v>7932.18</v>
      </c>
    </row>
    <row r="30" spans="1:11" x14ac:dyDescent="0.25">
      <c r="A30" t="s">
        <v>76</v>
      </c>
      <c r="B30" s="1">
        <v>45654</v>
      </c>
      <c r="C30" t="s">
        <v>77</v>
      </c>
      <c r="D30" t="s">
        <v>13</v>
      </c>
      <c r="E30" t="s">
        <v>3988</v>
      </c>
      <c r="F30" t="s">
        <v>4039</v>
      </c>
      <c r="G30">
        <v>3</v>
      </c>
      <c r="H30">
        <v>492.58</v>
      </c>
      <c r="I30">
        <v>0</v>
      </c>
      <c r="J30" t="s">
        <v>39</v>
      </c>
      <c r="K30">
        <v>1477.74</v>
      </c>
    </row>
    <row r="31" spans="1:11" x14ac:dyDescent="0.25">
      <c r="A31" t="s">
        <v>78</v>
      </c>
      <c r="B31" s="1">
        <v>45694</v>
      </c>
      <c r="C31" t="s">
        <v>79</v>
      </c>
      <c r="D31" t="s">
        <v>13</v>
      </c>
      <c r="E31" t="s">
        <v>3988</v>
      </c>
      <c r="F31" t="s">
        <v>4040</v>
      </c>
      <c r="G31">
        <v>5</v>
      </c>
      <c r="H31">
        <v>1784.31</v>
      </c>
      <c r="I31">
        <v>15</v>
      </c>
      <c r="J31" t="s">
        <v>14</v>
      </c>
      <c r="K31">
        <v>7583.32</v>
      </c>
    </row>
    <row r="32" spans="1:11" x14ac:dyDescent="0.25">
      <c r="A32" t="s">
        <v>80</v>
      </c>
      <c r="B32" s="1">
        <v>45573</v>
      </c>
      <c r="C32" t="s">
        <v>81</v>
      </c>
      <c r="D32" t="s">
        <v>36</v>
      </c>
      <c r="E32" t="s">
        <v>3988</v>
      </c>
      <c r="F32" t="s">
        <v>4041</v>
      </c>
      <c r="G32">
        <v>3</v>
      </c>
      <c r="H32">
        <v>928.71</v>
      </c>
      <c r="I32">
        <v>0</v>
      </c>
      <c r="J32" t="s">
        <v>17</v>
      </c>
      <c r="K32">
        <v>2786.13</v>
      </c>
    </row>
    <row r="33" spans="1:11" x14ac:dyDescent="0.25">
      <c r="A33" t="s">
        <v>82</v>
      </c>
      <c r="B33" s="1">
        <v>45475</v>
      </c>
      <c r="C33" t="s">
        <v>83</v>
      </c>
      <c r="D33" t="s">
        <v>13</v>
      </c>
      <c r="E33" t="s">
        <v>3988</v>
      </c>
      <c r="F33" t="s">
        <v>4042</v>
      </c>
      <c r="G33">
        <v>7</v>
      </c>
      <c r="H33">
        <v>1770.8</v>
      </c>
      <c r="I33">
        <v>10</v>
      </c>
      <c r="J33" t="s">
        <v>39</v>
      </c>
      <c r="K33">
        <v>11156.04</v>
      </c>
    </row>
    <row r="34" spans="1:11" x14ac:dyDescent="0.25">
      <c r="A34" t="s">
        <v>84</v>
      </c>
      <c r="B34" s="1">
        <v>45321</v>
      </c>
      <c r="C34" t="s">
        <v>85</v>
      </c>
      <c r="D34" t="s">
        <v>20</v>
      </c>
      <c r="E34" t="s">
        <v>3988</v>
      </c>
      <c r="F34" t="s">
        <v>4043</v>
      </c>
      <c r="G34">
        <v>5</v>
      </c>
      <c r="H34">
        <v>256.10000000000002</v>
      </c>
      <c r="I34">
        <v>20</v>
      </c>
      <c r="J34" t="s">
        <v>21</v>
      </c>
      <c r="K34">
        <v>1024.4000000000001</v>
      </c>
    </row>
    <row r="35" spans="1:11" x14ac:dyDescent="0.25">
      <c r="A35" t="s">
        <v>86</v>
      </c>
      <c r="B35" s="1">
        <v>45498</v>
      </c>
      <c r="C35" t="s">
        <v>87</v>
      </c>
      <c r="D35" t="s">
        <v>20</v>
      </c>
      <c r="E35" t="s">
        <v>3988</v>
      </c>
      <c r="F35" t="s">
        <v>4044</v>
      </c>
      <c r="G35">
        <v>9</v>
      </c>
      <c r="H35">
        <v>1977.14</v>
      </c>
      <c r="I35">
        <v>20</v>
      </c>
      <c r="J35" t="s">
        <v>14</v>
      </c>
      <c r="K35">
        <v>14235.41</v>
      </c>
    </row>
    <row r="36" spans="1:11" x14ac:dyDescent="0.25">
      <c r="A36" t="s">
        <v>88</v>
      </c>
      <c r="B36" s="1">
        <v>45607</v>
      </c>
      <c r="C36" t="s">
        <v>89</v>
      </c>
      <c r="D36" t="s">
        <v>20</v>
      </c>
      <c r="E36" t="s">
        <v>3272</v>
      </c>
      <c r="F36" t="s">
        <v>4045</v>
      </c>
      <c r="G36">
        <v>7</v>
      </c>
      <c r="H36">
        <v>914.38</v>
      </c>
      <c r="I36">
        <v>5</v>
      </c>
      <c r="J36" t="s">
        <v>17</v>
      </c>
      <c r="K36">
        <v>6080.63</v>
      </c>
    </row>
    <row r="37" spans="1:11" x14ac:dyDescent="0.25">
      <c r="A37" t="s">
        <v>90</v>
      </c>
      <c r="B37" s="1">
        <v>45366</v>
      </c>
      <c r="C37" t="s">
        <v>91</v>
      </c>
      <c r="D37" t="s">
        <v>13</v>
      </c>
      <c r="E37" t="s">
        <v>3988</v>
      </c>
      <c r="F37" t="s">
        <v>4046</v>
      </c>
      <c r="G37">
        <v>2</v>
      </c>
      <c r="H37">
        <v>143.27000000000001</v>
      </c>
      <c r="I37">
        <v>20</v>
      </c>
      <c r="J37" t="s">
        <v>17</v>
      </c>
      <c r="K37">
        <v>229.23</v>
      </c>
    </row>
    <row r="38" spans="1:11" x14ac:dyDescent="0.25">
      <c r="A38" t="s">
        <v>92</v>
      </c>
      <c r="B38" s="1">
        <v>45778</v>
      </c>
      <c r="C38" t="s">
        <v>93</v>
      </c>
      <c r="D38" t="s">
        <v>36</v>
      </c>
      <c r="E38" t="s">
        <v>29</v>
      </c>
      <c r="F38" t="s">
        <v>4047</v>
      </c>
      <c r="G38">
        <v>4</v>
      </c>
      <c r="H38">
        <v>124.14</v>
      </c>
      <c r="I38">
        <v>20</v>
      </c>
      <c r="J38" t="s">
        <v>39</v>
      </c>
      <c r="K38">
        <v>397.25</v>
      </c>
    </row>
    <row r="39" spans="1:11" x14ac:dyDescent="0.25">
      <c r="A39" t="s">
        <v>94</v>
      </c>
      <c r="B39" s="1">
        <v>45825</v>
      </c>
      <c r="C39" t="s">
        <v>95</v>
      </c>
      <c r="D39" t="s">
        <v>13</v>
      </c>
      <c r="E39" t="s">
        <v>29</v>
      </c>
      <c r="F39" t="s">
        <v>4048</v>
      </c>
      <c r="G39">
        <v>9</v>
      </c>
      <c r="H39">
        <v>1505.1</v>
      </c>
      <c r="I39">
        <v>20</v>
      </c>
      <c r="J39" t="s">
        <v>17</v>
      </c>
      <c r="K39">
        <v>10836.72</v>
      </c>
    </row>
    <row r="40" spans="1:11" x14ac:dyDescent="0.25">
      <c r="A40" t="s">
        <v>96</v>
      </c>
      <c r="B40" s="1">
        <v>45155</v>
      </c>
      <c r="C40" t="s">
        <v>97</v>
      </c>
      <c r="D40" t="s">
        <v>36</v>
      </c>
      <c r="E40" t="s">
        <v>3988</v>
      </c>
      <c r="F40" t="s">
        <v>4046</v>
      </c>
      <c r="G40">
        <v>2</v>
      </c>
      <c r="H40">
        <v>1335.12</v>
      </c>
      <c r="I40">
        <v>10</v>
      </c>
      <c r="J40" t="s">
        <v>17</v>
      </c>
      <c r="K40">
        <v>2403.2199999999998</v>
      </c>
    </row>
    <row r="41" spans="1:11" x14ac:dyDescent="0.25">
      <c r="A41" t="s">
        <v>98</v>
      </c>
      <c r="B41" s="1">
        <v>45739</v>
      </c>
      <c r="C41" t="s">
        <v>99</v>
      </c>
      <c r="D41" t="s">
        <v>13</v>
      </c>
      <c r="E41" t="s">
        <v>29</v>
      </c>
      <c r="F41" t="s">
        <v>4049</v>
      </c>
      <c r="G41">
        <v>9</v>
      </c>
      <c r="H41">
        <v>1614.15</v>
      </c>
      <c r="I41">
        <v>20</v>
      </c>
      <c r="J41" t="s">
        <v>14</v>
      </c>
      <c r="K41">
        <v>11621.88</v>
      </c>
    </row>
    <row r="42" spans="1:11" x14ac:dyDescent="0.25">
      <c r="A42" t="s">
        <v>100</v>
      </c>
      <c r="B42" s="1">
        <v>45775</v>
      </c>
      <c r="C42" t="s">
        <v>101</v>
      </c>
      <c r="D42" t="s">
        <v>20</v>
      </c>
      <c r="E42" t="s">
        <v>29</v>
      </c>
      <c r="F42" t="s">
        <v>4049</v>
      </c>
      <c r="G42">
        <v>5</v>
      </c>
      <c r="H42">
        <v>255.47</v>
      </c>
      <c r="I42">
        <v>20</v>
      </c>
      <c r="J42" t="s">
        <v>21</v>
      </c>
      <c r="K42">
        <v>1021.88</v>
      </c>
    </row>
    <row r="43" spans="1:11" x14ac:dyDescent="0.25">
      <c r="A43" t="s">
        <v>102</v>
      </c>
      <c r="B43" s="1">
        <v>45274</v>
      </c>
      <c r="C43" t="s">
        <v>103</v>
      </c>
      <c r="D43" t="s">
        <v>20</v>
      </c>
      <c r="E43" t="s">
        <v>29</v>
      </c>
      <c r="F43" t="s">
        <v>4050</v>
      </c>
      <c r="G43">
        <v>2</v>
      </c>
      <c r="H43">
        <v>119.36</v>
      </c>
      <c r="I43">
        <v>20</v>
      </c>
      <c r="J43" t="s">
        <v>21</v>
      </c>
      <c r="K43">
        <v>190.98</v>
      </c>
    </row>
    <row r="44" spans="1:11" x14ac:dyDescent="0.25">
      <c r="A44" t="s">
        <v>104</v>
      </c>
      <c r="B44" s="1">
        <v>45692</v>
      </c>
      <c r="C44" t="s">
        <v>105</v>
      </c>
      <c r="D44" t="s">
        <v>24</v>
      </c>
      <c r="E44" t="s">
        <v>29</v>
      </c>
      <c r="F44" t="s">
        <v>4051</v>
      </c>
      <c r="G44">
        <v>4</v>
      </c>
      <c r="H44">
        <v>1041.73</v>
      </c>
      <c r="I44">
        <v>0</v>
      </c>
      <c r="J44" t="s">
        <v>39</v>
      </c>
      <c r="K44">
        <v>4166.92</v>
      </c>
    </row>
    <row r="45" spans="1:11" x14ac:dyDescent="0.25">
      <c r="A45" t="s">
        <v>106</v>
      </c>
      <c r="B45" s="1">
        <v>45478</v>
      </c>
      <c r="C45" t="s">
        <v>107</v>
      </c>
      <c r="D45" t="s">
        <v>13</v>
      </c>
      <c r="E45" t="s">
        <v>3988</v>
      </c>
      <c r="F45" t="s">
        <v>4052</v>
      </c>
      <c r="G45">
        <v>7</v>
      </c>
      <c r="H45">
        <v>805.81</v>
      </c>
      <c r="I45">
        <v>10</v>
      </c>
      <c r="J45" t="s">
        <v>21</v>
      </c>
      <c r="K45">
        <v>5076.6000000000004</v>
      </c>
    </row>
    <row r="46" spans="1:11" x14ac:dyDescent="0.25">
      <c r="A46" t="s">
        <v>108</v>
      </c>
      <c r="B46" s="1">
        <v>45414</v>
      </c>
      <c r="C46" t="s">
        <v>109</v>
      </c>
      <c r="D46" t="s">
        <v>13</v>
      </c>
      <c r="E46" t="s">
        <v>3988</v>
      </c>
      <c r="F46" t="s">
        <v>4053</v>
      </c>
      <c r="G46">
        <v>8</v>
      </c>
      <c r="H46">
        <v>950.8</v>
      </c>
      <c r="I46">
        <v>5</v>
      </c>
      <c r="J46" t="s">
        <v>39</v>
      </c>
      <c r="K46">
        <v>7226.08</v>
      </c>
    </row>
    <row r="47" spans="1:11" x14ac:dyDescent="0.25">
      <c r="A47" t="s">
        <v>110</v>
      </c>
      <c r="B47" s="1">
        <v>45365</v>
      </c>
      <c r="C47" t="s">
        <v>111</v>
      </c>
      <c r="D47" t="s">
        <v>24</v>
      </c>
      <c r="E47" t="s">
        <v>3988</v>
      </c>
      <c r="F47" t="s">
        <v>4054</v>
      </c>
      <c r="G47">
        <v>3</v>
      </c>
      <c r="H47">
        <v>1983.6</v>
      </c>
      <c r="I47">
        <v>0</v>
      </c>
      <c r="J47" t="s">
        <v>14</v>
      </c>
      <c r="K47">
        <v>5950.8</v>
      </c>
    </row>
    <row r="48" spans="1:11" x14ac:dyDescent="0.25">
      <c r="A48" t="s">
        <v>112</v>
      </c>
      <c r="B48" s="1">
        <v>45270</v>
      </c>
      <c r="C48" t="s">
        <v>113</v>
      </c>
      <c r="D48" t="s">
        <v>20</v>
      </c>
      <c r="E48" t="s">
        <v>29</v>
      </c>
      <c r="F48" t="s">
        <v>4050</v>
      </c>
      <c r="G48">
        <v>1</v>
      </c>
      <c r="H48">
        <v>1942.96</v>
      </c>
      <c r="I48">
        <v>15</v>
      </c>
      <c r="J48" t="s">
        <v>39</v>
      </c>
      <c r="K48">
        <v>1651.52</v>
      </c>
    </row>
    <row r="49" spans="1:11" x14ac:dyDescent="0.25">
      <c r="A49" t="s">
        <v>114</v>
      </c>
      <c r="B49" s="1">
        <v>45317</v>
      </c>
      <c r="C49" t="s">
        <v>115</v>
      </c>
      <c r="D49" t="s">
        <v>13</v>
      </c>
      <c r="E49" t="s">
        <v>3988</v>
      </c>
      <c r="F49" t="s">
        <v>4055</v>
      </c>
      <c r="G49">
        <v>4</v>
      </c>
      <c r="H49">
        <v>1887.52</v>
      </c>
      <c r="I49">
        <v>10</v>
      </c>
      <c r="J49" t="s">
        <v>21</v>
      </c>
      <c r="K49">
        <v>6795.07</v>
      </c>
    </row>
    <row r="50" spans="1:11" x14ac:dyDescent="0.25">
      <c r="A50" t="s">
        <v>116</v>
      </c>
      <c r="B50" s="1">
        <v>45743</v>
      </c>
      <c r="C50" t="s">
        <v>117</v>
      </c>
      <c r="D50" t="s">
        <v>24</v>
      </c>
      <c r="E50" t="s">
        <v>3988</v>
      </c>
      <c r="F50" t="s">
        <v>4056</v>
      </c>
      <c r="G50">
        <v>2</v>
      </c>
      <c r="H50">
        <v>1578.49</v>
      </c>
      <c r="I50">
        <v>10</v>
      </c>
      <c r="J50" t="s">
        <v>17</v>
      </c>
      <c r="K50">
        <v>2841.28</v>
      </c>
    </row>
    <row r="51" spans="1:11" x14ac:dyDescent="0.25">
      <c r="A51" t="s">
        <v>118</v>
      </c>
      <c r="B51" s="1">
        <v>45411</v>
      </c>
      <c r="C51" t="s">
        <v>119</v>
      </c>
      <c r="D51" t="s">
        <v>13</v>
      </c>
      <c r="E51" t="s">
        <v>3272</v>
      </c>
      <c r="F51" t="s">
        <v>4057</v>
      </c>
      <c r="G51">
        <v>8</v>
      </c>
      <c r="H51">
        <v>741.94</v>
      </c>
      <c r="I51">
        <v>15</v>
      </c>
      <c r="J51" t="s">
        <v>14</v>
      </c>
      <c r="K51">
        <v>5045.1899999999996</v>
      </c>
    </row>
    <row r="52" spans="1:11" x14ac:dyDescent="0.25">
      <c r="A52" t="s">
        <v>120</v>
      </c>
      <c r="B52" s="1">
        <v>45229</v>
      </c>
      <c r="C52" t="s">
        <v>121</v>
      </c>
      <c r="D52" t="s">
        <v>36</v>
      </c>
      <c r="E52" t="s">
        <v>3988</v>
      </c>
      <c r="F52" t="s">
        <v>4058</v>
      </c>
      <c r="G52">
        <v>4</v>
      </c>
      <c r="H52">
        <v>853.66</v>
      </c>
      <c r="I52">
        <v>15</v>
      </c>
      <c r="J52" t="s">
        <v>21</v>
      </c>
      <c r="K52">
        <v>2902.44</v>
      </c>
    </row>
    <row r="53" spans="1:11" x14ac:dyDescent="0.25">
      <c r="A53" t="s">
        <v>122</v>
      </c>
      <c r="B53" s="1">
        <v>45222</v>
      </c>
      <c r="C53" t="s">
        <v>123</v>
      </c>
      <c r="D53" t="s">
        <v>20</v>
      </c>
      <c r="E53" t="s">
        <v>3988</v>
      </c>
      <c r="F53" t="s">
        <v>4059</v>
      </c>
      <c r="G53">
        <v>2</v>
      </c>
      <c r="H53">
        <v>1121.75</v>
      </c>
      <c r="I53">
        <v>15</v>
      </c>
      <c r="J53" t="s">
        <v>14</v>
      </c>
      <c r="K53">
        <v>1906.98</v>
      </c>
    </row>
    <row r="54" spans="1:11" x14ac:dyDescent="0.25">
      <c r="A54" t="s">
        <v>124</v>
      </c>
      <c r="B54" s="1">
        <v>45445</v>
      </c>
      <c r="C54" t="s">
        <v>125</v>
      </c>
      <c r="D54" t="s">
        <v>36</v>
      </c>
      <c r="E54" t="s">
        <v>3988</v>
      </c>
      <c r="F54" t="s">
        <v>4060</v>
      </c>
      <c r="G54">
        <v>6</v>
      </c>
      <c r="H54">
        <v>1669.54</v>
      </c>
      <c r="I54">
        <v>5</v>
      </c>
      <c r="J54" t="s">
        <v>39</v>
      </c>
      <c r="K54">
        <v>9516.3799999999992</v>
      </c>
    </row>
    <row r="55" spans="1:11" x14ac:dyDescent="0.25">
      <c r="A55" t="s">
        <v>126</v>
      </c>
      <c r="B55" s="1">
        <v>45225</v>
      </c>
      <c r="C55" t="s">
        <v>127</v>
      </c>
      <c r="D55" t="s">
        <v>20</v>
      </c>
      <c r="E55" t="s">
        <v>29</v>
      </c>
      <c r="F55" t="s">
        <v>4061</v>
      </c>
      <c r="G55">
        <v>6</v>
      </c>
      <c r="H55">
        <v>183.99</v>
      </c>
      <c r="I55">
        <v>20</v>
      </c>
      <c r="J55" t="s">
        <v>21</v>
      </c>
      <c r="K55">
        <v>883.15</v>
      </c>
    </row>
    <row r="56" spans="1:11" x14ac:dyDescent="0.25">
      <c r="A56" t="s">
        <v>128</v>
      </c>
      <c r="B56" s="1">
        <v>45428</v>
      </c>
      <c r="C56" t="s">
        <v>129</v>
      </c>
      <c r="D56" t="s">
        <v>24</v>
      </c>
      <c r="E56" t="s">
        <v>3272</v>
      </c>
      <c r="F56" t="s">
        <v>4062</v>
      </c>
      <c r="G56">
        <v>4</v>
      </c>
      <c r="H56">
        <v>877.38</v>
      </c>
      <c r="I56">
        <v>10</v>
      </c>
      <c r="J56" t="s">
        <v>17</v>
      </c>
      <c r="K56">
        <v>3158.57</v>
      </c>
    </row>
    <row r="57" spans="1:11" x14ac:dyDescent="0.25">
      <c r="A57" t="s">
        <v>130</v>
      </c>
      <c r="B57" s="1">
        <v>45808</v>
      </c>
      <c r="C57" t="s">
        <v>131</v>
      </c>
      <c r="D57" t="s">
        <v>20</v>
      </c>
      <c r="E57" t="s">
        <v>29</v>
      </c>
      <c r="F57" t="s">
        <v>4061</v>
      </c>
      <c r="G57">
        <v>6</v>
      </c>
      <c r="H57">
        <v>211.1</v>
      </c>
      <c r="I57">
        <v>20</v>
      </c>
      <c r="J57" t="s">
        <v>17</v>
      </c>
      <c r="K57">
        <v>1013.28</v>
      </c>
    </row>
    <row r="58" spans="1:11" x14ac:dyDescent="0.25">
      <c r="A58" t="s">
        <v>132</v>
      </c>
      <c r="B58" s="1">
        <v>45417</v>
      </c>
      <c r="C58" t="s">
        <v>133</v>
      </c>
      <c r="D58" t="s">
        <v>20</v>
      </c>
      <c r="E58" t="s">
        <v>3272</v>
      </c>
      <c r="F58" t="s">
        <v>4063</v>
      </c>
      <c r="G58">
        <v>2</v>
      </c>
      <c r="H58">
        <v>1053.58</v>
      </c>
      <c r="I58">
        <v>20</v>
      </c>
      <c r="J58" t="s">
        <v>17</v>
      </c>
      <c r="K58">
        <v>1685.73</v>
      </c>
    </row>
    <row r="59" spans="1:11" x14ac:dyDescent="0.25">
      <c r="A59" t="s">
        <v>134</v>
      </c>
      <c r="B59" s="1">
        <v>45618</v>
      </c>
      <c r="C59" t="s">
        <v>135</v>
      </c>
      <c r="D59" t="s">
        <v>24</v>
      </c>
      <c r="E59" t="s">
        <v>3272</v>
      </c>
      <c r="F59" t="s">
        <v>4064</v>
      </c>
      <c r="G59">
        <v>2</v>
      </c>
      <c r="H59">
        <v>1802.86</v>
      </c>
      <c r="I59">
        <v>15</v>
      </c>
      <c r="J59" t="s">
        <v>17</v>
      </c>
      <c r="K59">
        <v>3064.86</v>
      </c>
    </row>
    <row r="60" spans="1:11" x14ac:dyDescent="0.25">
      <c r="A60" t="s">
        <v>136</v>
      </c>
      <c r="B60" s="1">
        <v>45355</v>
      </c>
      <c r="C60" t="s">
        <v>137</v>
      </c>
      <c r="D60" t="s">
        <v>20</v>
      </c>
      <c r="E60" t="s">
        <v>29</v>
      </c>
      <c r="F60" t="s">
        <v>4065</v>
      </c>
      <c r="G60">
        <v>4</v>
      </c>
      <c r="H60">
        <v>1575.85</v>
      </c>
      <c r="I60">
        <v>5</v>
      </c>
      <c r="J60" t="s">
        <v>14</v>
      </c>
      <c r="K60">
        <v>5988.23</v>
      </c>
    </row>
    <row r="61" spans="1:11" x14ac:dyDescent="0.25">
      <c r="A61" t="s">
        <v>138</v>
      </c>
      <c r="B61" s="1">
        <v>45776</v>
      </c>
      <c r="C61" t="s">
        <v>139</v>
      </c>
      <c r="D61" t="s">
        <v>13</v>
      </c>
      <c r="E61" t="s">
        <v>3272</v>
      </c>
      <c r="F61" t="s">
        <v>4064</v>
      </c>
      <c r="G61">
        <v>8</v>
      </c>
      <c r="H61">
        <v>494.29</v>
      </c>
      <c r="I61">
        <v>0</v>
      </c>
      <c r="J61" t="s">
        <v>21</v>
      </c>
      <c r="K61">
        <v>3954.32</v>
      </c>
    </row>
    <row r="62" spans="1:11" x14ac:dyDescent="0.25">
      <c r="A62" t="s">
        <v>140</v>
      </c>
      <c r="B62" s="1">
        <v>45183</v>
      </c>
      <c r="C62" t="s">
        <v>141</v>
      </c>
      <c r="D62" t="s">
        <v>24</v>
      </c>
      <c r="E62" t="s">
        <v>3988</v>
      </c>
      <c r="F62" t="s">
        <v>4066</v>
      </c>
      <c r="G62">
        <v>7</v>
      </c>
      <c r="H62">
        <v>1953.18</v>
      </c>
      <c r="I62">
        <v>5</v>
      </c>
      <c r="J62" t="s">
        <v>17</v>
      </c>
      <c r="K62">
        <v>12988.65</v>
      </c>
    </row>
    <row r="63" spans="1:11" x14ac:dyDescent="0.25">
      <c r="A63" t="s">
        <v>142</v>
      </c>
      <c r="B63" s="1">
        <v>45716</v>
      </c>
      <c r="C63" t="s">
        <v>143</v>
      </c>
      <c r="D63" t="s">
        <v>24</v>
      </c>
      <c r="E63" t="s">
        <v>29</v>
      </c>
      <c r="F63" t="s">
        <v>4065</v>
      </c>
      <c r="G63">
        <v>9</v>
      </c>
      <c r="H63">
        <v>1351.33</v>
      </c>
      <c r="I63">
        <v>20</v>
      </c>
      <c r="J63" t="s">
        <v>17</v>
      </c>
      <c r="K63">
        <v>9729.58</v>
      </c>
    </row>
    <row r="64" spans="1:11" x14ac:dyDescent="0.25">
      <c r="A64" t="s">
        <v>144</v>
      </c>
      <c r="B64" s="1">
        <v>45506</v>
      </c>
      <c r="C64" t="s">
        <v>145</v>
      </c>
      <c r="D64" t="s">
        <v>24</v>
      </c>
      <c r="E64" t="s">
        <v>3988</v>
      </c>
      <c r="F64" t="s">
        <v>4066</v>
      </c>
      <c r="G64">
        <v>8</v>
      </c>
      <c r="H64">
        <v>70.33</v>
      </c>
      <c r="I64">
        <v>5</v>
      </c>
      <c r="J64" t="s">
        <v>17</v>
      </c>
      <c r="K64">
        <v>534.51</v>
      </c>
    </row>
    <row r="65" spans="1:11" x14ac:dyDescent="0.25">
      <c r="A65" t="s">
        <v>146</v>
      </c>
      <c r="B65" s="1">
        <v>45566</v>
      </c>
      <c r="C65" t="s">
        <v>147</v>
      </c>
      <c r="D65" t="s">
        <v>36</v>
      </c>
      <c r="E65" t="s">
        <v>3988</v>
      </c>
      <c r="F65" t="s">
        <v>4067</v>
      </c>
      <c r="G65">
        <v>5</v>
      </c>
      <c r="H65">
        <v>548.05999999999995</v>
      </c>
      <c r="I65">
        <v>15</v>
      </c>
      <c r="J65" t="s">
        <v>39</v>
      </c>
      <c r="K65">
        <v>2329.25</v>
      </c>
    </row>
    <row r="66" spans="1:11" x14ac:dyDescent="0.25">
      <c r="A66" t="s">
        <v>148</v>
      </c>
      <c r="B66" s="1">
        <v>45246</v>
      </c>
      <c r="C66" t="s">
        <v>149</v>
      </c>
      <c r="D66" t="s">
        <v>36</v>
      </c>
      <c r="E66" t="s">
        <v>3988</v>
      </c>
      <c r="F66" t="s">
        <v>4054</v>
      </c>
      <c r="G66">
        <v>2</v>
      </c>
      <c r="H66">
        <v>558.39</v>
      </c>
      <c r="I66">
        <v>0</v>
      </c>
      <c r="J66" t="s">
        <v>21</v>
      </c>
      <c r="K66">
        <v>1116.78</v>
      </c>
    </row>
    <row r="67" spans="1:11" x14ac:dyDescent="0.25">
      <c r="A67" t="s">
        <v>150</v>
      </c>
      <c r="B67" s="1">
        <v>45866</v>
      </c>
      <c r="C67" t="s">
        <v>151</v>
      </c>
      <c r="D67" t="s">
        <v>20</v>
      </c>
      <c r="E67" t="s">
        <v>3988</v>
      </c>
      <c r="F67" t="s">
        <v>4068</v>
      </c>
      <c r="G67">
        <v>5</v>
      </c>
      <c r="H67">
        <v>185.05</v>
      </c>
      <c r="I67">
        <v>15</v>
      </c>
      <c r="J67" t="s">
        <v>14</v>
      </c>
      <c r="K67">
        <v>786.46</v>
      </c>
    </row>
    <row r="68" spans="1:11" x14ac:dyDescent="0.25">
      <c r="A68" t="s">
        <v>152</v>
      </c>
      <c r="B68" s="1">
        <v>45444</v>
      </c>
      <c r="C68" t="s">
        <v>153</v>
      </c>
      <c r="D68" t="s">
        <v>24</v>
      </c>
      <c r="E68" t="s">
        <v>3272</v>
      </c>
      <c r="F68" t="s">
        <v>4069</v>
      </c>
      <c r="G68">
        <v>8</v>
      </c>
      <c r="H68">
        <v>1921.66</v>
      </c>
      <c r="I68">
        <v>0</v>
      </c>
      <c r="J68" t="s">
        <v>39</v>
      </c>
      <c r="K68">
        <v>15373.28</v>
      </c>
    </row>
    <row r="69" spans="1:11" x14ac:dyDescent="0.25">
      <c r="A69" t="s">
        <v>154</v>
      </c>
      <c r="B69" s="1">
        <v>45211</v>
      </c>
      <c r="C69" t="s">
        <v>155</v>
      </c>
      <c r="D69" t="s">
        <v>20</v>
      </c>
      <c r="E69" t="s">
        <v>3988</v>
      </c>
      <c r="F69" t="s">
        <v>4067</v>
      </c>
      <c r="G69">
        <v>9</v>
      </c>
      <c r="H69">
        <v>982.6</v>
      </c>
      <c r="I69">
        <v>20</v>
      </c>
      <c r="J69" t="s">
        <v>39</v>
      </c>
      <c r="K69">
        <v>7074.72</v>
      </c>
    </row>
    <row r="70" spans="1:11" x14ac:dyDescent="0.25">
      <c r="A70" t="s">
        <v>156</v>
      </c>
      <c r="B70" s="1">
        <v>45578</v>
      </c>
      <c r="C70" t="s">
        <v>157</v>
      </c>
      <c r="D70" t="s">
        <v>13</v>
      </c>
      <c r="E70" t="s">
        <v>3988</v>
      </c>
      <c r="F70" t="s">
        <v>4054</v>
      </c>
      <c r="G70">
        <v>9</v>
      </c>
      <c r="H70">
        <v>1796.84</v>
      </c>
      <c r="I70">
        <v>0</v>
      </c>
      <c r="J70" t="s">
        <v>14</v>
      </c>
      <c r="K70">
        <v>16171.56</v>
      </c>
    </row>
    <row r="71" spans="1:11" x14ac:dyDescent="0.25">
      <c r="A71" t="s">
        <v>158</v>
      </c>
      <c r="B71" s="1">
        <v>45377</v>
      </c>
      <c r="C71" t="s">
        <v>159</v>
      </c>
      <c r="D71" t="s">
        <v>24</v>
      </c>
      <c r="E71" t="s">
        <v>3988</v>
      </c>
      <c r="F71" t="s">
        <v>4068</v>
      </c>
      <c r="G71">
        <v>1</v>
      </c>
      <c r="H71">
        <v>678.32</v>
      </c>
      <c r="I71">
        <v>0</v>
      </c>
      <c r="J71" t="s">
        <v>17</v>
      </c>
      <c r="K71">
        <v>678.32</v>
      </c>
    </row>
    <row r="72" spans="1:11" x14ac:dyDescent="0.25">
      <c r="A72" t="s">
        <v>160</v>
      </c>
      <c r="B72" s="1">
        <v>45794</v>
      </c>
      <c r="C72" t="s">
        <v>161</v>
      </c>
      <c r="D72" t="s">
        <v>13</v>
      </c>
      <c r="E72" t="s">
        <v>3272</v>
      </c>
      <c r="F72" t="s">
        <v>4069</v>
      </c>
      <c r="G72">
        <v>9</v>
      </c>
      <c r="H72">
        <v>294.20999999999998</v>
      </c>
      <c r="I72">
        <v>0</v>
      </c>
      <c r="J72" t="s">
        <v>17</v>
      </c>
      <c r="K72">
        <v>2647.89</v>
      </c>
    </row>
    <row r="73" spans="1:11" x14ac:dyDescent="0.25">
      <c r="A73" t="s">
        <v>162</v>
      </c>
      <c r="B73" s="1">
        <v>45638</v>
      </c>
      <c r="C73" t="s">
        <v>163</v>
      </c>
      <c r="D73" t="s">
        <v>20</v>
      </c>
      <c r="E73" t="s">
        <v>3988</v>
      </c>
      <c r="F73" t="s">
        <v>4070</v>
      </c>
      <c r="G73">
        <v>7</v>
      </c>
      <c r="H73">
        <v>974.96</v>
      </c>
      <c r="I73">
        <v>5</v>
      </c>
      <c r="J73" t="s">
        <v>21</v>
      </c>
      <c r="K73">
        <v>6483.48</v>
      </c>
    </row>
    <row r="74" spans="1:11" x14ac:dyDescent="0.25">
      <c r="A74" t="s">
        <v>164</v>
      </c>
      <c r="B74" s="1">
        <v>45630</v>
      </c>
      <c r="C74" t="s">
        <v>165</v>
      </c>
      <c r="D74" t="s">
        <v>36</v>
      </c>
      <c r="E74" t="s">
        <v>3272</v>
      </c>
      <c r="F74" t="s">
        <v>4071</v>
      </c>
      <c r="G74">
        <v>9</v>
      </c>
      <c r="H74">
        <v>272.22000000000003</v>
      </c>
      <c r="I74">
        <v>5</v>
      </c>
      <c r="J74" t="s">
        <v>17</v>
      </c>
      <c r="K74">
        <v>2327.48</v>
      </c>
    </row>
    <row r="75" spans="1:11" x14ac:dyDescent="0.25">
      <c r="A75" t="s">
        <v>166</v>
      </c>
      <c r="B75" s="1">
        <v>45837</v>
      </c>
      <c r="C75" t="s">
        <v>167</v>
      </c>
      <c r="D75" t="s">
        <v>20</v>
      </c>
      <c r="E75" t="s">
        <v>3988</v>
      </c>
      <c r="F75" t="s">
        <v>4072</v>
      </c>
      <c r="G75">
        <v>8</v>
      </c>
      <c r="H75">
        <v>997.73</v>
      </c>
      <c r="I75">
        <v>20</v>
      </c>
      <c r="J75" t="s">
        <v>39</v>
      </c>
      <c r="K75">
        <v>6385.47</v>
      </c>
    </row>
    <row r="76" spans="1:11" x14ac:dyDescent="0.25">
      <c r="A76" t="s">
        <v>168</v>
      </c>
      <c r="B76" s="1">
        <v>45819</v>
      </c>
      <c r="C76" t="s">
        <v>169</v>
      </c>
      <c r="D76" t="s">
        <v>13</v>
      </c>
      <c r="E76" t="s">
        <v>29</v>
      </c>
      <c r="F76" t="s">
        <v>4073</v>
      </c>
      <c r="G76">
        <v>1</v>
      </c>
      <c r="H76">
        <v>1844.58</v>
      </c>
      <c r="I76">
        <v>0</v>
      </c>
      <c r="J76" t="s">
        <v>39</v>
      </c>
      <c r="K76">
        <v>1844.58</v>
      </c>
    </row>
    <row r="77" spans="1:11" x14ac:dyDescent="0.25">
      <c r="A77" t="s">
        <v>170</v>
      </c>
      <c r="B77" s="1">
        <v>45430</v>
      </c>
      <c r="C77" t="s">
        <v>171</v>
      </c>
      <c r="D77" t="s">
        <v>24</v>
      </c>
      <c r="E77" t="s">
        <v>3988</v>
      </c>
      <c r="F77" t="s">
        <v>4074</v>
      </c>
      <c r="G77">
        <v>8</v>
      </c>
      <c r="H77">
        <v>1065.5</v>
      </c>
      <c r="I77">
        <v>10</v>
      </c>
      <c r="J77" t="s">
        <v>39</v>
      </c>
      <c r="K77">
        <v>7671.6</v>
      </c>
    </row>
    <row r="78" spans="1:11" x14ac:dyDescent="0.25">
      <c r="A78" t="s">
        <v>172</v>
      </c>
      <c r="B78" s="1">
        <v>45598</v>
      </c>
      <c r="C78" t="s">
        <v>173</v>
      </c>
      <c r="D78" t="s">
        <v>20</v>
      </c>
      <c r="E78" t="s">
        <v>3988</v>
      </c>
      <c r="F78" t="s">
        <v>4075</v>
      </c>
      <c r="G78">
        <v>8</v>
      </c>
      <c r="H78">
        <v>1252.17</v>
      </c>
      <c r="I78">
        <v>20</v>
      </c>
      <c r="J78" t="s">
        <v>14</v>
      </c>
      <c r="K78">
        <v>8013.89</v>
      </c>
    </row>
    <row r="79" spans="1:11" x14ac:dyDescent="0.25">
      <c r="A79" t="s">
        <v>174</v>
      </c>
      <c r="B79" s="1">
        <v>45299</v>
      </c>
      <c r="C79" t="s">
        <v>175</v>
      </c>
      <c r="D79" t="s">
        <v>24</v>
      </c>
      <c r="E79" t="s">
        <v>3988</v>
      </c>
      <c r="F79" t="s">
        <v>4076</v>
      </c>
      <c r="G79">
        <v>3</v>
      </c>
      <c r="H79">
        <v>355.44</v>
      </c>
      <c r="I79">
        <v>0</v>
      </c>
      <c r="J79" t="s">
        <v>17</v>
      </c>
      <c r="K79">
        <v>1066.32</v>
      </c>
    </row>
    <row r="80" spans="1:11" x14ac:dyDescent="0.25">
      <c r="A80" t="s">
        <v>176</v>
      </c>
      <c r="B80" s="1">
        <v>45697</v>
      </c>
      <c r="C80" t="s">
        <v>177</v>
      </c>
      <c r="D80" t="s">
        <v>36</v>
      </c>
      <c r="E80" t="s">
        <v>3988</v>
      </c>
      <c r="F80" t="s">
        <v>4077</v>
      </c>
      <c r="G80">
        <v>1</v>
      </c>
      <c r="H80">
        <v>135.28</v>
      </c>
      <c r="I80">
        <v>0</v>
      </c>
      <c r="J80" t="s">
        <v>17</v>
      </c>
      <c r="K80">
        <v>135.28</v>
      </c>
    </row>
    <row r="81" spans="1:11" x14ac:dyDescent="0.25">
      <c r="A81" t="s">
        <v>178</v>
      </c>
      <c r="B81" s="1">
        <v>45204</v>
      </c>
      <c r="C81" t="s">
        <v>179</v>
      </c>
      <c r="D81" t="s">
        <v>36</v>
      </c>
      <c r="E81" t="s">
        <v>3988</v>
      </c>
      <c r="F81" t="s">
        <v>4076</v>
      </c>
      <c r="G81">
        <v>8</v>
      </c>
      <c r="H81">
        <v>266.08</v>
      </c>
      <c r="I81">
        <v>5</v>
      </c>
      <c r="J81" t="s">
        <v>17</v>
      </c>
      <c r="K81">
        <v>2022.21</v>
      </c>
    </row>
    <row r="82" spans="1:11" x14ac:dyDescent="0.25">
      <c r="A82" t="s">
        <v>180</v>
      </c>
      <c r="B82" s="1">
        <v>45185</v>
      </c>
      <c r="C82" t="s">
        <v>181</v>
      </c>
      <c r="D82" t="s">
        <v>36</v>
      </c>
      <c r="E82" t="s">
        <v>3988</v>
      </c>
      <c r="F82" t="s">
        <v>4078</v>
      </c>
      <c r="G82">
        <v>3</v>
      </c>
      <c r="H82">
        <v>1217.1400000000001</v>
      </c>
      <c r="I82">
        <v>20</v>
      </c>
      <c r="J82" t="s">
        <v>17</v>
      </c>
      <c r="K82">
        <v>2921.14</v>
      </c>
    </row>
    <row r="83" spans="1:11" x14ac:dyDescent="0.25">
      <c r="A83" t="s">
        <v>182</v>
      </c>
      <c r="B83" s="1">
        <v>45663</v>
      </c>
      <c r="C83" t="s">
        <v>183</v>
      </c>
      <c r="D83" t="s">
        <v>24</v>
      </c>
      <c r="E83" t="s">
        <v>29</v>
      </c>
      <c r="F83" t="s">
        <v>4079</v>
      </c>
      <c r="G83">
        <v>3</v>
      </c>
      <c r="H83">
        <v>235.27</v>
      </c>
      <c r="I83">
        <v>0</v>
      </c>
      <c r="J83" t="s">
        <v>21</v>
      </c>
      <c r="K83">
        <v>705.81</v>
      </c>
    </row>
    <row r="84" spans="1:11" x14ac:dyDescent="0.25">
      <c r="A84" t="s">
        <v>184</v>
      </c>
      <c r="B84" s="1">
        <v>45327</v>
      </c>
      <c r="C84" t="s">
        <v>185</v>
      </c>
      <c r="D84" t="s">
        <v>20</v>
      </c>
      <c r="E84" t="s">
        <v>29</v>
      </c>
      <c r="F84" t="s">
        <v>4080</v>
      </c>
      <c r="G84">
        <v>1</v>
      </c>
      <c r="H84">
        <v>783.19</v>
      </c>
      <c r="I84">
        <v>0</v>
      </c>
      <c r="J84" t="s">
        <v>21</v>
      </c>
      <c r="K84">
        <v>783.19</v>
      </c>
    </row>
    <row r="85" spans="1:11" x14ac:dyDescent="0.25">
      <c r="A85" t="s">
        <v>186</v>
      </c>
      <c r="B85" s="1">
        <v>45750</v>
      </c>
      <c r="C85" t="s">
        <v>187</v>
      </c>
      <c r="D85" t="s">
        <v>24</v>
      </c>
      <c r="E85" t="s">
        <v>29</v>
      </c>
      <c r="F85" t="s">
        <v>4081</v>
      </c>
      <c r="G85">
        <v>5</v>
      </c>
      <c r="H85">
        <v>1122.68</v>
      </c>
      <c r="I85">
        <v>20</v>
      </c>
      <c r="J85" t="s">
        <v>39</v>
      </c>
      <c r="K85">
        <v>4490.72</v>
      </c>
    </row>
    <row r="86" spans="1:11" x14ac:dyDescent="0.25">
      <c r="A86" t="s">
        <v>188</v>
      </c>
      <c r="B86" s="1">
        <v>45374</v>
      </c>
      <c r="C86" t="s">
        <v>189</v>
      </c>
      <c r="D86" t="s">
        <v>24</v>
      </c>
      <c r="E86" t="s">
        <v>3272</v>
      </c>
      <c r="F86" t="s">
        <v>4082</v>
      </c>
      <c r="G86">
        <v>7</v>
      </c>
      <c r="H86">
        <v>807.87</v>
      </c>
      <c r="I86">
        <v>10</v>
      </c>
      <c r="J86" t="s">
        <v>39</v>
      </c>
      <c r="K86">
        <v>5089.58</v>
      </c>
    </row>
    <row r="87" spans="1:11" x14ac:dyDescent="0.25">
      <c r="A87" t="s">
        <v>190</v>
      </c>
      <c r="B87" s="1">
        <v>45211</v>
      </c>
      <c r="C87" t="s">
        <v>191</v>
      </c>
      <c r="D87" t="s">
        <v>20</v>
      </c>
      <c r="E87" t="s">
        <v>3988</v>
      </c>
      <c r="F87" t="s">
        <v>4083</v>
      </c>
      <c r="G87">
        <v>9</v>
      </c>
      <c r="H87">
        <v>369.18</v>
      </c>
      <c r="I87">
        <v>20</v>
      </c>
      <c r="J87" t="s">
        <v>14</v>
      </c>
      <c r="K87">
        <v>2658.1</v>
      </c>
    </row>
    <row r="88" spans="1:11" x14ac:dyDescent="0.25">
      <c r="A88" t="s">
        <v>192</v>
      </c>
      <c r="B88" s="1">
        <v>45814</v>
      </c>
      <c r="C88" t="s">
        <v>193</v>
      </c>
      <c r="D88" t="s">
        <v>36</v>
      </c>
      <c r="E88" t="s">
        <v>3988</v>
      </c>
      <c r="F88" t="s">
        <v>4084</v>
      </c>
      <c r="G88">
        <v>7</v>
      </c>
      <c r="H88">
        <v>583.89</v>
      </c>
      <c r="I88">
        <v>20</v>
      </c>
      <c r="J88" t="s">
        <v>39</v>
      </c>
      <c r="K88">
        <v>3269.78</v>
      </c>
    </row>
    <row r="89" spans="1:11" x14ac:dyDescent="0.25">
      <c r="A89" t="s">
        <v>194</v>
      </c>
      <c r="B89" s="1">
        <v>45330</v>
      </c>
      <c r="C89" t="s">
        <v>195</v>
      </c>
      <c r="D89" t="s">
        <v>36</v>
      </c>
      <c r="E89" t="s">
        <v>29</v>
      </c>
      <c r="F89" t="s">
        <v>4085</v>
      </c>
      <c r="G89">
        <v>9</v>
      </c>
      <c r="H89">
        <v>1860.22</v>
      </c>
      <c r="I89">
        <v>10</v>
      </c>
      <c r="J89" t="s">
        <v>17</v>
      </c>
      <c r="K89">
        <v>15067.78</v>
      </c>
    </row>
    <row r="90" spans="1:11" x14ac:dyDescent="0.25">
      <c r="A90" t="s">
        <v>196</v>
      </c>
      <c r="B90" s="1">
        <v>45823</v>
      </c>
      <c r="C90" t="s">
        <v>197</v>
      </c>
      <c r="D90" t="s">
        <v>20</v>
      </c>
      <c r="E90" t="s">
        <v>3272</v>
      </c>
      <c r="F90" t="s">
        <v>4086</v>
      </c>
      <c r="G90">
        <v>8</v>
      </c>
      <c r="H90">
        <v>1368.17</v>
      </c>
      <c r="I90">
        <v>20</v>
      </c>
      <c r="J90" t="s">
        <v>39</v>
      </c>
      <c r="K90">
        <v>8756.2900000000009</v>
      </c>
    </row>
    <row r="91" spans="1:11" x14ac:dyDescent="0.25">
      <c r="A91" t="s">
        <v>198</v>
      </c>
      <c r="B91" s="1">
        <v>45228</v>
      </c>
      <c r="C91" t="s">
        <v>199</v>
      </c>
      <c r="D91" t="s">
        <v>24</v>
      </c>
      <c r="E91" t="s">
        <v>3272</v>
      </c>
      <c r="F91" t="s">
        <v>4087</v>
      </c>
      <c r="G91">
        <v>2</v>
      </c>
      <c r="H91">
        <v>1017.29</v>
      </c>
      <c r="I91">
        <v>0</v>
      </c>
      <c r="J91" t="s">
        <v>39</v>
      </c>
      <c r="K91">
        <v>2034.58</v>
      </c>
    </row>
    <row r="92" spans="1:11" x14ac:dyDescent="0.25">
      <c r="A92" t="s">
        <v>200</v>
      </c>
      <c r="B92" s="1">
        <v>45445</v>
      </c>
      <c r="C92" t="s">
        <v>201</v>
      </c>
      <c r="D92" t="s">
        <v>24</v>
      </c>
      <c r="E92" t="s">
        <v>3272</v>
      </c>
      <c r="F92" t="s">
        <v>4088</v>
      </c>
      <c r="G92">
        <v>1</v>
      </c>
      <c r="H92">
        <v>74.790000000000006</v>
      </c>
      <c r="I92">
        <v>20</v>
      </c>
      <c r="J92" t="s">
        <v>21</v>
      </c>
      <c r="K92">
        <v>59.83</v>
      </c>
    </row>
    <row r="93" spans="1:11" x14ac:dyDescent="0.25">
      <c r="A93" t="s">
        <v>202</v>
      </c>
      <c r="B93" s="1">
        <v>45365</v>
      </c>
      <c r="C93" t="s">
        <v>203</v>
      </c>
      <c r="D93" t="s">
        <v>36</v>
      </c>
      <c r="E93" t="s">
        <v>3988</v>
      </c>
      <c r="F93" t="s">
        <v>4089</v>
      </c>
      <c r="G93">
        <v>7</v>
      </c>
      <c r="H93">
        <v>1985.21</v>
      </c>
      <c r="I93">
        <v>10</v>
      </c>
      <c r="J93" t="s">
        <v>17</v>
      </c>
      <c r="K93">
        <v>12506.82</v>
      </c>
    </row>
    <row r="94" spans="1:11" x14ac:dyDescent="0.25">
      <c r="A94" t="s">
        <v>204</v>
      </c>
      <c r="B94" s="1">
        <v>45502</v>
      </c>
      <c r="C94" t="s">
        <v>205</v>
      </c>
      <c r="D94" t="s">
        <v>13</v>
      </c>
      <c r="E94" t="s">
        <v>29</v>
      </c>
      <c r="F94" t="s">
        <v>4090</v>
      </c>
      <c r="G94">
        <v>7</v>
      </c>
      <c r="H94">
        <v>1359.34</v>
      </c>
      <c r="I94">
        <v>15</v>
      </c>
      <c r="J94" t="s">
        <v>14</v>
      </c>
      <c r="K94">
        <v>8088.07</v>
      </c>
    </row>
    <row r="95" spans="1:11" x14ac:dyDescent="0.25">
      <c r="A95" t="s">
        <v>206</v>
      </c>
      <c r="B95" s="1">
        <v>45643</v>
      </c>
      <c r="C95" t="s">
        <v>207</v>
      </c>
      <c r="D95" t="s">
        <v>13</v>
      </c>
      <c r="E95" t="s">
        <v>3988</v>
      </c>
      <c r="F95" t="s">
        <v>4091</v>
      </c>
      <c r="G95">
        <v>8</v>
      </c>
      <c r="H95">
        <v>668</v>
      </c>
      <c r="I95">
        <v>20</v>
      </c>
      <c r="J95" t="s">
        <v>14</v>
      </c>
      <c r="K95">
        <v>4275.2</v>
      </c>
    </row>
    <row r="96" spans="1:11" x14ac:dyDescent="0.25">
      <c r="A96" t="s">
        <v>208</v>
      </c>
      <c r="B96" s="1">
        <v>45797</v>
      </c>
      <c r="C96" t="s">
        <v>209</v>
      </c>
      <c r="D96" t="s">
        <v>13</v>
      </c>
      <c r="E96" t="s">
        <v>3272</v>
      </c>
      <c r="F96" t="s">
        <v>4092</v>
      </c>
      <c r="G96">
        <v>5</v>
      </c>
      <c r="H96">
        <v>1764.57</v>
      </c>
      <c r="I96">
        <v>5</v>
      </c>
      <c r="J96" t="s">
        <v>14</v>
      </c>
      <c r="K96">
        <v>8381.7099999999991</v>
      </c>
    </row>
    <row r="97" spans="1:11" x14ac:dyDescent="0.25">
      <c r="A97" t="s">
        <v>210</v>
      </c>
      <c r="B97" s="1">
        <v>45433</v>
      </c>
      <c r="C97" t="s">
        <v>211</v>
      </c>
      <c r="D97" t="s">
        <v>24</v>
      </c>
      <c r="E97" t="s">
        <v>3272</v>
      </c>
      <c r="F97" t="s">
        <v>4093</v>
      </c>
      <c r="G97">
        <v>3</v>
      </c>
      <c r="H97">
        <v>553.94000000000005</v>
      </c>
      <c r="I97">
        <v>0</v>
      </c>
      <c r="J97" t="s">
        <v>39</v>
      </c>
      <c r="K97">
        <v>1661.82</v>
      </c>
    </row>
    <row r="98" spans="1:11" x14ac:dyDescent="0.25">
      <c r="A98" t="s">
        <v>212</v>
      </c>
      <c r="B98" s="1">
        <v>45276</v>
      </c>
      <c r="C98" t="s">
        <v>213</v>
      </c>
      <c r="D98" t="s">
        <v>24</v>
      </c>
      <c r="E98" t="s">
        <v>3272</v>
      </c>
      <c r="F98" t="s">
        <v>4094</v>
      </c>
      <c r="G98">
        <v>8</v>
      </c>
      <c r="H98">
        <v>1110.83</v>
      </c>
      <c r="I98">
        <v>0</v>
      </c>
      <c r="J98" t="s">
        <v>14</v>
      </c>
      <c r="K98">
        <v>8886.64</v>
      </c>
    </row>
    <row r="99" spans="1:11" x14ac:dyDescent="0.25">
      <c r="A99" t="s">
        <v>214</v>
      </c>
      <c r="B99" s="1">
        <v>45437</v>
      </c>
      <c r="C99" t="s">
        <v>215</v>
      </c>
      <c r="D99" t="s">
        <v>36</v>
      </c>
      <c r="E99" t="s">
        <v>3988</v>
      </c>
      <c r="F99" t="s">
        <v>4095</v>
      </c>
      <c r="G99">
        <v>6</v>
      </c>
      <c r="H99">
        <v>1290.3399999999999</v>
      </c>
      <c r="I99">
        <v>5</v>
      </c>
      <c r="J99" t="s">
        <v>14</v>
      </c>
      <c r="K99">
        <v>7354.94</v>
      </c>
    </row>
    <row r="100" spans="1:11" x14ac:dyDescent="0.25">
      <c r="A100" t="s">
        <v>216</v>
      </c>
      <c r="B100" s="1">
        <v>45425</v>
      </c>
      <c r="C100" t="s">
        <v>217</v>
      </c>
      <c r="D100" t="s">
        <v>13</v>
      </c>
      <c r="E100" t="s">
        <v>3988</v>
      </c>
      <c r="F100" t="s">
        <v>4096</v>
      </c>
      <c r="G100">
        <v>3</v>
      </c>
      <c r="H100">
        <v>481.07</v>
      </c>
      <c r="I100">
        <v>5</v>
      </c>
      <c r="J100" t="s">
        <v>14</v>
      </c>
      <c r="K100">
        <v>1371.05</v>
      </c>
    </row>
    <row r="101" spans="1:11" x14ac:dyDescent="0.25">
      <c r="A101" t="s">
        <v>218</v>
      </c>
      <c r="B101" s="1">
        <v>45312</v>
      </c>
      <c r="C101" t="s">
        <v>219</v>
      </c>
      <c r="D101" t="s">
        <v>36</v>
      </c>
      <c r="E101" t="s">
        <v>3272</v>
      </c>
      <c r="F101" t="s">
        <v>4097</v>
      </c>
      <c r="G101">
        <v>1</v>
      </c>
      <c r="H101">
        <v>1957.87</v>
      </c>
      <c r="I101">
        <v>20</v>
      </c>
      <c r="J101" t="s">
        <v>21</v>
      </c>
      <c r="K101">
        <v>1566.3</v>
      </c>
    </row>
    <row r="102" spans="1:11" x14ac:dyDescent="0.25">
      <c r="A102" t="s">
        <v>220</v>
      </c>
      <c r="B102" s="1">
        <v>45670</v>
      </c>
      <c r="C102" t="s">
        <v>221</v>
      </c>
      <c r="D102" t="s">
        <v>36</v>
      </c>
      <c r="E102" t="s">
        <v>3988</v>
      </c>
      <c r="F102" t="s">
        <v>4029</v>
      </c>
      <c r="G102">
        <v>3</v>
      </c>
      <c r="H102">
        <v>1508.97</v>
      </c>
      <c r="I102">
        <v>5</v>
      </c>
      <c r="J102" t="s">
        <v>17</v>
      </c>
      <c r="K102">
        <v>4300.5600000000004</v>
      </c>
    </row>
    <row r="103" spans="1:11" x14ac:dyDescent="0.25">
      <c r="A103" t="s">
        <v>222</v>
      </c>
      <c r="B103" s="1">
        <v>45357</v>
      </c>
      <c r="C103" t="s">
        <v>223</v>
      </c>
      <c r="D103" t="s">
        <v>36</v>
      </c>
      <c r="E103" t="s">
        <v>3272</v>
      </c>
      <c r="F103" t="s">
        <v>4097</v>
      </c>
      <c r="G103">
        <v>5</v>
      </c>
      <c r="H103">
        <v>1137.74</v>
      </c>
      <c r="I103">
        <v>15</v>
      </c>
      <c r="J103" t="s">
        <v>21</v>
      </c>
      <c r="K103">
        <v>4835.3900000000003</v>
      </c>
    </row>
    <row r="104" spans="1:11" x14ac:dyDescent="0.25">
      <c r="A104" t="s">
        <v>224</v>
      </c>
      <c r="B104" s="1">
        <v>45695</v>
      </c>
      <c r="C104" t="s">
        <v>225</v>
      </c>
      <c r="D104" t="s">
        <v>20</v>
      </c>
      <c r="E104" t="s">
        <v>3988</v>
      </c>
      <c r="F104" t="s">
        <v>4098</v>
      </c>
      <c r="G104">
        <v>3</v>
      </c>
      <c r="H104">
        <v>402.16</v>
      </c>
      <c r="I104">
        <v>10</v>
      </c>
      <c r="J104" t="s">
        <v>17</v>
      </c>
      <c r="K104">
        <v>1085.83</v>
      </c>
    </row>
    <row r="105" spans="1:11" x14ac:dyDescent="0.25">
      <c r="A105" t="s">
        <v>226</v>
      </c>
      <c r="B105" s="1">
        <v>45877</v>
      </c>
      <c r="C105" t="s">
        <v>227</v>
      </c>
      <c r="D105" t="s">
        <v>13</v>
      </c>
      <c r="E105" t="s">
        <v>3988</v>
      </c>
      <c r="F105" t="s">
        <v>4029</v>
      </c>
      <c r="G105">
        <v>1</v>
      </c>
      <c r="H105">
        <v>155.02000000000001</v>
      </c>
      <c r="I105">
        <v>5</v>
      </c>
      <c r="J105" t="s">
        <v>21</v>
      </c>
      <c r="K105">
        <v>147.27000000000001</v>
      </c>
    </row>
    <row r="106" spans="1:11" x14ac:dyDescent="0.25">
      <c r="A106" t="s">
        <v>228</v>
      </c>
      <c r="B106" s="1">
        <v>45680</v>
      </c>
      <c r="C106" t="s">
        <v>229</v>
      </c>
      <c r="D106" t="s">
        <v>13</v>
      </c>
      <c r="E106" t="s">
        <v>3988</v>
      </c>
      <c r="F106" t="s">
        <v>4099</v>
      </c>
      <c r="G106">
        <v>5</v>
      </c>
      <c r="H106">
        <v>674.12</v>
      </c>
      <c r="I106">
        <v>5</v>
      </c>
      <c r="J106" t="s">
        <v>17</v>
      </c>
      <c r="K106">
        <v>3202.07</v>
      </c>
    </row>
    <row r="107" spans="1:11" x14ac:dyDescent="0.25">
      <c r="A107" t="s">
        <v>230</v>
      </c>
      <c r="B107" s="1">
        <v>45653</v>
      </c>
      <c r="C107" t="s">
        <v>231</v>
      </c>
      <c r="D107" t="s">
        <v>20</v>
      </c>
      <c r="E107" t="s">
        <v>3988</v>
      </c>
      <c r="F107" t="s">
        <v>4100</v>
      </c>
      <c r="G107">
        <v>7</v>
      </c>
      <c r="H107">
        <v>1518.72</v>
      </c>
      <c r="I107">
        <v>15</v>
      </c>
      <c r="J107" t="s">
        <v>14</v>
      </c>
      <c r="K107">
        <v>9036.3799999999992</v>
      </c>
    </row>
    <row r="108" spans="1:11" x14ac:dyDescent="0.25">
      <c r="A108" t="s">
        <v>232</v>
      </c>
      <c r="B108" s="1">
        <v>45205</v>
      </c>
      <c r="C108" t="s">
        <v>233</v>
      </c>
      <c r="D108" t="s">
        <v>20</v>
      </c>
      <c r="E108" t="s">
        <v>3988</v>
      </c>
      <c r="F108" t="s">
        <v>4040</v>
      </c>
      <c r="G108">
        <v>7</v>
      </c>
      <c r="H108">
        <v>575.20000000000005</v>
      </c>
      <c r="I108">
        <v>0</v>
      </c>
      <c r="J108" t="s">
        <v>14</v>
      </c>
      <c r="K108">
        <v>4026.4</v>
      </c>
    </row>
    <row r="109" spans="1:11" x14ac:dyDescent="0.25">
      <c r="A109" t="s">
        <v>234</v>
      </c>
      <c r="B109" s="1">
        <v>45623</v>
      </c>
      <c r="C109" t="s">
        <v>235</v>
      </c>
      <c r="D109" t="s">
        <v>13</v>
      </c>
      <c r="E109" t="s">
        <v>3272</v>
      </c>
      <c r="F109" t="s">
        <v>4101</v>
      </c>
      <c r="G109">
        <v>9</v>
      </c>
      <c r="H109">
        <v>1102.1300000000001</v>
      </c>
      <c r="I109">
        <v>0</v>
      </c>
      <c r="J109" t="s">
        <v>14</v>
      </c>
      <c r="K109">
        <v>9919.17</v>
      </c>
    </row>
    <row r="110" spans="1:11" x14ac:dyDescent="0.25">
      <c r="A110" t="s">
        <v>236</v>
      </c>
      <c r="B110" s="1">
        <v>45643</v>
      </c>
      <c r="C110" t="s">
        <v>237</v>
      </c>
      <c r="D110" t="s">
        <v>20</v>
      </c>
      <c r="E110" t="s">
        <v>3272</v>
      </c>
      <c r="F110" t="s">
        <v>4102</v>
      </c>
      <c r="G110">
        <v>3</v>
      </c>
      <c r="H110">
        <v>1469.5</v>
      </c>
      <c r="I110">
        <v>20</v>
      </c>
      <c r="J110" t="s">
        <v>21</v>
      </c>
      <c r="K110">
        <v>3526.8</v>
      </c>
    </row>
    <row r="111" spans="1:11" x14ac:dyDescent="0.25">
      <c r="A111" t="s">
        <v>238</v>
      </c>
      <c r="B111" s="1">
        <v>45282</v>
      </c>
      <c r="C111" t="s">
        <v>239</v>
      </c>
      <c r="D111" t="s">
        <v>36</v>
      </c>
      <c r="E111" t="s">
        <v>3272</v>
      </c>
      <c r="F111" t="s">
        <v>4103</v>
      </c>
      <c r="G111">
        <v>7</v>
      </c>
      <c r="H111">
        <v>260.49</v>
      </c>
      <c r="I111">
        <v>15</v>
      </c>
      <c r="J111" t="s">
        <v>14</v>
      </c>
      <c r="K111">
        <v>1549.92</v>
      </c>
    </row>
    <row r="112" spans="1:11" x14ac:dyDescent="0.25">
      <c r="A112" t="s">
        <v>240</v>
      </c>
      <c r="B112" s="1">
        <v>45564</v>
      </c>
      <c r="C112" t="s">
        <v>241</v>
      </c>
      <c r="D112" t="s">
        <v>24</v>
      </c>
      <c r="E112" t="s">
        <v>3988</v>
      </c>
      <c r="F112" t="s">
        <v>4104</v>
      </c>
      <c r="G112">
        <v>1</v>
      </c>
      <c r="H112">
        <v>1386.33</v>
      </c>
      <c r="I112">
        <v>10</v>
      </c>
      <c r="J112" t="s">
        <v>39</v>
      </c>
      <c r="K112">
        <v>1247.7</v>
      </c>
    </row>
    <row r="113" spans="1:11" x14ac:dyDescent="0.25">
      <c r="A113" t="s">
        <v>242</v>
      </c>
      <c r="B113" s="1">
        <v>45716</v>
      </c>
      <c r="C113" t="s">
        <v>243</v>
      </c>
      <c r="D113" t="s">
        <v>36</v>
      </c>
      <c r="E113" t="s">
        <v>3988</v>
      </c>
      <c r="F113" t="s">
        <v>4105</v>
      </c>
      <c r="G113">
        <v>4</v>
      </c>
      <c r="H113">
        <v>229.15</v>
      </c>
      <c r="I113">
        <v>10</v>
      </c>
      <c r="J113" t="s">
        <v>17</v>
      </c>
      <c r="K113">
        <v>824.94</v>
      </c>
    </row>
    <row r="114" spans="1:11" x14ac:dyDescent="0.25">
      <c r="A114" t="s">
        <v>244</v>
      </c>
      <c r="B114" s="1">
        <v>45340</v>
      </c>
      <c r="C114" t="s">
        <v>245</v>
      </c>
      <c r="D114" t="s">
        <v>13</v>
      </c>
      <c r="E114" t="s">
        <v>3988</v>
      </c>
      <c r="F114" t="s">
        <v>4106</v>
      </c>
      <c r="G114">
        <v>4</v>
      </c>
      <c r="H114">
        <v>1932</v>
      </c>
      <c r="I114">
        <v>15</v>
      </c>
      <c r="J114" t="s">
        <v>21</v>
      </c>
      <c r="K114">
        <v>6568.8</v>
      </c>
    </row>
    <row r="115" spans="1:11" x14ac:dyDescent="0.25">
      <c r="A115" t="s">
        <v>246</v>
      </c>
      <c r="B115" s="1">
        <v>45276</v>
      </c>
      <c r="C115" t="s">
        <v>247</v>
      </c>
      <c r="D115" t="s">
        <v>20</v>
      </c>
      <c r="E115" t="s">
        <v>3988</v>
      </c>
      <c r="F115" t="s">
        <v>4053</v>
      </c>
      <c r="G115">
        <v>5</v>
      </c>
      <c r="H115">
        <v>1002.37</v>
      </c>
      <c r="I115">
        <v>10</v>
      </c>
      <c r="J115" t="s">
        <v>14</v>
      </c>
      <c r="K115">
        <v>4510.67</v>
      </c>
    </row>
    <row r="116" spans="1:11" x14ac:dyDescent="0.25">
      <c r="A116" t="s">
        <v>248</v>
      </c>
      <c r="B116" s="1">
        <v>45509</v>
      </c>
      <c r="C116" t="s">
        <v>249</v>
      </c>
      <c r="D116" t="s">
        <v>24</v>
      </c>
      <c r="E116" t="s">
        <v>3988</v>
      </c>
      <c r="F116" t="s">
        <v>4053</v>
      </c>
      <c r="G116">
        <v>7</v>
      </c>
      <c r="H116">
        <v>343.82</v>
      </c>
      <c r="I116">
        <v>0</v>
      </c>
      <c r="J116" t="s">
        <v>14</v>
      </c>
      <c r="K116">
        <v>2406.7399999999998</v>
      </c>
    </row>
    <row r="117" spans="1:11" x14ac:dyDescent="0.25">
      <c r="A117" t="s">
        <v>250</v>
      </c>
      <c r="B117" s="1">
        <v>45444</v>
      </c>
      <c r="C117" t="s">
        <v>251</v>
      </c>
      <c r="D117" t="s">
        <v>13</v>
      </c>
      <c r="E117" t="s">
        <v>3988</v>
      </c>
      <c r="F117" t="s">
        <v>4107</v>
      </c>
      <c r="G117">
        <v>7</v>
      </c>
      <c r="H117">
        <v>717.65</v>
      </c>
      <c r="I117">
        <v>10</v>
      </c>
      <c r="J117" t="s">
        <v>17</v>
      </c>
      <c r="K117">
        <v>4521.2</v>
      </c>
    </row>
    <row r="118" spans="1:11" x14ac:dyDescent="0.25">
      <c r="A118" t="s">
        <v>252</v>
      </c>
      <c r="B118" s="1">
        <v>45359</v>
      </c>
      <c r="C118" t="s">
        <v>253</v>
      </c>
      <c r="D118" t="s">
        <v>20</v>
      </c>
      <c r="E118" t="s">
        <v>3272</v>
      </c>
      <c r="F118" t="s">
        <v>4108</v>
      </c>
      <c r="G118">
        <v>4</v>
      </c>
      <c r="H118">
        <v>856.16</v>
      </c>
      <c r="I118">
        <v>10</v>
      </c>
      <c r="J118" t="s">
        <v>14</v>
      </c>
      <c r="K118">
        <v>3082.18</v>
      </c>
    </row>
    <row r="119" spans="1:11" x14ac:dyDescent="0.25">
      <c r="A119" t="s">
        <v>254</v>
      </c>
      <c r="B119" s="1">
        <v>45868</v>
      </c>
      <c r="C119" t="s">
        <v>255</v>
      </c>
      <c r="D119" t="s">
        <v>24</v>
      </c>
      <c r="E119" t="s">
        <v>3988</v>
      </c>
      <c r="F119" t="s">
        <v>4109</v>
      </c>
      <c r="G119">
        <v>7</v>
      </c>
      <c r="H119">
        <v>1528.46</v>
      </c>
      <c r="I119">
        <v>15</v>
      </c>
      <c r="J119" t="s">
        <v>14</v>
      </c>
      <c r="K119">
        <v>9094.34</v>
      </c>
    </row>
    <row r="120" spans="1:11" x14ac:dyDescent="0.25">
      <c r="A120" t="s">
        <v>256</v>
      </c>
      <c r="B120" s="1">
        <v>45647</v>
      </c>
      <c r="C120" t="s">
        <v>257</v>
      </c>
      <c r="D120" t="s">
        <v>24</v>
      </c>
      <c r="E120" t="s">
        <v>3988</v>
      </c>
      <c r="F120" t="s">
        <v>4110</v>
      </c>
      <c r="G120">
        <v>3</v>
      </c>
      <c r="H120">
        <v>1499.68</v>
      </c>
      <c r="I120">
        <v>15</v>
      </c>
      <c r="J120" t="s">
        <v>17</v>
      </c>
      <c r="K120">
        <v>3824.18</v>
      </c>
    </row>
    <row r="121" spans="1:11" x14ac:dyDescent="0.25">
      <c r="A121" t="s">
        <v>258</v>
      </c>
      <c r="B121" s="1">
        <v>45684</v>
      </c>
      <c r="C121" t="s">
        <v>259</v>
      </c>
      <c r="D121" t="s">
        <v>20</v>
      </c>
      <c r="E121" t="s">
        <v>29</v>
      </c>
      <c r="F121" t="s">
        <v>4111</v>
      </c>
      <c r="G121">
        <v>6</v>
      </c>
      <c r="H121">
        <v>1243.28</v>
      </c>
      <c r="I121">
        <v>10</v>
      </c>
      <c r="J121" t="s">
        <v>17</v>
      </c>
      <c r="K121">
        <v>6713.71</v>
      </c>
    </row>
    <row r="122" spans="1:11" x14ac:dyDescent="0.25">
      <c r="A122" t="s">
        <v>260</v>
      </c>
      <c r="B122" s="1">
        <v>45582</v>
      </c>
      <c r="C122" t="s">
        <v>261</v>
      </c>
      <c r="D122" t="s">
        <v>24</v>
      </c>
      <c r="E122" t="s">
        <v>3988</v>
      </c>
      <c r="F122" t="s">
        <v>4112</v>
      </c>
      <c r="G122">
        <v>2</v>
      </c>
      <c r="H122">
        <v>256.56</v>
      </c>
      <c r="I122">
        <v>5</v>
      </c>
      <c r="J122" t="s">
        <v>39</v>
      </c>
      <c r="K122">
        <v>487.46</v>
      </c>
    </row>
    <row r="123" spans="1:11" x14ac:dyDescent="0.25">
      <c r="A123" t="s">
        <v>262</v>
      </c>
      <c r="B123" s="1">
        <v>45320</v>
      </c>
      <c r="C123" t="s">
        <v>263</v>
      </c>
      <c r="D123" t="s">
        <v>13</v>
      </c>
      <c r="E123" t="s">
        <v>3988</v>
      </c>
      <c r="F123" t="s">
        <v>4098</v>
      </c>
      <c r="G123">
        <v>9</v>
      </c>
      <c r="H123">
        <v>345.56</v>
      </c>
      <c r="I123">
        <v>15</v>
      </c>
      <c r="J123" t="s">
        <v>39</v>
      </c>
      <c r="K123">
        <v>2643.53</v>
      </c>
    </row>
    <row r="124" spans="1:11" x14ac:dyDescent="0.25">
      <c r="A124" t="s">
        <v>264</v>
      </c>
      <c r="B124" s="1">
        <v>45681</v>
      </c>
      <c r="C124" t="s">
        <v>265</v>
      </c>
      <c r="D124" t="s">
        <v>20</v>
      </c>
      <c r="E124" t="s">
        <v>3272</v>
      </c>
      <c r="F124" t="s">
        <v>4113</v>
      </c>
      <c r="G124">
        <v>5</v>
      </c>
      <c r="H124">
        <v>232.83</v>
      </c>
      <c r="I124">
        <v>20</v>
      </c>
      <c r="J124" t="s">
        <v>17</v>
      </c>
      <c r="K124">
        <v>931.32</v>
      </c>
    </row>
    <row r="125" spans="1:11" x14ac:dyDescent="0.25">
      <c r="A125" t="s">
        <v>266</v>
      </c>
      <c r="B125" s="1">
        <v>45401</v>
      </c>
      <c r="C125" t="s">
        <v>267</v>
      </c>
      <c r="D125" t="s">
        <v>36</v>
      </c>
      <c r="E125" t="s">
        <v>3988</v>
      </c>
      <c r="F125" t="s">
        <v>4114</v>
      </c>
      <c r="G125">
        <v>6</v>
      </c>
      <c r="H125">
        <v>1175.49</v>
      </c>
      <c r="I125">
        <v>20</v>
      </c>
      <c r="J125" t="s">
        <v>21</v>
      </c>
      <c r="K125">
        <v>5642.35</v>
      </c>
    </row>
    <row r="126" spans="1:11" x14ac:dyDescent="0.25">
      <c r="A126" t="s">
        <v>268</v>
      </c>
      <c r="B126" s="1">
        <v>45804</v>
      </c>
      <c r="C126" t="s">
        <v>269</v>
      </c>
      <c r="D126" t="s">
        <v>13</v>
      </c>
      <c r="E126" t="s">
        <v>3272</v>
      </c>
      <c r="F126" t="s">
        <v>4115</v>
      </c>
      <c r="G126">
        <v>4</v>
      </c>
      <c r="H126">
        <v>1760.42</v>
      </c>
      <c r="I126">
        <v>0</v>
      </c>
      <c r="J126" t="s">
        <v>39</v>
      </c>
      <c r="K126">
        <v>7041.68</v>
      </c>
    </row>
    <row r="127" spans="1:11" x14ac:dyDescent="0.25">
      <c r="A127" t="s">
        <v>270</v>
      </c>
      <c r="B127" s="1">
        <v>45746</v>
      </c>
      <c r="C127" t="s">
        <v>271</v>
      </c>
      <c r="D127" t="s">
        <v>13</v>
      </c>
      <c r="E127" t="s">
        <v>29</v>
      </c>
      <c r="F127" t="s">
        <v>4116</v>
      </c>
      <c r="G127">
        <v>7</v>
      </c>
      <c r="H127">
        <v>895.91</v>
      </c>
      <c r="I127">
        <v>10</v>
      </c>
      <c r="J127" t="s">
        <v>17</v>
      </c>
      <c r="K127">
        <v>5644.23</v>
      </c>
    </row>
    <row r="128" spans="1:11" x14ac:dyDescent="0.25">
      <c r="A128" t="s">
        <v>272</v>
      </c>
      <c r="B128" s="1">
        <v>45752</v>
      </c>
      <c r="C128" t="s">
        <v>273</v>
      </c>
      <c r="D128" t="s">
        <v>20</v>
      </c>
      <c r="E128" t="s">
        <v>3988</v>
      </c>
      <c r="F128" t="s">
        <v>4117</v>
      </c>
      <c r="G128">
        <v>9</v>
      </c>
      <c r="H128">
        <v>363.65</v>
      </c>
      <c r="I128">
        <v>5</v>
      </c>
      <c r="J128" t="s">
        <v>14</v>
      </c>
      <c r="K128">
        <v>3109.21</v>
      </c>
    </row>
    <row r="129" spans="1:11" x14ac:dyDescent="0.25">
      <c r="A129" t="s">
        <v>274</v>
      </c>
      <c r="B129" s="1">
        <v>45193</v>
      </c>
      <c r="C129" t="s">
        <v>275</v>
      </c>
      <c r="D129" t="s">
        <v>20</v>
      </c>
      <c r="E129" t="s">
        <v>29</v>
      </c>
      <c r="F129" t="s">
        <v>4118</v>
      </c>
      <c r="G129">
        <v>7</v>
      </c>
      <c r="H129">
        <v>1138.18</v>
      </c>
      <c r="I129">
        <v>0</v>
      </c>
      <c r="J129" t="s">
        <v>21</v>
      </c>
      <c r="K129">
        <v>7967.26</v>
      </c>
    </row>
    <row r="130" spans="1:11" x14ac:dyDescent="0.25">
      <c r="A130" t="s">
        <v>276</v>
      </c>
      <c r="B130" s="1">
        <v>45327</v>
      </c>
      <c r="C130" t="s">
        <v>277</v>
      </c>
      <c r="D130" t="s">
        <v>24</v>
      </c>
      <c r="E130" t="s">
        <v>3988</v>
      </c>
      <c r="F130" t="s">
        <v>4119</v>
      </c>
      <c r="G130">
        <v>1</v>
      </c>
      <c r="H130">
        <v>1632.92</v>
      </c>
      <c r="I130">
        <v>10</v>
      </c>
      <c r="J130" t="s">
        <v>14</v>
      </c>
      <c r="K130">
        <v>1469.63</v>
      </c>
    </row>
    <row r="131" spans="1:11" x14ac:dyDescent="0.25">
      <c r="A131" t="s">
        <v>278</v>
      </c>
      <c r="B131" s="1">
        <v>45788</v>
      </c>
      <c r="C131" t="s">
        <v>279</v>
      </c>
      <c r="D131" t="s">
        <v>13</v>
      </c>
      <c r="E131" t="s">
        <v>3988</v>
      </c>
      <c r="F131" t="s">
        <v>4001</v>
      </c>
      <c r="G131">
        <v>1</v>
      </c>
      <c r="H131">
        <v>1496.34</v>
      </c>
      <c r="I131">
        <v>15</v>
      </c>
      <c r="J131" t="s">
        <v>39</v>
      </c>
      <c r="K131">
        <v>1271.8900000000001</v>
      </c>
    </row>
    <row r="132" spans="1:11" x14ac:dyDescent="0.25">
      <c r="A132" t="s">
        <v>280</v>
      </c>
      <c r="B132" s="1">
        <v>45174</v>
      </c>
      <c r="C132" t="s">
        <v>281</v>
      </c>
      <c r="D132" t="s">
        <v>24</v>
      </c>
      <c r="E132" t="s">
        <v>3272</v>
      </c>
      <c r="F132" t="s">
        <v>4120</v>
      </c>
      <c r="G132">
        <v>9</v>
      </c>
      <c r="H132">
        <v>1768.83</v>
      </c>
      <c r="I132">
        <v>20</v>
      </c>
      <c r="J132" t="s">
        <v>14</v>
      </c>
      <c r="K132">
        <v>12735.58</v>
      </c>
    </row>
    <row r="133" spans="1:11" x14ac:dyDescent="0.25">
      <c r="A133" t="s">
        <v>282</v>
      </c>
      <c r="B133" s="1">
        <v>45775</v>
      </c>
      <c r="C133" t="s">
        <v>283</v>
      </c>
      <c r="D133" t="s">
        <v>13</v>
      </c>
      <c r="E133" t="s">
        <v>3988</v>
      </c>
      <c r="F133" t="s">
        <v>4121</v>
      </c>
      <c r="G133">
        <v>9</v>
      </c>
      <c r="H133">
        <v>591.91</v>
      </c>
      <c r="I133">
        <v>5</v>
      </c>
      <c r="J133" t="s">
        <v>21</v>
      </c>
      <c r="K133">
        <v>5060.83</v>
      </c>
    </row>
    <row r="134" spans="1:11" x14ac:dyDescent="0.25">
      <c r="A134" t="s">
        <v>284</v>
      </c>
      <c r="B134" s="1">
        <v>45395</v>
      </c>
      <c r="C134" t="s">
        <v>285</v>
      </c>
      <c r="D134" t="s">
        <v>13</v>
      </c>
      <c r="E134" t="s">
        <v>3272</v>
      </c>
      <c r="F134" t="s">
        <v>4122</v>
      </c>
      <c r="G134">
        <v>4</v>
      </c>
      <c r="H134">
        <v>428.21</v>
      </c>
      <c r="I134">
        <v>20</v>
      </c>
      <c r="J134" t="s">
        <v>17</v>
      </c>
      <c r="K134">
        <v>1370.27</v>
      </c>
    </row>
    <row r="135" spans="1:11" x14ac:dyDescent="0.25">
      <c r="A135" t="s">
        <v>286</v>
      </c>
      <c r="B135" s="1">
        <v>45461</v>
      </c>
      <c r="C135" t="s">
        <v>287</v>
      </c>
      <c r="D135" t="s">
        <v>36</v>
      </c>
      <c r="E135" t="s">
        <v>3988</v>
      </c>
      <c r="F135" t="s">
        <v>4123</v>
      </c>
      <c r="G135">
        <v>9</v>
      </c>
      <c r="H135">
        <v>1765.64</v>
      </c>
      <c r="I135">
        <v>15</v>
      </c>
      <c r="J135" t="s">
        <v>17</v>
      </c>
      <c r="K135">
        <v>13507.15</v>
      </c>
    </row>
    <row r="136" spans="1:11" x14ac:dyDescent="0.25">
      <c r="A136" t="s">
        <v>288</v>
      </c>
      <c r="B136" s="1">
        <v>45357</v>
      </c>
      <c r="C136" t="s">
        <v>289</v>
      </c>
      <c r="D136" t="s">
        <v>13</v>
      </c>
      <c r="E136" t="s">
        <v>29</v>
      </c>
      <c r="F136" t="s">
        <v>4124</v>
      </c>
      <c r="G136">
        <v>3</v>
      </c>
      <c r="H136">
        <v>1332.24</v>
      </c>
      <c r="I136">
        <v>10</v>
      </c>
      <c r="J136" t="s">
        <v>21</v>
      </c>
      <c r="K136">
        <v>3597.05</v>
      </c>
    </row>
    <row r="137" spans="1:11" x14ac:dyDescent="0.25">
      <c r="A137" t="s">
        <v>290</v>
      </c>
      <c r="B137" s="1">
        <v>45201</v>
      </c>
      <c r="C137" t="s">
        <v>291</v>
      </c>
      <c r="D137" t="s">
        <v>24</v>
      </c>
      <c r="E137" t="s">
        <v>3988</v>
      </c>
      <c r="F137" t="s">
        <v>4125</v>
      </c>
      <c r="G137">
        <v>7</v>
      </c>
      <c r="H137">
        <v>656.31</v>
      </c>
      <c r="I137">
        <v>15</v>
      </c>
      <c r="J137" t="s">
        <v>14</v>
      </c>
      <c r="K137">
        <v>3905.04</v>
      </c>
    </row>
    <row r="138" spans="1:11" x14ac:dyDescent="0.25">
      <c r="A138" t="s">
        <v>292</v>
      </c>
      <c r="B138" s="1">
        <v>45313</v>
      </c>
      <c r="C138" t="s">
        <v>293</v>
      </c>
      <c r="D138" t="s">
        <v>24</v>
      </c>
      <c r="E138" t="s">
        <v>3272</v>
      </c>
      <c r="F138" t="s">
        <v>4126</v>
      </c>
      <c r="G138">
        <v>6</v>
      </c>
      <c r="H138">
        <v>1497.58</v>
      </c>
      <c r="I138">
        <v>15</v>
      </c>
      <c r="J138" t="s">
        <v>14</v>
      </c>
      <c r="K138">
        <v>7637.66</v>
      </c>
    </row>
    <row r="139" spans="1:11" x14ac:dyDescent="0.25">
      <c r="A139" t="s">
        <v>294</v>
      </c>
      <c r="B139" s="1">
        <v>45859</v>
      </c>
      <c r="C139" t="s">
        <v>295</v>
      </c>
      <c r="D139" t="s">
        <v>36</v>
      </c>
      <c r="E139" t="s">
        <v>29</v>
      </c>
      <c r="F139" t="s">
        <v>4127</v>
      </c>
      <c r="G139">
        <v>8</v>
      </c>
      <c r="H139">
        <v>1639.48</v>
      </c>
      <c r="I139">
        <v>20</v>
      </c>
      <c r="J139" t="s">
        <v>21</v>
      </c>
      <c r="K139">
        <v>10492.67</v>
      </c>
    </row>
    <row r="140" spans="1:11" x14ac:dyDescent="0.25">
      <c r="A140" t="s">
        <v>296</v>
      </c>
      <c r="B140" s="1">
        <v>45590</v>
      </c>
      <c r="C140" t="s">
        <v>297</v>
      </c>
      <c r="D140" t="s">
        <v>24</v>
      </c>
      <c r="E140" t="s">
        <v>3272</v>
      </c>
      <c r="F140" t="s">
        <v>4113</v>
      </c>
      <c r="G140">
        <v>9</v>
      </c>
      <c r="H140">
        <v>1249.21</v>
      </c>
      <c r="I140">
        <v>5</v>
      </c>
      <c r="J140" t="s">
        <v>17</v>
      </c>
      <c r="K140">
        <v>10680.75</v>
      </c>
    </row>
    <row r="141" spans="1:11" x14ac:dyDescent="0.25">
      <c r="A141" t="s">
        <v>298</v>
      </c>
      <c r="B141" s="1">
        <v>45830</v>
      </c>
      <c r="C141" t="s">
        <v>299</v>
      </c>
      <c r="D141" t="s">
        <v>20</v>
      </c>
      <c r="E141" t="s">
        <v>3988</v>
      </c>
      <c r="F141" t="s">
        <v>4128</v>
      </c>
      <c r="G141">
        <v>5</v>
      </c>
      <c r="H141">
        <v>1391.37</v>
      </c>
      <c r="I141">
        <v>15</v>
      </c>
      <c r="J141" t="s">
        <v>14</v>
      </c>
      <c r="K141">
        <v>5913.32</v>
      </c>
    </row>
    <row r="142" spans="1:11" x14ac:dyDescent="0.25">
      <c r="A142" t="s">
        <v>300</v>
      </c>
      <c r="B142" s="1">
        <v>45707</v>
      </c>
      <c r="C142" t="s">
        <v>301</v>
      </c>
      <c r="D142" t="s">
        <v>36</v>
      </c>
      <c r="E142" t="s">
        <v>3988</v>
      </c>
      <c r="F142" t="s">
        <v>4129</v>
      </c>
      <c r="G142">
        <v>1</v>
      </c>
      <c r="H142">
        <v>781.76</v>
      </c>
      <c r="I142">
        <v>20</v>
      </c>
      <c r="J142" t="s">
        <v>39</v>
      </c>
      <c r="K142">
        <v>625.41</v>
      </c>
    </row>
    <row r="143" spans="1:11" x14ac:dyDescent="0.25">
      <c r="A143" t="s">
        <v>302</v>
      </c>
      <c r="B143" s="1">
        <v>45394</v>
      </c>
      <c r="C143" t="s">
        <v>303</v>
      </c>
      <c r="D143" t="s">
        <v>24</v>
      </c>
      <c r="E143" t="s">
        <v>3272</v>
      </c>
      <c r="F143" t="s">
        <v>4130</v>
      </c>
      <c r="G143">
        <v>3</v>
      </c>
      <c r="H143">
        <v>1100.46</v>
      </c>
      <c r="I143">
        <v>5</v>
      </c>
      <c r="J143" t="s">
        <v>21</v>
      </c>
      <c r="K143">
        <v>3136.31</v>
      </c>
    </row>
    <row r="144" spans="1:11" x14ac:dyDescent="0.25">
      <c r="A144" t="s">
        <v>304</v>
      </c>
      <c r="B144" s="1">
        <v>45315</v>
      </c>
      <c r="C144" t="s">
        <v>305</v>
      </c>
      <c r="D144" t="s">
        <v>24</v>
      </c>
      <c r="E144" t="s">
        <v>29</v>
      </c>
      <c r="F144" t="s">
        <v>4131</v>
      </c>
      <c r="G144">
        <v>8</v>
      </c>
      <c r="H144">
        <v>1072.1099999999999</v>
      </c>
      <c r="I144">
        <v>10</v>
      </c>
      <c r="J144" t="s">
        <v>39</v>
      </c>
      <c r="K144">
        <v>7719.19</v>
      </c>
    </row>
    <row r="145" spans="1:11" x14ac:dyDescent="0.25">
      <c r="A145" t="s">
        <v>306</v>
      </c>
      <c r="B145" s="1">
        <v>45659</v>
      </c>
      <c r="C145" t="s">
        <v>307</v>
      </c>
      <c r="D145" t="s">
        <v>20</v>
      </c>
      <c r="E145" t="s">
        <v>3988</v>
      </c>
      <c r="F145" t="s">
        <v>4132</v>
      </c>
      <c r="G145">
        <v>6</v>
      </c>
      <c r="H145">
        <v>1703.69</v>
      </c>
      <c r="I145">
        <v>10</v>
      </c>
      <c r="J145" t="s">
        <v>39</v>
      </c>
      <c r="K145">
        <v>9199.93</v>
      </c>
    </row>
    <row r="146" spans="1:11" x14ac:dyDescent="0.25">
      <c r="A146" t="s">
        <v>308</v>
      </c>
      <c r="B146" s="1">
        <v>45537</v>
      </c>
      <c r="C146" t="s">
        <v>309</v>
      </c>
      <c r="D146" t="s">
        <v>36</v>
      </c>
      <c r="E146" t="s">
        <v>3272</v>
      </c>
      <c r="F146" t="s">
        <v>4133</v>
      </c>
      <c r="G146">
        <v>8</v>
      </c>
      <c r="H146">
        <v>1687.93</v>
      </c>
      <c r="I146">
        <v>0</v>
      </c>
      <c r="J146" t="s">
        <v>17</v>
      </c>
      <c r="K146">
        <v>13503.44</v>
      </c>
    </row>
    <row r="147" spans="1:11" x14ac:dyDescent="0.25">
      <c r="A147" t="s">
        <v>310</v>
      </c>
      <c r="B147" s="1">
        <v>45457</v>
      </c>
      <c r="C147" t="s">
        <v>311</v>
      </c>
      <c r="D147" t="s">
        <v>20</v>
      </c>
      <c r="E147" t="s">
        <v>3988</v>
      </c>
      <c r="F147" t="s">
        <v>4134</v>
      </c>
      <c r="G147">
        <v>9</v>
      </c>
      <c r="H147">
        <v>1673.73</v>
      </c>
      <c r="I147">
        <v>20</v>
      </c>
      <c r="J147" t="s">
        <v>21</v>
      </c>
      <c r="K147">
        <v>12050.86</v>
      </c>
    </row>
    <row r="148" spans="1:11" x14ac:dyDescent="0.25">
      <c r="A148" t="s">
        <v>312</v>
      </c>
      <c r="B148" s="1">
        <v>45837</v>
      </c>
      <c r="C148" t="s">
        <v>313</v>
      </c>
      <c r="D148" t="s">
        <v>36</v>
      </c>
      <c r="E148" t="s">
        <v>29</v>
      </c>
      <c r="F148" t="s">
        <v>4135</v>
      </c>
      <c r="G148">
        <v>4</v>
      </c>
      <c r="H148">
        <v>71.510000000000005</v>
      </c>
      <c r="I148">
        <v>5</v>
      </c>
      <c r="J148" t="s">
        <v>14</v>
      </c>
      <c r="K148">
        <v>271.74</v>
      </c>
    </row>
    <row r="149" spans="1:11" x14ac:dyDescent="0.25">
      <c r="A149" t="s">
        <v>314</v>
      </c>
      <c r="B149" s="1">
        <v>45860</v>
      </c>
      <c r="C149" t="s">
        <v>315</v>
      </c>
      <c r="D149" t="s">
        <v>36</v>
      </c>
      <c r="E149" t="s">
        <v>3272</v>
      </c>
      <c r="F149" t="s">
        <v>3992</v>
      </c>
      <c r="G149">
        <v>1</v>
      </c>
      <c r="H149">
        <v>1511.61</v>
      </c>
      <c r="I149">
        <v>15</v>
      </c>
      <c r="J149" t="s">
        <v>14</v>
      </c>
      <c r="K149">
        <v>1284.8699999999999</v>
      </c>
    </row>
    <row r="150" spans="1:11" x14ac:dyDescent="0.25">
      <c r="A150" t="s">
        <v>316</v>
      </c>
      <c r="B150" s="1">
        <v>45649</v>
      </c>
      <c r="C150" t="s">
        <v>317</v>
      </c>
      <c r="D150" t="s">
        <v>13</v>
      </c>
      <c r="E150" t="s">
        <v>3988</v>
      </c>
      <c r="F150" t="s">
        <v>4136</v>
      </c>
      <c r="G150">
        <v>1</v>
      </c>
      <c r="H150">
        <v>1529.42</v>
      </c>
      <c r="I150">
        <v>10</v>
      </c>
      <c r="J150" t="s">
        <v>21</v>
      </c>
      <c r="K150">
        <v>1376.48</v>
      </c>
    </row>
    <row r="151" spans="1:11" x14ac:dyDescent="0.25">
      <c r="A151" t="s">
        <v>318</v>
      </c>
      <c r="B151" s="1">
        <v>45506</v>
      </c>
      <c r="C151" t="s">
        <v>319</v>
      </c>
      <c r="D151" t="s">
        <v>24</v>
      </c>
      <c r="E151" t="s">
        <v>3988</v>
      </c>
      <c r="F151" t="s">
        <v>4137</v>
      </c>
      <c r="G151">
        <v>4</v>
      </c>
      <c r="H151">
        <v>1372.84</v>
      </c>
      <c r="I151">
        <v>5</v>
      </c>
      <c r="J151" t="s">
        <v>17</v>
      </c>
      <c r="K151">
        <v>5216.79</v>
      </c>
    </row>
    <row r="152" spans="1:11" x14ac:dyDescent="0.25">
      <c r="A152" t="s">
        <v>320</v>
      </c>
      <c r="B152" s="1">
        <v>45260</v>
      </c>
      <c r="C152" t="s">
        <v>321</v>
      </c>
      <c r="D152" t="s">
        <v>24</v>
      </c>
      <c r="E152" t="s">
        <v>3988</v>
      </c>
      <c r="F152" t="s">
        <v>4138</v>
      </c>
      <c r="G152">
        <v>7</v>
      </c>
      <c r="H152">
        <v>1524.72</v>
      </c>
      <c r="I152">
        <v>20</v>
      </c>
      <c r="J152" t="s">
        <v>14</v>
      </c>
      <c r="K152">
        <v>8538.43</v>
      </c>
    </row>
    <row r="153" spans="1:11" x14ac:dyDescent="0.25">
      <c r="A153" t="s">
        <v>322</v>
      </c>
      <c r="B153" s="1">
        <v>45355</v>
      </c>
      <c r="C153" t="s">
        <v>323</v>
      </c>
      <c r="D153" t="s">
        <v>13</v>
      </c>
      <c r="E153" t="s">
        <v>29</v>
      </c>
      <c r="F153" t="s">
        <v>4139</v>
      </c>
      <c r="G153">
        <v>2</v>
      </c>
      <c r="H153">
        <v>1691.84</v>
      </c>
      <c r="I153">
        <v>0</v>
      </c>
      <c r="J153" t="s">
        <v>14</v>
      </c>
      <c r="K153">
        <v>3383.68</v>
      </c>
    </row>
    <row r="154" spans="1:11" x14ac:dyDescent="0.25">
      <c r="A154" t="s">
        <v>324</v>
      </c>
      <c r="B154" s="1">
        <v>45258</v>
      </c>
      <c r="C154" t="s">
        <v>325</v>
      </c>
      <c r="D154" t="s">
        <v>20</v>
      </c>
      <c r="E154" t="s">
        <v>3988</v>
      </c>
      <c r="F154" t="s">
        <v>4022</v>
      </c>
      <c r="G154">
        <v>3</v>
      </c>
      <c r="H154">
        <v>967.12</v>
      </c>
      <c r="I154">
        <v>10</v>
      </c>
      <c r="J154" t="s">
        <v>14</v>
      </c>
      <c r="K154">
        <v>2611.2199999999998</v>
      </c>
    </row>
    <row r="155" spans="1:11" x14ac:dyDescent="0.25">
      <c r="A155" t="s">
        <v>326</v>
      </c>
      <c r="B155" s="1">
        <v>45341</v>
      </c>
      <c r="C155" t="s">
        <v>327</v>
      </c>
      <c r="D155" t="s">
        <v>13</v>
      </c>
      <c r="E155" t="s">
        <v>29</v>
      </c>
      <c r="F155" t="s">
        <v>4140</v>
      </c>
      <c r="G155">
        <v>1</v>
      </c>
      <c r="H155">
        <v>1029</v>
      </c>
      <c r="I155">
        <v>5</v>
      </c>
      <c r="J155" t="s">
        <v>17</v>
      </c>
      <c r="K155">
        <v>977.55</v>
      </c>
    </row>
    <row r="156" spans="1:11" x14ac:dyDescent="0.25">
      <c r="A156" t="s">
        <v>328</v>
      </c>
      <c r="B156" s="1">
        <v>45728</v>
      </c>
      <c r="C156" t="s">
        <v>329</v>
      </c>
      <c r="D156" t="s">
        <v>24</v>
      </c>
      <c r="E156" t="s">
        <v>3988</v>
      </c>
      <c r="F156" t="s">
        <v>4141</v>
      </c>
      <c r="G156">
        <v>5</v>
      </c>
      <c r="H156">
        <v>293.19</v>
      </c>
      <c r="I156">
        <v>5</v>
      </c>
      <c r="J156" t="s">
        <v>14</v>
      </c>
      <c r="K156">
        <v>1392.65</v>
      </c>
    </row>
    <row r="157" spans="1:11" x14ac:dyDescent="0.25">
      <c r="A157" t="s">
        <v>330</v>
      </c>
      <c r="B157" s="1">
        <v>45586</v>
      </c>
      <c r="C157" t="s">
        <v>331</v>
      </c>
      <c r="D157" t="s">
        <v>24</v>
      </c>
      <c r="E157" t="s">
        <v>3272</v>
      </c>
      <c r="F157" t="s">
        <v>4142</v>
      </c>
      <c r="G157">
        <v>1</v>
      </c>
      <c r="H157">
        <v>801.48</v>
      </c>
      <c r="I157">
        <v>5</v>
      </c>
      <c r="J157" t="s">
        <v>14</v>
      </c>
      <c r="K157">
        <v>761.41</v>
      </c>
    </row>
    <row r="158" spans="1:11" x14ac:dyDescent="0.25">
      <c r="A158" t="s">
        <v>332</v>
      </c>
      <c r="B158" s="1">
        <v>45568</v>
      </c>
      <c r="C158" t="s">
        <v>333</v>
      </c>
      <c r="D158" t="s">
        <v>13</v>
      </c>
      <c r="E158" t="s">
        <v>3988</v>
      </c>
      <c r="F158" t="s">
        <v>4138</v>
      </c>
      <c r="G158">
        <v>8</v>
      </c>
      <c r="H158">
        <v>1304.56</v>
      </c>
      <c r="I158">
        <v>20</v>
      </c>
      <c r="J158" t="s">
        <v>39</v>
      </c>
      <c r="K158">
        <v>8349.18</v>
      </c>
    </row>
    <row r="159" spans="1:11" x14ac:dyDescent="0.25">
      <c r="A159" t="s">
        <v>334</v>
      </c>
      <c r="B159" s="1">
        <v>45354</v>
      </c>
      <c r="C159" t="s">
        <v>335</v>
      </c>
      <c r="D159" t="s">
        <v>13</v>
      </c>
      <c r="E159" t="s">
        <v>29</v>
      </c>
      <c r="F159" t="s">
        <v>4139</v>
      </c>
      <c r="G159">
        <v>1</v>
      </c>
      <c r="H159">
        <v>1571.78</v>
      </c>
      <c r="I159">
        <v>20</v>
      </c>
      <c r="J159" t="s">
        <v>17</v>
      </c>
      <c r="K159">
        <v>1257.42</v>
      </c>
    </row>
    <row r="160" spans="1:11" x14ac:dyDescent="0.25">
      <c r="A160" t="s">
        <v>336</v>
      </c>
      <c r="B160" s="1">
        <v>45730</v>
      </c>
      <c r="C160" t="s">
        <v>337</v>
      </c>
      <c r="D160" t="s">
        <v>13</v>
      </c>
      <c r="E160" t="s">
        <v>3988</v>
      </c>
      <c r="F160" t="s">
        <v>4022</v>
      </c>
      <c r="G160">
        <v>1</v>
      </c>
      <c r="H160">
        <v>473.56</v>
      </c>
      <c r="I160">
        <v>20</v>
      </c>
      <c r="J160" t="s">
        <v>14</v>
      </c>
      <c r="K160">
        <v>378.85</v>
      </c>
    </row>
    <row r="161" spans="1:11" x14ac:dyDescent="0.25">
      <c r="A161" t="s">
        <v>338</v>
      </c>
      <c r="B161" s="1">
        <v>45604</v>
      </c>
      <c r="C161" t="s">
        <v>339</v>
      </c>
      <c r="D161" t="s">
        <v>24</v>
      </c>
      <c r="E161" t="s">
        <v>3988</v>
      </c>
      <c r="F161" t="s">
        <v>4141</v>
      </c>
      <c r="G161">
        <v>2</v>
      </c>
      <c r="H161">
        <v>318.75</v>
      </c>
      <c r="I161">
        <v>15</v>
      </c>
      <c r="J161" t="s">
        <v>17</v>
      </c>
      <c r="K161">
        <v>541.88</v>
      </c>
    </row>
    <row r="162" spans="1:11" x14ac:dyDescent="0.25">
      <c r="A162" t="s">
        <v>340</v>
      </c>
      <c r="B162" s="1">
        <v>45482</v>
      </c>
      <c r="C162" t="s">
        <v>341</v>
      </c>
      <c r="D162" t="s">
        <v>13</v>
      </c>
      <c r="E162" t="s">
        <v>3988</v>
      </c>
      <c r="F162" t="s">
        <v>4143</v>
      </c>
      <c r="G162">
        <v>2</v>
      </c>
      <c r="H162">
        <v>1342.93</v>
      </c>
      <c r="I162">
        <v>5</v>
      </c>
      <c r="J162" t="s">
        <v>17</v>
      </c>
      <c r="K162">
        <v>2551.5700000000002</v>
      </c>
    </row>
    <row r="163" spans="1:11" x14ac:dyDescent="0.25">
      <c r="A163" t="s">
        <v>342</v>
      </c>
      <c r="B163" s="1">
        <v>45847</v>
      </c>
      <c r="C163" t="s">
        <v>343</v>
      </c>
      <c r="D163" t="s">
        <v>13</v>
      </c>
      <c r="E163" t="s">
        <v>3988</v>
      </c>
      <c r="F163" t="s">
        <v>4144</v>
      </c>
      <c r="G163">
        <v>6</v>
      </c>
      <c r="H163">
        <v>53.67</v>
      </c>
      <c r="I163">
        <v>10</v>
      </c>
      <c r="J163" t="s">
        <v>14</v>
      </c>
      <c r="K163">
        <v>289.82</v>
      </c>
    </row>
    <row r="164" spans="1:11" x14ac:dyDescent="0.25">
      <c r="A164" t="s">
        <v>344</v>
      </c>
      <c r="B164" s="1">
        <v>45603</v>
      </c>
      <c r="C164" t="s">
        <v>345</v>
      </c>
      <c r="D164" t="s">
        <v>20</v>
      </c>
      <c r="E164" t="s">
        <v>3272</v>
      </c>
      <c r="F164" t="s">
        <v>4145</v>
      </c>
      <c r="G164">
        <v>7</v>
      </c>
      <c r="H164">
        <v>397.83</v>
      </c>
      <c r="I164">
        <v>20</v>
      </c>
      <c r="J164" t="s">
        <v>14</v>
      </c>
      <c r="K164">
        <v>2227.85</v>
      </c>
    </row>
    <row r="165" spans="1:11" x14ac:dyDescent="0.25">
      <c r="A165" t="s">
        <v>346</v>
      </c>
      <c r="B165" s="1">
        <v>45460</v>
      </c>
      <c r="C165" t="s">
        <v>347</v>
      </c>
      <c r="D165" t="s">
        <v>13</v>
      </c>
      <c r="E165" t="s">
        <v>3988</v>
      </c>
      <c r="F165" t="s">
        <v>4029</v>
      </c>
      <c r="G165">
        <v>5</v>
      </c>
      <c r="H165">
        <v>106.69</v>
      </c>
      <c r="I165">
        <v>20</v>
      </c>
      <c r="J165" t="s">
        <v>17</v>
      </c>
      <c r="K165">
        <v>426.76</v>
      </c>
    </row>
    <row r="166" spans="1:11" x14ac:dyDescent="0.25">
      <c r="A166" t="s">
        <v>348</v>
      </c>
      <c r="B166" s="1">
        <v>45431</v>
      </c>
      <c r="C166" t="s">
        <v>349</v>
      </c>
      <c r="D166" t="s">
        <v>24</v>
      </c>
      <c r="E166" t="s">
        <v>3988</v>
      </c>
      <c r="F166" t="s">
        <v>4146</v>
      </c>
      <c r="G166">
        <v>1</v>
      </c>
      <c r="H166">
        <v>375.43</v>
      </c>
      <c r="I166">
        <v>5</v>
      </c>
      <c r="J166" t="s">
        <v>17</v>
      </c>
      <c r="K166">
        <v>356.66</v>
      </c>
    </row>
    <row r="167" spans="1:11" x14ac:dyDescent="0.25">
      <c r="A167" t="s">
        <v>350</v>
      </c>
      <c r="B167" s="1">
        <v>45320</v>
      </c>
      <c r="C167" t="s">
        <v>351</v>
      </c>
      <c r="D167" t="s">
        <v>20</v>
      </c>
      <c r="E167" t="s">
        <v>29</v>
      </c>
      <c r="F167" t="s">
        <v>4147</v>
      </c>
      <c r="G167">
        <v>1</v>
      </c>
      <c r="H167">
        <v>403.57</v>
      </c>
      <c r="I167">
        <v>20</v>
      </c>
      <c r="J167" t="s">
        <v>17</v>
      </c>
      <c r="K167">
        <v>322.86</v>
      </c>
    </row>
    <row r="168" spans="1:11" x14ac:dyDescent="0.25">
      <c r="A168" t="s">
        <v>352</v>
      </c>
      <c r="B168" s="1">
        <v>45257</v>
      </c>
      <c r="C168" t="s">
        <v>353</v>
      </c>
      <c r="D168" t="s">
        <v>36</v>
      </c>
      <c r="E168" t="s">
        <v>3272</v>
      </c>
      <c r="F168" t="s">
        <v>4148</v>
      </c>
      <c r="G168">
        <v>3</v>
      </c>
      <c r="H168">
        <v>805.96</v>
      </c>
      <c r="I168">
        <v>15</v>
      </c>
      <c r="J168" t="s">
        <v>39</v>
      </c>
      <c r="K168">
        <v>2055.1999999999998</v>
      </c>
    </row>
    <row r="169" spans="1:11" x14ac:dyDescent="0.25">
      <c r="A169" t="s">
        <v>354</v>
      </c>
      <c r="B169" s="1">
        <v>45545</v>
      </c>
      <c r="C169" t="s">
        <v>355</v>
      </c>
      <c r="D169" t="s">
        <v>24</v>
      </c>
      <c r="E169" t="s">
        <v>3272</v>
      </c>
      <c r="F169" t="s">
        <v>4149</v>
      </c>
      <c r="G169">
        <v>2</v>
      </c>
      <c r="H169">
        <v>834.54</v>
      </c>
      <c r="I169">
        <v>15</v>
      </c>
      <c r="J169" t="s">
        <v>21</v>
      </c>
      <c r="K169">
        <v>1418.72</v>
      </c>
    </row>
    <row r="170" spans="1:11" x14ac:dyDescent="0.25">
      <c r="A170" t="s">
        <v>356</v>
      </c>
      <c r="B170" s="1">
        <v>45533</v>
      </c>
      <c r="C170" t="s">
        <v>357</v>
      </c>
      <c r="D170" t="s">
        <v>24</v>
      </c>
      <c r="E170" t="s">
        <v>3272</v>
      </c>
      <c r="F170" t="s">
        <v>4150</v>
      </c>
      <c r="G170">
        <v>5</v>
      </c>
      <c r="H170">
        <v>1754.81</v>
      </c>
      <c r="I170">
        <v>20</v>
      </c>
      <c r="J170" t="s">
        <v>14</v>
      </c>
      <c r="K170">
        <v>7019.24</v>
      </c>
    </row>
    <row r="171" spans="1:11" x14ac:dyDescent="0.25">
      <c r="A171" t="s">
        <v>358</v>
      </c>
      <c r="B171" s="1">
        <v>45220</v>
      </c>
      <c r="C171" t="s">
        <v>359</v>
      </c>
      <c r="D171" t="s">
        <v>36</v>
      </c>
      <c r="E171" t="s">
        <v>3272</v>
      </c>
      <c r="F171" t="s">
        <v>4151</v>
      </c>
      <c r="G171">
        <v>6</v>
      </c>
      <c r="H171">
        <v>1044.71</v>
      </c>
      <c r="I171">
        <v>5</v>
      </c>
      <c r="J171" t="s">
        <v>39</v>
      </c>
      <c r="K171">
        <v>5954.85</v>
      </c>
    </row>
    <row r="172" spans="1:11" x14ac:dyDescent="0.25">
      <c r="A172" t="s">
        <v>360</v>
      </c>
      <c r="B172" s="1">
        <v>45737</v>
      </c>
      <c r="C172" t="s">
        <v>361</v>
      </c>
      <c r="D172" t="s">
        <v>24</v>
      </c>
      <c r="E172" t="s">
        <v>3272</v>
      </c>
      <c r="F172" t="s">
        <v>4152</v>
      </c>
      <c r="G172">
        <v>7</v>
      </c>
      <c r="H172">
        <v>1460.64</v>
      </c>
      <c r="I172">
        <v>5</v>
      </c>
      <c r="J172" t="s">
        <v>39</v>
      </c>
      <c r="K172">
        <v>9713.26</v>
      </c>
    </row>
    <row r="173" spans="1:11" x14ac:dyDescent="0.25">
      <c r="A173" t="s">
        <v>362</v>
      </c>
      <c r="B173" s="1">
        <v>45186</v>
      </c>
      <c r="C173" t="s">
        <v>363</v>
      </c>
      <c r="D173" t="s">
        <v>36</v>
      </c>
      <c r="E173" t="s">
        <v>3272</v>
      </c>
      <c r="F173" t="s">
        <v>4151</v>
      </c>
      <c r="G173">
        <v>4</v>
      </c>
      <c r="H173">
        <v>253.07</v>
      </c>
      <c r="I173">
        <v>5</v>
      </c>
      <c r="J173" t="s">
        <v>17</v>
      </c>
      <c r="K173">
        <v>961.67</v>
      </c>
    </row>
    <row r="174" spans="1:11" x14ac:dyDescent="0.25">
      <c r="A174" t="s">
        <v>364</v>
      </c>
      <c r="B174" s="1">
        <v>45818</v>
      </c>
      <c r="C174" t="s">
        <v>365</v>
      </c>
      <c r="D174" t="s">
        <v>36</v>
      </c>
      <c r="E174" t="s">
        <v>3988</v>
      </c>
      <c r="F174" t="s">
        <v>4153</v>
      </c>
      <c r="G174">
        <v>7</v>
      </c>
      <c r="H174">
        <v>489.61</v>
      </c>
      <c r="I174">
        <v>0</v>
      </c>
      <c r="J174" t="s">
        <v>21</v>
      </c>
      <c r="K174">
        <v>3427.27</v>
      </c>
    </row>
    <row r="175" spans="1:11" x14ac:dyDescent="0.25">
      <c r="A175" t="s">
        <v>366</v>
      </c>
      <c r="B175" s="1">
        <v>45235</v>
      </c>
      <c r="C175" t="s">
        <v>367</v>
      </c>
      <c r="D175" t="s">
        <v>24</v>
      </c>
      <c r="E175" t="s">
        <v>3272</v>
      </c>
      <c r="F175" t="s">
        <v>4064</v>
      </c>
      <c r="G175">
        <v>8</v>
      </c>
      <c r="H175">
        <v>1420.74</v>
      </c>
      <c r="I175">
        <v>20</v>
      </c>
      <c r="J175" t="s">
        <v>14</v>
      </c>
      <c r="K175">
        <v>9092.74</v>
      </c>
    </row>
    <row r="176" spans="1:11" x14ac:dyDescent="0.25">
      <c r="A176" t="s">
        <v>368</v>
      </c>
      <c r="B176" s="1">
        <v>45268</v>
      </c>
      <c r="C176" t="s">
        <v>369</v>
      </c>
      <c r="D176" t="s">
        <v>13</v>
      </c>
      <c r="E176" t="s">
        <v>29</v>
      </c>
      <c r="F176" t="s">
        <v>4154</v>
      </c>
      <c r="G176">
        <v>1</v>
      </c>
      <c r="H176">
        <v>152.97</v>
      </c>
      <c r="I176">
        <v>5</v>
      </c>
      <c r="J176" t="s">
        <v>39</v>
      </c>
      <c r="K176">
        <v>145.32</v>
      </c>
    </row>
    <row r="177" spans="1:11" x14ac:dyDescent="0.25">
      <c r="A177" t="s">
        <v>370</v>
      </c>
      <c r="B177" s="1">
        <v>45637</v>
      </c>
      <c r="C177" t="s">
        <v>371</v>
      </c>
      <c r="D177" t="s">
        <v>13</v>
      </c>
      <c r="E177" t="s">
        <v>3988</v>
      </c>
      <c r="F177" t="s">
        <v>4042</v>
      </c>
      <c r="G177">
        <v>6</v>
      </c>
      <c r="H177">
        <v>998.87</v>
      </c>
      <c r="I177">
        <v>15</v>
      </c>
      <c r="J177" t="s">
        <v>14</v>
      </c>
      <c r="K177">
        <v>5094.24</v>
      </c>
    </row>
    <row r="178" spans="1:11" x14ac:dyDescent="0.25">
      <c r="A178" t="s">
        <v>372</v>
      </c>
      <c r="B178" s="1">
        <v>45274</v>
      </c>
      <c r="C178" t="s">
        <v>373</v>
      </c>
      <c r="D178" t="s">
        <v>36</v>
      </c>
      <c r="E178" t="s">
        <v>3988</v>
      </c>
      <c r="F178" t="s">
        <v>4155</v>
      </c>
      <c r="G178">
        <v>8</v>
      </c>
      <c r="H178">
        <v>1218.77</v>
      </c>
      <c r="I178">
        <v>10</v>
      </c>
      <c r="J178" t="s">
        <v>39</v>
      </c>
      <c r="K178">
        <v>8775.14</v>
      </c>
    </row>
    <row r="179" spans="1:11" x14ac:dyDescent="0.25">
      <c r="A179" t="s">
        <v>374</v>
      </c>
      <c r="B179" s="1">
        <v>45765</v>
      </c>
      <c r="C179" t="s">
        <v>375</v>
      </c>
      <c r="D179" t="s">
        <v>20</v>
      </c>
      <c r="E179" t="s">
        <v>3272</v>
      </c>
      <c r="F179" t="s">
        <v>4151</v>
      </c>
      <c r="G179">
        <v>5</v>
      </c>
      <c r="H179">
        <v>1224.18</v>
      </c>
      <c r="I179">
        <v>10</v>
      </c>
      <c r="J179" t="s">
        <v>14</v>
      </c>
      <c r="K179">
        <v>5508.81</v>
      </c>
    </row>
    <row r="180" spans="1:11" x14ac:dyDescent="0.25">
      <c r="A180" t="s">
        <v>376</v>
      </c>
      <c r="B180" s="1">
        <v>45678</v>
      </c>
      <c r="C180" t="s">
        <v>377</v>
      </c>
      <c r="D180" t="s">
        <v>36</v>
      </c>
      <c r="E180" t="s">
        <v>3272</v>
      </c>
      <c r="F180" t="s">
        <v>4011</v>
      </c>
      <c r="G180">
        <v>4</v>
      </c>
      <c r="H180">
        <v>94.72</v>
      </c>
      <c r="I180">
        <v>5</v>
      </c>
      <c r="J180" t="s">
        <v>17</v>
      </c>
      <c r="K180">
        <v>359.94</v>
      </c>
    </row>
    <row r="181" spans="1:11" x14ac:dyDescent="0.25">
      <c r="A181" t="s">
        <v>378</v>
      </c>
      <c r="B181" s="1">
        <v>45477</v>
      </c>
      <c r="C181" t="s">
        <v>379</v>
      </c>
      <c r="D181" t="s">
        <v>36</v>
      </c>
      <c r="E181" t="s">
        <v>29</v>
      </c>
      <c r="F181" t="s">
        <v>4050</v>
      </c>
      <c r="G181">
        <v>2</v>
      </c>
      <c r="H181">
        <v>678.11</v>
      </c>
      <c r="I181">
        <v>10</v>
      </c>
      <c r="J181" t="s">
        <v>17</v>
      </c>
      <c r="K181">
        <v>1220.5999999999999</v>
      </c>
    </row>
    <row r="182" spans="1:11" x14ac:dyDescent="0.25">
      <c r="A182" t="s">
        <v>380</v>
      </c>
      <c r="B182" s="1">
        <v>45613</v>
      </c>
      <c r="C182" t="s">
        <v>381</v>
      </c>
      <c r="D182" t="s">
        <v>36</v>
      </c>
      <c r="E182" t="s">
        <v>3272</v>
      </c>
      <c r="F182" t="s">
        <v>4156</v>
      </c>
      <c r="G182">
        <v>6</v>
      </c>
      <c r="H182">
        <v>1291.1600000000001</v>
      </c>
      <c r="I182">
        <v>10</v>
      </c>
      <c r="J182" t="s">
        <v>21</v>
      </c>
      <c r="K182">
        <v>6972.26</v>
      </c>
    </row>
    <row r="183" spans="1:11" x14ac:dyDescent="0.25">
      <c r="A183" t="s">
        <v>382</v>
      </c>
      <c r="B183" s="1">
        <v>45199</v>
      </c>
      <c r="C183" t="s">
        <v>383</v>
      </c>
      <c r="D183" t="s">
        <v>13</v>
      </c>
      <c r="E183" t="s">
        <v>29</v>
      </c>
      <c r="F183" t="s">
        <v>3998</v>
      </c>
      <c r="G183">
        <v>6</v>
      </c>
      <c r="H183">
        <v>340.55</v>
      </c>
      <c r="I183">
        <v>0</v>
      </c>
      <c r="J183" t="s">
        <v>17</v>
      </c>
      <c r="K183">
        <v>2043.3</v>
      </c>
    </row>
    <row r="184" spans="1:11" x14ac:dyDescent="0.25">
      <c r="A184" t="s">
        <v>384</v>
      </c>
      <c r="B184" s="1">
        <v>45448</v>
      </c>
      <c r="C184" t="s">
        <v>385</v>
      </c>
      <c r="D184" t="s">
        <v>13</v>
      </c>
      <c r="E184" t="s">
        <v>29</v>
      </c>
      <c r="F184" t="s">
        <v>4157</v>
      </c>
      <c r="G184">
        <v>1</v>
      </c>
      <c r="H184">
        <v>1406.06</v>
      </c>
      <c r="I184">
        <v>15</v>
      </c>
      <c r="J184" t="s">
        <v>39</v>
      </c>
      <c r="K184">
        <v>1195.1500000000001</v>
      </c>
    </row>
    <row r="185" spans="1:11" x14ac:dyDescent="0.25">
      <c r="A185" t="s">
        <v>386</v>
      </c>
      <c r="B185" s="1">
        <v>45446</v>
      </c>
      <c r="C185" t="s">
        <v>387</v>
      </c>
      <c r="D185" t="s">
        <v>13</v>
      </c>
      <c r="E185" t="s">
        <v>3988</v>
      </c>
      <c r="F185" t="s">
        <v>4158</v>
      </c>
      <c r="G185">
        <v>9</v>
      </c>
      <c r="H185">
        <v>1504.55</v>
      </c>
      <c r="I185">
        <v>15</v>
      </c>
      <c r="J185" t="s">
        <v>39</v>
      </c>
      <c r="K185">
        <v>11509.81</v>
      </c>
    </row>
    <row r="186" spans="1:11" x14ac:dyDescent="0.25">
      <c r="A186" t="s">
        <v>388</v>
      </c>
      <c r="B186" s="1">
        <v>45612</v>
      </c>
      <c r="C186" t="s">
        <v>389</v>
      </c>
      <c r="D186" t="s">
        <v>36</v>
      </c>
      <c r="E186" t="s">
        <v>29</v>
      </c>
      <c r="F186" t="s">
        <v>4159</v>
      </c>
      <c r="G186">
        <v>6</v>
      </c>
      <c r="H186">
        <v>1964.84</v>
      </c>
      <c r="I186">
        <v>0</v>
      </c>
      <c r="J186" t="s">
        <v>39</v>
      </c>
      <c r="K186">
        <v>11789.04</v>
      </c>
    </row>
    <row r="187" spans="1:11" x14ac:dyDescent="0.25">
      <c r="A187" t="s">
        <v>390</v>
      </c>
      <c r="B187" s="1">
        <v>45513</v>
      </c>
      <c r="C187" t="s">
        <v>391</v>
      </c>
      <c r="D187" t="s">
        <v>20</v>
      </c>
      <c r="E187" t="s">
        <v>3988</v>
      </c>
      <c r="F187" t="s">
        <v>4160</v>
      </c>
      <c r="G187">
        <v>3</v>
      </c>
      <c r="H187">
        <v>459.19</v>
      </c>
      <c r="I187">
        <v>0</v>
      </c>
      <c r="J187" t="s">
        <v>39</v>
      </c>
      <c r="K187">
        <v>1377.57</v>
      </c>
    </row>
    <row r="188" spans="1:11" x14ac:dyDescent="0.25">
      <c r="A188" t="s">
        <v>392</v>
      </c>
      <c r="B188" s="1">
        <v>45560</v>
      </c>
      <c r="C188" t="s">
        <v>393</v>
      </c>
      <c r="D188" t="s">
        <v>13</v>
      </c>
      <c r="E188" t="s">
        <v>29</v>
      </c>
      <c r="F188" t="s">
        <v>4161</v>
      </c>
      <c r="G188">
        <v>4</v>
      </c>
      <c r="H188">
        <v>1659</v>
      </c>
      <c r="I188">
        <v>10</v>
      </c>
      <c r="J188" t="s">
        <v>17</v>
      </c>
      <c r="K188">
        <v>5972.4</v>
      </c>
    </row>
    <row r="189" spans="1:11" x14ac:dyDescent="0.25">
      <c r="A189" t="s">
        <v>394</v>
      </c>
      <c r="B189" s="1">
        <v>45345</v>
      </c>
      <c r="C189" t="s">
        <v>395</v>
      </c>
      <c r="D189" t="s">
        <v>24</v>
      </c>
      <c r="E189" t="s">
        <v>3988</v>
      </c>
      <c r="F189" t="s">
        <v>4160</v>
      </c>
      <c r="G189">
        <v>4</v>
      </c>
      <c r="H189">
        <v>1064.58</v>
      </c>
      <c r="I189">
        <v>20</v>
      </c>
      <c r="J189" t="s">
        <v>17</v>
      </c>
      <c r="K189">
        <v>3406.66</v>
      </c>
    </row>
    <row r="190" spans="1:11" x14ac:dyDescent="0.25">
      <c r="A190" t="s">
        <v>396</v>
      </c>
      <c r="B190" s="1">
        <v>45579</v>
      </c>
      <c r="C190" t="s">
        <v>397</v>
      </c>
      <c r="D190" t="s">
        <v>24</v>
      </c>
      <c r="E190" t="s">
        <v>3988</v>
      </c>
      <c r="F190" t="s">
        <v>4132</v>
      </c>
      <c r="G190">
        <v>3</v>
      </c>
      <c r="H190">
        <v>778.25</v>
      </c>
      <c r="I190">
        <v>10</v>
      </c>
      <c r="J190" t="s">
        <v>21</v>
      </c>
      <c r="K190">
        <v>2101.2800000000002</v>
      </c>
    </row>
    <row r="191" spans="1:11" x14ac:dyDescent="0.25">
      <c r="A191" t="s">
        <v>398</v>
      </c>
      <c r="B191" s="1">
        <v>45818</v>
      </c>
      <c r="C191" t="s">
        <v>399</v>
      </c>
      <c r="D191" t="s">
        <v>24</v>
      </c>
      <c r="E191" t="s">
        <v>29</v>
      </c>
      <c r="F191" t="s">
        <v>4162</v>
      </c>
      <c r="G191">
        <v>3</v>
      </c>
      <c r="H191">
        <v>288.63</v>
      </c>
      <c r="I191">
        <v>0</v>
      </c>
      <c r="J191" t="s">
        <v>14</v>
      </c>
      <c r="K191">
        <v>865.89</v>
      </c>
    </row>
    <row r="192" spans="1:11" x14ac:dyDescent="0.25">
      <c r="A192" t="s">
        <v>400</v>
      </c>
      <c r="B192" s="1">
        <v>45158</v>
      </c>
      <c r="C192" t="s">
        <v>401</v>
      </c>
      <c r="D192" t="s">
        <v>36</v>
      </c>
      <c r="E192" t="s">
        <v>3988</v>
      </c>
      <c r="F192" t="s">
        <v>4132</v>
      </c>
      <c r="G192">
        <v>3</v>
      </c>
      <c r="H192">
        <v>1484.24</v>
      </c>
      <c r="I192">
        <v>15</v>
      </c>
      <c r="J192" t="s">
        <v>21</v>
      </c>
      <c r="K192">
        <v>3784.81</v>
      </c>
    </row>
    <row r="193" spans="1:11" x14ac:dyDescent="0.25">
      <c r="A193" t="s">
        <v>402</v>
      </c>
      <c r="B193" s="1">
        <v>45678</v>
      </c>
      <c r="C193" t="s">
        <v>403</v>
      </c>
      <c r="D193" t="s">
        <v>24</v>
      </c>
      <c r="E193" t="s">
        <v>29</v>
      </c>
      <c r="F193" t="s">
        <v>4162</v>
      </c>
      <c r="G193">
        <v>4</v>
      </c>
      <c r="H193">
        <v>509.92</v>
      </c>
      <c r="I193">
        <v>10</v>
      </c>
      <c r="J193" t="s">
        <v>14</v>
      </c>
      <c r="K193">
        <v>1835.71</v>
      </c>
    </row>
    <row r="194" spans="1:11" x14ac:dyDescent="0.25">
      <c r="A194" t="s">
        <v>404</v>
      </c>
      <c r="B194" s="1">
        <v>45709</v>
      </c>
      <c r="C194" t="s">
        <v>405</v>
      </c>
      <c r="D194" t="s">
        <v>36</v>
      </c>
      <c r="E194" t="s">
        <v>3272</v>
      </c>
      <c r="F194" t="s">
        <v>4163</v>
      </c>
      <c r="G194">
        <v>7</v>
      </c>
      <c r="H194">
        <v>774.27</v>
      </c>
      <c r="I194">
        <v>20</v>
      </c>
      <c r="J194" t="s">
        <v>17</v>
      </c>
      <c r="K194">
        <v>4335.91</v>
      </c>
    </row>
    <row r="195" spans="1:11" x14ac:dyDescent="0.25">
      <c r="A195" t="s">
        <v>406</v>
      </c>
      <c r="B195" s="1">
        <v>45238</v>
      </c>
      <c r="C195" t="s">
        <v>407</v>
      </c>
      <c r="D195" t="s">
        <v>24</v>
      </c>
      <c r="E195" t="s">
        <v>3988</v>
      </c>
      <c r="F195" t="s">
        <v>4164</v>
      </c>
      <c r="G195">
        <v>4</v>
      </c>
      <c r="H195">
        <v>171.96</v>
      </c>
      <c r="I195">
        <v>10</v>
      </c>
      <c r="J195" t="s">
        <v>39</v>
      </c>
      <c r="K195">
        <v>619.05999999999995</v>
      </c>
    </row>
    <row r="196" spans="1:11" x14ac:dyDescent="0.25">
      <c r="A196" t="s">
        <v>408</v>
      </c>
      <c r="B196" s="1">
        <v>45679</v>
      </c>
      <c r="C196" t="s">
        <v>409</v>
      </c>
      <c r="D196" t="s">
        <v>20</v>
      </c>
      <c r="E196" t="s">
        <v>29</v>
      </c>
      <c r="F196" t="s">
        <v>4165</v>
      </c>
      <c r="G196">
        <v>9</v>
      </c>
      <c r="H196">
        <v>1612.67</v>
      </c>
      <c r="I196">
        <v>5</v>
      </c>
      <c r="J196" t="s">
        <v>21</v>
      </c>
      <c r="K196">
        <v>13788.33</v>
      </c>
    </row>
    <row r="197" spans="1:11" x14ac:dyDescent="0.25">
      <c r="A197" t="s">
        <v>410</v>
      </c>
      <c r="B197" s="1">
        <v>45837</v>
      </c>
      <c r="C197" t="s">
        <v>411</v>
      </c>
      <c r="D197" t="s">
        <v>36</v>
      </c>
      <c r="E197" t="s">
        <v>3272</v>
      </c>
      <c r="F197" t="s">
        <v>4003</v>
      </c>
      <c r="G197">
        <v>1</v>
      </c>
      <c r="H197">
        <v>1544.85</v>
      </c>
      <c r="I197">
        <v>10</v>
      </c>
      <c r="J197" t="s">
        <v>21</v>
      </c>
      <c r="K197">
        <v>1390.36</v>
      </c>
    </row>
    <row r="198" spans="1:11" x14ac:dyDescent="0.25">
      <c r="A198" t="s">
        <v>412</v>
      </c>
      <c r="B198" s="1">
        <v>45567</v>
      </c>
      <c r="C198" t="s">
        <v>413</v>
      </c>
      <c r="D198" t="s">
        <v>24</v>
      </c>
      <c r="E198" t="s">
        <v>3988</v>
      </c>
      <c r="F198" t="s">
        <v>4166</v>
      </c>
      <c r="G198">
        <v>8</v>
      </c>
      <c r="H198">
        <v>1480.55</v>
      </c>
      <c r="I198">
        <v>0</v>
      </c>
      <c r="J198" t="s">
        <v>17</v>
      </c>
      <c r="K198">
        <v>11844.4</v>
      </c>
    </row>
    <row r="199" spans="1:11" x14ac:dyDescent="0.25">
      <c r="A199" t="s">
        <v>414</v>
      </c>
      <c r="B199" s="1">
        <v>45733</v>
      </c>
      <c r="C199" t="s">
        <v>415</v>
      </c>
      <c r="D199" t="s">
        <v>13</v>
      </c>
      <c r="E199" t="s">
        <v>29</v>
      </c>
      <c r="F199" t="s">
        <v>4167</v>
      </c>
      <c r="G199">
        <v>7</v>
      </c>
      <c r="H199">
        <v>633.91</v>
      </c>
      <c r="I199">
        <v>15</v>
      </c>
      <c r="J199" t="s">
        <v>14</v>
      </c>
      <c r="K199">
        <v>3771.76</v>
      </c>
    </row>
    <row r="200" spans="1:11" x14ac:dyDescent="0.25">
      <c r="A200" t="s">
        <v>416</v>
      </c>
      <c r="B200" s="1">
        <v>45357</v>
      </c>
      <c r="C200" t="s">
        <v>417</v>
      </c>
      <c r="D200" t="s">
        <v>36</v>
      </c>
      <c r="E200" t="s">
        <v>3272</v>
      </c>
      <c r="F200" t="s">
        <v>4168</v>
      </c>
      <c r="G200">
        <v>2</v>
      </c>
      <c r="H200">
        <v>388.29</v>
      </c>
      <c r="I200">
        <v>15</v>
      </c>
      <c r="J200" t="s">
        <v>21</v>
      </c>
      <c r="K200">
        <v>660.09</v>
      </c>
    </row>
    <row r="201" spans="1:11" x14ac:dyDescent="0.25">
      <c r="A201" t="s">
        <v>418</v>
      </c>
      <c r="B201" s="1">
        <v>45746</v>
      </c>
      <c r="C201" t="s">
        <v>419</v>
      </c>
      <c r="D201" t="s">
        <v>13</v>
      </c>
      <c r="E201" t="s">
        <v>3988</v>
      </c>
      <c r="F201" t="s">
        <v>4110</v>
      </c>
      <c r="G201">
        <v>8</v>
      </c>
      <c r="H201">
        <v>1293.23</v>
      </c>
      <c r="I201">
        <v>0</v>
      </c>
      <c r="J201" t="s">
        <v>14</v>
      </c>
      <c r="K201">
        <v>10345.84</v>
      </c>
    </row>
    <row r="202" spans="1:11" x14ac:dyDescent="0.25">
      <c r="A202" t="s">
        <v>420</v>
      </c>
      <c r="B202" s="1">
        <v>45647</v>
      </c>
      <c r="C202" t="s">
        <v>421</v>
      </c>
      <c r="D202" t="s">
        <v>13</v>
      </c>
      <c r="E202" t="s">
        <v>29</v>
      </c>
      <c r="F202" t="s">
        <v>4169</v>
      </c>
      <c r="G202">
        <v>1</v>
      </c>
      <c r="H202">
        <v>1017.52</v>
      </c>
      <c r="I202">
        <v>5</v>
      </c>
      <c r="J202" t="s">
        <v>21</v>
      </c>
      <c r="K202">
        <v>966.64</v>
      </c>
    </row>
    <row r="203" spans="1:11" x14ac:dyDescent="0.25">
      <c r="A203" t="s">
        <v>422</v>
      </c>
      <c r="B203" s="1">
        <v>45414</v>
      </c>
      <c r="C203" t="s">
        <v>423</v>
      </c>
      <c r="D203" t="s">
        <v>13</v>
      </c>
      <c r="E203" t="s">
        <v>3988</v>
      </c>
      <c r="F203" t="s">
        <v>4170</v>
      </c>
      <c r="G203">
        <v>9</v>
      </c>
      <c r="H203">
        <v>397.59</v>
      </c>
      <c r="I203">
        <v>0</v>
      </c>
      <c r="J203" t="s">
        <v>39</v>
      </c>
      <c r="K203">
        <v>3578.31</v>
      </c>
    </row>
    <row r="204" spans="1:11" x14ac:dyDescent="0.25">
      <c r="A204" t="s">
        <v>424</v>
      </c>
      <c r="B204" s="1">
        <v>45236</v>
      </c>
      <c r="C204" t="s">
        <v>425</v>
      </c>
      <c r="D204" t="s">
        <v>13</v>
      </c>
      <c r="E204" t="s">
        <v>3272</v>
      </c>
      <c r="F204" t="s">
        <v>4171</v>
      </c>
      <c r="G204">
        <v>9</v>
      </c>
      <c r="H204">
        <v>1387.53</v>
      </c>
      <c r="I204">
        <v>10</v>
      </c>
      <c r="J204" t="s">
        <v>17</v>
      </c>
      <c r="K204">
        <v>11238.99</v>
      </c>
    </row>
    <row r="205" spans="1:11" x14ac:dyDescent="0.25">
      <c r="A205" t="s">
        <v>426</v>
      </c>
      <c r="B205" s="1">
        <v>45377</v>
      </c>
      <c r="C205" t="s">
        <v>427</v>
      </c>
      <c r="D205" t="s">
        <v>24</v>
      </c>
      <c r="E205" t="s">
        <v>29</v>
      </c>
      <c r="F205" t="s">
        <v>4169</v>
      </c>
      <c r="G205">
        <v>2</v>
      </c>
      <c r="H205">
        <v>1982.7</v>
      </c>
      <c r="I205">
        <v>0</v>
      </c>
      <c r="J205" t="s">
        <v>14</v>
      </c>
      <c r="K205">
        <v>3965.4</v>
      </c>
    </row>
    <row r="206" spans="1:11" x14ac:dyDescent="0.25">
      <c r="A206" t="s">
        <v>428</v>
      </c>
      <c r="B206" s="1">
        <v>45487</v>
      </c>
      <c r="C206" t="s">
        <v>429</v>
      </c>
      <c r="D206" t="s">
        <v>24</v>
      </c>
      <c r="E206" t="s">
        <v>3988</v>
      </c>
      <c r="F206" t="s">
        <v>4170</v>
      </c>
      <c r="G206">
        <v>7</v>
      </c>
      <c r="H206">
        <v>1507.08</v>
      </c>
      <c r="I206">
        <v>0</v>
      </c>
      <c r="J206" t="s">
        <v>17</v>
      </c>
      <c r="K206">
        <v>10549.56</v>
      </c>
    </row>
    <row r="207" spans="1:11" x14ac:dyDescent="0.25">
      <c r="A207" t="s">
        <v>430</v>
      </c>
      <c r="B207" s="1">
        <v>45272</v>
      </c>
      <c r="C207" t="s">
        <v>431</v>
      </c>
      <c r="D207" t="s">
        <v>36</v>
      </c>
      <c r="E207" t="s">
        <v>3988</v>
      </c>
      <c r="F207" t="s">
        <v>4172</v>
      </c>
      <c r="G207">
        <v>3</v>
      </c>
      <c r="H207">
        <v>1492.97</v>
      </c>
      <c r="I207">
        <v>5</v>
      </c>
      <c r="J207" t="s">
        <v>17</v>
      </c>
      <c r="K207">
        <v>4254.96</v>
      </c>
    </row>
    <row r="208" spans="1:11" x14ac:dyDescent="0.25">
      <c r="A208" t="s">
        <v>432</v>
      </c>
      <c r="B208" s="1">
        <v>45502</v>
      </c>
      <c r="C208" t="s">
        <v>433</v>
      </c>
      <c r="D208" t="s">
        <v>36</v>
      </c>
      <c r="E208" t="s">
        <v>3988</v>
      </c>
      <c r="F208" t="s">
        <v>4173</v>
      </c>
      <c r="G208">
        <v>7</v>
      </c>
      <c r="H208">
        <v>1903.11</v>
      </c>
      <c r="I208">
        <v>10</v>
      </c>
      <c r="J208" t="s">
        <v>14</v>
      </c>
      <c r="K208">
        <v>11989.59</v>
      </c>
    </row>
    <row r="209" spans="1:11" x14ac:dyDescent="0.25">
      <c r="A209" t="s">
        <v>434</v>
      </c>
      <c r="B209" s="1">
        <v>45152</v>
      </c>
      <c r="C209" t="s">
        <v>435</v>
      </c>
      <c r="D209" t="s">
        <v>36</v>
      </c>
      <c r="E209" t="s">
        <v>3988</v>
      </c>
      <c r="F209" t="s">
        <v>4174</v>
      </c>
      <c r="G209">
        <v>9</v>
      </c>
      <c r="H209">
        <v>445.73</v>
      </c>
      <c r="I209">
        <v>20</v>
      </c>
      <c r="J209" t="s">
        <v>14</v>
      </c>
      <c r="K209">
        <v>3209.26</v>
      </c>
    </row>
    <row r="210" spans="1:11" x14ac:dyDescent="0.25">
      <c r="A210" t="s">
        <v>436</v>
      </c>
      <c r="B210" s="1">
        <v>45710</v>
      </c>
      <c r="C210" t="s">
        <v>437</v>
      </c>
      <c r="D210" t="s">
        <v>24</v>
      </c>
      <c r="E210" t="s">
        <v>3272</v>
      </c>
      <c r="F210" t="s">
        <v>4175</v>
      </c>
      <c r="G210">
        <v>4</v>
      </c>
      <c r="H210">
        <v>1152.82</v>
      </c>
      <c r="I210">
        <v>20</v>
      </c>
      <c r="J210" t="s">
        <v>21</v>
      </c>
      <c r="K210">
        <v>3689.02</v>
      </c>
    </row>
    <row r="211" spans="1:11" x14ac:dyDescent="0.25">
      <c r="A211" t="s">
        <v>438</v>
      </c>
      <c r="B211" s="1">
        <v>45830</v>
      </c>
      <c r="C211" t="s">
        <v>439</v>
      </c>
      <c r="D211" t="s">
        <v>36</v>
      </c>
      <c r="E211" t="s">
        <v>3988</v>
      </c>
      <c r="F211" t="s">
        <v>4176</v>
      </c>
      <c r="G211">
        <v>1</v>
      </c>
      <c r="H211">
        <v>1960.31</v>
      </c>
      <c r="I211">
        <v>15</v>
      </c>
      <c r="J211" t="s">
        <v>14</v>
      </c>
      <c r="K211">
        <v>1666.26</v>
      </c>
    </row>
    <row r="212" spans="1:11" x14ac:dyDescent="0.25">
      <c r="A212" t="s">
        <v>440</v>
      </c>
      <c r="B212" s="1">
        <v>45708</v>
      </c>
      <c r="C212" t="s">
        <v>441</v>
      </c>
      <c r="D212" t="s">
        <v>13</v>
      </c>
      <c r="E212" t="s">
        <v>3988</v>
      </c>
      <c r="F212" t="s">
        <v>4177</v>
      </c>
      <c r="G212">
        <v>2</v>
      </c>
      <c r="H212">
        <v>372.32</v>
      </c>
      <c r="I212">
        <v>0</v>
      </c>
      <c r="J212" t="s">
        <v>17</v>
      </c>
      <c r="K212">
        <v>744.64</v>
      </c>
    </row>
    <row r="213" spans="1:11" x14ac:dyDescent="0.25">
      <c r="A213" t="s">
        <v>442</v>
      </c>
      <c r="B213" s="1">
        <v>45354</v>
      </c>
      <c r="C213" t="s">
        <v>443</v>
      </c>
      <c r="D213" t="s">
        <v>24</v>
      </c>
      <c r="E213" t="s">
        <v>3272</v>
      </c>
      <c r="F213" t="s">
        <v>4178</v>
      </c>
      <c r="G213">
        <v>1</v>
      </c>
      <c r="H213">
        <v>1415.49</v>
      </c>
      <c r="I213">
        <v>15</v>
      </c>
      <c r="J213" t="s">
        <v>17</v>
      </c>
      <c r="K213">
        <v>1203.17</v>
      </c>
    </row>
    <row r="214" spans="1:11" x14ac:dyDescent="0.25">
      <c r="A214" t="s">
        <v>444</v>
      </c>
      <c r="B214" s="1">
        <v>45538</v>
      </c>
      <c r="C214" t="s">
        <v>445</v>
      </c>
      <c r="D214" t="s">
        <v>36</v>
      </c>
      <c r="E214" t="s">
        <v>29</v>
      </c>
      <c r="F214" t="s">
        <v>4061</v>
      </c>
      <c r="G214">
        <v>5</v>
      </c>
      <c r="H214">
        <v>1192.33</v>
      </c>
      <c r="I214">
        <v>5</v>
      </c>
      <c r="J214" t="s">
        <v>14</v>
      </c>
      <c r="K214">
        <v>5663.57</v>
      </c>
    </row>
    <row r="215" spans="1:11" x14ac:dyDescent="0.25">
      <c r="A215" t="s">
        <v>446</v>
      </c>
      <c r="B215" s="1">
        <v>45741</v>
      </c>
      <c r="C215" t="s">
        <v>447</v>
      </c>
      <c r="D215" t="s">
        <v>13</v>
      </c>
      <c r="E215" t="s">
        <v>3272</v>
      </c>
      <c r="F215" t="s">
        <v>4179</v>
      </c>
      <c r="G215">
        <v>5</v>
      </c>
      <c r="H215">
        <v>1193.6300000000001</v>
      </c>
      <c r="I215">
        <v>20</v>
      </c>
      <c r="J215" t="s">
        <v>14</v>
      </c>
      <c r="K215">
        <v>4774.5200000000004</v>
      </c>
    </row>
    <row r="216" spans="1:11" x14ac:dyDescent="0.25">
      <c r="A216" t="s">
        <v>448</v>
      </c>
      <c r="B216" s="1">
        <v>45288</v>
      </c>
      <c r="C216" t="s">
        <v>449</v>
      </c>
      <c r="D216" t="s">
        <v>36</v>
      </c>
      <c r="E216" t="s">
        <v>29</v>
      </c>
      <c r="F216" t="s">
        <v>4180</v>
      </c>
      <c r="G216">
        <v>7</v>
      </c>
      <c r="H216">
        <v>1410.46</v>
      </c>
      <c r="I216">
        <v>0</v>
      </c>
      <c r="J216" t="s">
        <v>21</v>
      </c>
      <c r="K216">
        <v>9873.2199999999993</v>
      </c>
    </row>
    <row r="217" spans="1:11" x14ac:dyDescent="0.25">
      <c r="A217" t="s">
        <v>450</v>
      </c>
      <c r="B217" s="1">
        <v>45544</v>
      </c>
      <c r="C217" t="s">
        <v>451</v>
      </c>
      <c r="D217" t="s">
        <v>20</v>
      </c>
      <c r="E217" t="s">
        <v>3988</v>
      </c>
      <c r="F217" t="s">
        <v>4181</v>
      </c>
      <c r="G217">
        <v>9</v>
      </c>
      <c r="H217">
        <v>1862.75</v>
      </c>
      <c r="I217">
        <v>5</v>
      </c>
      <c r="J217" t="s">
        <v>21</v>
      </c>
      <c r="K217">
        <v>15926.51</v>
      </c>
    </row>
    <row r="218" spans="1:11" x14ac:dyDescent="0.25">
      <c r="A218" t="s">
        <v>452</v>
      </c>
      <c r="B218" s="1">
        <v>45858</v>
      </c>
      <c r="C218" t="s">
        <v>453</v>
      </c>
      <c r="D218" t="s">
        <v>36</v>
      </c>
      <c r="E218" t="s">
        <v>3272</v>
      </c>
      <c r="F218" t="s">
        <v>4182</v>
      </c>
      <c r="G218">
        <v>9</v>
      </c>
      <c r="H218">
        <v>1576.03</v>
      </c>
      <c r="I218">
        <v>5</v>
      </c>
      <c r="J218" t="s">
        <v>21</v>
      </c>
      <c r="K218">
        <v>13475.06</v>
      </c>
    </row>
    <row r="219" spans="1:11" x14ac:dyDescent="0.25">
      <c r="A219" t="s">
        <v>454</v>
      </c>
      <c r="B219" s="1">
        <v>45232</v>
      </c>
      <c r="C219" t="s">
        <v>455</v>
      </c>
      <c r="D219" t="s">
        <v>20</v>
      </c>
      <c r="E219" t="s">
        <v>3988</v>
      </c>
      <c r="F219" t="s">
        <v>4183</v>
      </c>
      <c r="G219">
        <v>3</v>
      </c>
      <c r="H219">
        <v>159.47</v>
      </c>
      <c r="I219">
        <v>0</v>
      </c>
      <c r="J219" t="s">
        <v>17</v>
      </c>
      <c r="K219">
        <v>478.41</v>
      </c>
    </row>
    <row r="220" spans="1:11" x14ac:dyDescent="0.25">
      <c r="A220" t="s">
        <v>456</v>
      </c>
      <c r="B220" s="1">
        <v>45826</v>
      </c>
      <c r="C220" t="s">
        <v>457</v>
      </c>
      <c r="D220" t="s">
        <v>36</v>
      </c>
      <c r="E220" t="s">
        <v>29</v>
      </c>
      <c r="F220" t="s">
        <v>4079</v>
      </c>
      <c r="G220">
        <v>3</v>
      </c>
      <c r="H220">
        <v>1712.82</v>
      </c>
      <c r="I220">
        <v>5</v>
      </c>
      <c r="J220" t="s">
        <v>14</v>
      </c>
      <c r="K220">
        <v>4881.54</v>
      </c>
    </row>
    <row r="221" spans="1:11" x14ac:dyDescent="0.25">
      <c r="A221" t="s">
        <v>458</v>
      </c>
      <c r="B221" s="1">
        <v>45635</v>
      </c>
      <c r="C221" t="s">
        <v>459</v>
      </c>
      <c r="D221" t="s">
        <v>36</v>
      </c>
      <c r="E221" t="s">
        <v>29</v>
      </c>
      <c r="F221" t="s">
        <v>3999</v>
      </c>
      <c r="G221">
        <v>3</v>
      </c>
      <c r="H221">
        <v>489.81</v>
      </c>
      <c r="I221">
        <v>0</v>
      </c>
      <c r="J221" t="s">
        <v>39</v>
      </c>
      <c r="K221">
        <v>1469.43</v>
      </c>
    </row>
    <row r="222" spans="1:11" x14ac:dyDescent="0.25">
      <c r="A222" t="s">
        <v>460</v>
      </c>
      <c r="B222" s="1">
        <v>45381</v>
      </c>
      <c r="C222" t="s">
        <v>461</v>
      </c>
      <c r="D222" t="s">
        <v>24</v>
      </c>
      <c r="E222" t="s">
        <v>3988</v>
      </c>
      <c r="F222" t="s">
        <v>4184</v>
      </c>
      <c r="G222">
        <v>4</v>
      </c>
      <c r="H222">
        <v>784.98</v>
      </c>
      <c r="I222">
        <v>0</v>
      </c>
      <c r="J222" t="s">
        <v>14</v>
      </c>
      <c r="K222">
        <v>3139.92</v>
      </c>
    </row>
    <row r="223" spans="1:11" x14ac:dyDescent="0.25">
      <c r="A223" t="s">
        <v>462</v>
      </c>
      <c r="B223" s="1">
        <v>45803</v>
      </c>
      <c r="C223" t="s">
        <v>463</v>
      </c>
      <c r="D223" t="s">
        <v>24</v>
      </c>
      <c r="E223" t="s">
        <v>3988</v>
      </c>
      <c r="F223" t="s">
        <v>4185</v>
      </c>
      <c r="G223">
        <v>8</v>
      </c>
      <c r="H223">
        <v>950.38</v>
      </c>
      <c r="I223">
        <v>10</v>
      </c>
      <c r="J223" t="s">
        <v>14</v>
      </c>
      <c r="K223">
        <v>6842.74</v>
      </c>
    </row>
    <row r="224" spans="1:11" x14ac:dyDescent="0.25">
      <c r="A224" t="s">
        <v>464</v>
      </c>
      <c r="B224" s="1">
        <v>45646</v>
      </c>
      <c r="C224" t="s">
        <v>465</v>
      </c>
      <c r="D224" t="s">
        <v>20</v>
      </c>
      <c r="E224" t="s">
        <v>3988</v>
      </c>
      <c r="F224" t="s">
        <v>4186</v>
      </c>
      <c r="G224">
        <v>6</v>
      </c>
      <c r="H224">
        <v>987.77</v>
      </c>
      <c r="I224">
        <v>15</v>
      </c>
      <c r="J224" t="s">
        <v>21</v>
      </c>
      <c r="K224">
        <v>5037.63</v>
      </c>
    </row>
    <row r="225" spans="1:11" x14ac:dyDescent="0.25">
      <c r="A225" t="s">
        <v>466</v>
      </c>
      <c r="B225" s="1">
        <v>45544</v>
      </c>
      <c r="C225" t="s">
        <v>467</v>
      </c>
      <c r="D225" t="s">
        <v>24</v>
      </c>
      <c r="E225" t="s">
        <v>3272</v>
      </c>
      <c r="F225" t="s">
        <v>4187</v>
      </c>
      <c r="G225">
        <v>8</v>
      </c>
      <c r="H225">
        <v>898.6</v>
      </c>
      <c r="I225">
        <v>5</v>
      </c>
      <c r="J225" t="s">
        <v>39</v>
      </c>
      <c r="K225">
        <v>6829.36</v>
      </c>
    </row>
    <row r="226" spans="1:11" x14ac:dyDescent="0.25">
      <c r="A226" t="s">
        <v>468</v>
      </c>
      <c r="B226" s="1">
        <v>45623</v>
      </c>
      <c r="C226" t="s">
        <v>469</v>
      </c>
      <c r="D226" t="s">
        <v>13</v>
      </c>
      <c r="E226" t="s">
        <v>3272</v>
      </c>
      <c r="F226" t="s">
        <v>4120</v>
      </c>
      <c r="G226">
        <v>1</v>
      </c>
      <c r="H226">
        <v>1877.84</v>
      </c>
      <c r="I226">
        <v>5</v>
      </c>
      <c r="J226" t="s">
        <v>14</v>
      </c>
      <c r="K226">
        <v>1783.95</v>
      </c>
    </row>
    <row r="227" spans="1:11" x14ac:dyDescent="0.25">
      <c r="A227" t="s">
        <v>470</v>
      </c>
      <c r="B227" s="1">
        <v>45304</v>
      </c>
      <c r="C227" t="s">
        <v>471</v>
      </c>
      <c r="D227" t="s">
        <v>13</v>
      </c>
      <c r="E227" t="s">
        <v>3272</v>
      </c>
      <c r="F227" t="s">
        <v>4188</v>
      </c>
      <c r="G227">
        <v>8</v>
      </c>
      <c r="H227">
        <v>1426.74</v>
      </c>
      <c r="I227">
        <v>10</v>
      </c>
      <c r="J227" t="s">
        <v>39</v>
      </c>
      <c r="K227">
        <v>10272.530000000001</v>
      </c>
    </row>
    <row r="228" spans="1:11" x14ac:dyDescent="0.25">
      <c r="A228" t="s">
        <v>472</v>
      </c>
      <c r="B228" s="1">
        <v>45268</v>
      </c>
      <c r="C228" t="s">
        <v>473</v>
      </c>
      <c r="D228" t="s">
        <v>20</v>
      </c>
      <c r="E228" t="s">
        <v>3988</v>
      </c>
      <c r="F228" t="s">
        <v>4189</v>
      </c>
      <c r="G228">
        <v>4</v>
      </c>
      <c r="H228">
        <v>1280.78</v>
      </c>
      <c r="I228">
        <v>10</v>
      </c>
      <c r="J228" t="s">
        <v>39</v>
      </c>
      <c r="K228">
        <v>4610.8100000000004</v>
      </c>
    </row>
    <row r="229" spans="1:11" x14ac:dyDescent="0.25">
      <c r="A229" t="s">
        <v>474</v>
      </c>
      <c r="B229" s="1">
        <v>45440</v>
      </c>
      <c r="C229" t="s">
        <v>475</v>
      </c>
      <c r="D229" t="s">
        <v>13</v>
      </c>
      <c r="E229" t="s">
        <v>3272</v>
      </c>
      <c r="F229" t="s">
        <v>4102</v>
      </c>
      <c r="G229">
        <v>1</v>
      </c>
      <c r="H229">
        <v>147.19</v>
      </c>
      <c r="I229">
        <v>10</v>
      </c>
      <c r="J229" t="s">
        <v>14</v>
      </c>
      <c r="K229">
        <v>132.47</v>
      </c>
    </row>
    <row r="230" spans="1:11" x14ac:dyDescent="0.25">
      <c r="A230" t="s">
        <v>476</v>
      </c>
      <c r="B230" s="1">
        <v>45742</v>
      </c>
      <c r="C230" t="s">
        <v>477</v>
      </c>
      <c r="D230" t="s">
        <v>13</v>
      </c>
      <c r="E230" t="s">
        <v>29</v>
      </c>
      <c r="F230" t="s">
        <v>4159</v>
      </c>
      <c r="G230">
        <v>8</v>
      </c>
      <c r="H230">
        <v>1812.63</v>
      </c>
      <c r="I230">
        <v>20</v>
      </c>
      <c r="J230" t="s">
        <v>21</v>
      </c>
      <c r="K230">
        <v>11600.83</v>
      </c>
    </row>
    <row r="231" spans="1:11" x14ac:dyDescent="0.25">
      <c r="A231" t="s">
        <v>478</v>
      </c>
      <c r="B231" s="1">
        <v>45275</v>
      </c>
      <c r="C231" t="s">
        <v>479</v>
      </c>
      <c r="D231" t="s">
        <v>36</v>
      </c>
      <c r="E231" t="s">
        <v>3988</v>
      </c>
      <c r="F231" t="s">
        <v>4190</v>
      </c>
      <c r="G231">
        <v>4</v>
      </c>
      <c r="H231">
        <v>1823.31</v>
      </c>
      <c r="I231">
        <v>20</v>
      </c>
      <c r="J231" t="s">
        <v>21</v>
      </c>
      <c r="K231">
        <v>5834.59</v>
      </c>
    </row>
    <row r="232" spans="1:11" x14ac:dyDescent="0.25">
      <c r="A232" t="s">
        <v>480</v>
      </c>
      <c r="B232" s="1">
        <v>45568</v>
      </c>
      <c r="C232" t="s">
        <v>481</v>
      </c>
      <c r="D232" t="s">
        <v>24</v>
      </c>
      <c r="E232" t="s">
        <v>29</v>
      </c>
      <c r="F232" t="s">
        <v>4169</v>
      </c>
      <c r="G232">
        <v>6</v>
      </c>
      <c r="H232">
        <v>1571.42</v>
      </c>
      <c r="I232">
        <v>20</v>
      </c>
      <c r="J232" t="s">
        <v>14</v>
      </c>
      <c r="K232">
        <v>7542.82</v>
      </c>
    </row>
    <row r="233" spans="1:11" x14ac:dyDescent="0.25">
      <c r="A233" t="s">
        <v>482</v>
      </c>
      <c r="B233" s="1">
        <v>45754</v>
      </c>
      <c r="C233" t="s">
        <v>483</v>
      </c>
      <c r="D233" t="s">
        <v>13</v>
      </c>
      <c r="E233" t="s">
        <v>3988</v>
      </c>
      <c r="F233" t="s">
        <v>4191</v>
      </c>
      <c r="G233">
        <v>8</v>
      </c>
      <c r="H233">
        <v>63.71</v>
      </c>
      <c r="I233">
        <v>0</v>
      </c>
      <c r="J233" t="s">
        <v>39</v>
      </c>
      <c r="K233">
        <v>509.68</v>
      </c>
    </row>
    <row r="234" spans="1:11" x14ac:dyDescent="0.25">
      <c r="A234" t="s">
        <v>484</v>
      </c>
      <c r="B234" s="1">
        <v>45866</v>
      </c>
      <c r="C234" t="s">
        <v>485</v>
      </c>
      <c r="D234" t="s">
        <v>13</v>
      </c>
      <c r="E234" t="s">
        <v>29</v>
      </c>
      <c r="F234" t="s">
        <v>4192</v>
      </c>
      <c r="G234">
        <v>4</v>
      </c>
      <c r="H234">
        <v>161.69999999999999</v>
      </c>
      <c r="I234">
        <v>5</v>
      </c>
      <c r="J234" t="s">
        <v>39</v>
      </c>
      <c r="K234">
        <v>614.46</v>
      </c>
    </row>
    <row r="235" spans="1:11" x14ac:dyDescent="0.25">
      <c r="A235" t="s">
        <v>486</v>
      </c>
      <c r="B235" s="1">
        <v>45561</v>
      </c>
      <c r="C235" t="s">
        <v>487</v>
      </c>
      <c r="D235" t="s">
        <v>24</v>
      </c>
      <c r="E235" t="s">
        <v>3272</v>
      </c>
      <c r="F235" t="s">
        <v>4193</v>
      </c>
      <c r="G235">
        <v>3</v>
      </c>
      <c r="H235">
        <v>489.19</v>
      </c>
      <c r="I235">
        <v>15</v>
      </c>
      <c r="J235" t="s">
        <v>21</v>
      </c>
      <c r="K235">
        <v>1247.43</v>
      </c>
    </row>
    <row r="236" spans="1:11" x14ac:dyDescent="0.25">
      <c r="A236" t="s">
        <v>488</v>
      </c>
      <c r="B236" s="1">
        <v>45863</v>
      </c>
      <c r="C236" t="s">
        <v>489</v>
      </c>
      <c r="D236" t="s">
        <v>13</v>
      </c>
      <c r="E236" t="s">
        <v>3272</v>
      </c>
      <c r="F236" t="s">
        <v>4194</v>
      </c>
      <c r="G236">
        <v>9</v>
      </c>
      <c r="H236">
        <v>306.13</v>
      </c>
      <c r="I236">
        <v>0</v>
      </c>
      <c r="J236" t="s">
        <v>21</v>
      </c>
      <c r="K236">
        <v>2755.17</v>
      </c>
    </row>
    <row r="237" spans="1:11" x14ac:dyDescent="0.25">
      <c r="A237" t="s">
        <v>490</v>
      </c>
      <c r="B237" s="1">
        <v>45150</v>
      </c>
      <c r="C237" t="s">
        <v>491</v>
      </c>
      <c r="D237" t="s">
        <v>13</v>
      </c>
      <c r="E237" t="s">
        <v>3988</v>
      </c>
      <c r="F237" t="s">
        <v>4195</v>
      </c>
      <c r="G237">
        <v>3</v>
      </c>
      <c r="H237">
        <v>827.73</v>
      </c>
      <c r="I237">
        <v>5</v>
      </c>
      <c r="J237" t="s">
        <v>21</v>
      </c>
      <c r="K237">
        <v>2359.0300000000002</v>
      </c>
    </row>
    <row r="238" spans="1:11" x14ac:dyDescent="0.25">
      <c r="A238" t="s">
        <v>492</v>
      </c>
      <c r="B238" s="1">
        <v>45615</v>
      </c>
      <c r="C238" t="s">
        <v>493</v>
      </c>
      <c r="D238" t="s">
        <v>24</v>
      </c>
      <c r="E238" t="s">
        <v>3988</v>
      </c>
      <c r="F238" t="s">
        <v>4176</v>
      </c>
      <c r="G238">
        <v>9</v>
      </c>
      <c r="H238">
        <v>1849.11</v>
      </c>
      <c r="I238">
        <v>5</v>
      </c>
      <c r="J238" t="s">
        <v>39</v>
      </c>
      <c r="K238">
        <v>15809.89</v>
      </c>
    </row>
    <row r="239" spans="1:11" x14ac:dyDescent="0.25">
      <c r="A239" t="s">
        <v>494</v>
      </c>
      <c r="B239" s="1">
        <v>45401</v>
      </c>
      <c r="C239" t="s">
        <v>495</v>
      </c>
      <c r="D239" t="s">
        <v>36</v>
      </c>
      <c r="E239" t="s">
        <v>3988</v>
      </c>
      <c r="F239" t="s">
        <v>4128</v>
      </c>
      <c r="G239">
        <v>2</v>
      </c>
      <c r="H239">
        <v>970.52</v>
      </c>
      <c r="I239">
        <v>10</v>
      </c>
      <c r="J239" t="s">
        <v>39</v>
      </c>
      <c r="K239">
        <v>1746.94</v>
      </c>
    </row>
    <row r="240" spans="1:11" x14ac:dyDescent="0.25">
      <c r="A240" t="s">
        <v>496</v>
      </c>
      <c r="B240" s="1">
        <v>45529</v>
      </c>
      <c r="C240" t="s">
        <v>497</v>
      </c>
      <c r="D240" t="s">
        <v>13</v>
      </c>
      <c r="E240" t="s">
        <v>3272</v>
      </c>
      <c r="F240" t="s">
        <v>4145</v>
      </c>
      <c r="G240">
        <v>2</v>
      </c>
      <c r="H240">
        <v>76.14</v>
      </c>
      <c r="I240">
        <v>10</v>
      </c>
      <c r="J240" t="s">
        <v>21</v>
      </c>
      <c r="K240">
        <v>137.05000000000001</v>
      </c>
    </row>
    <row r="241" spans="1:11" x14ac:dyDescent="0.25">
      <c r="A241" t="s">
        <v>498</v>
      </c>
      <c r="B241" s="1">
        <v>45165</v>
      </c>
      <c r="C241" t="s">
        <v>499</v>
      </c>
      <c r="D241" t="s">
        <v>24</v>
      </c>
      <c r="E241" t="s">
        <v>29</v>
      </c>
      <c r="F241" t="s">
        <v>4196</v>
      </c>
      <c r="G241">
        <v>2</v>
      </c>
      <c r="H241">
        <v>601.35</v>
      </c>
      <c r="I241">
        <v>0</v>
      </c>
      <c r="J241" t="s">
        <v>21</v>
      </c>
      <c r="K241">
        <v>1202.7</v>
      </c>
    </row>
    <row r="242" spans="1:11" x14ac:dyDescent="0.25">
      <c r="A242" t="s">
        <v>500</v>
      </c>
      <c r="B242" s="1">
        <v>45236</v>
      </c>
      <c r="C242" t="s">
        <v>501</v>
      </c>
      <c r="D242" t="s">
        <v>13</v>
      </c>
      <c r="E242" t="s">
        <v>3988</v>
      </c>
      <c r="F242" t="s">
        <v>4197</v>
      </c>
      <c r="G242">
        <v>6</v>
      </c>
      <c r="H242">
        <v>136.96</v>
      </c>
      <c r="I242">
        <v>10</v>
      </c>
      <c r="J242" t="s">
        <v>39</v>
      </c>
      <c r="K242">
        <v>739.58</v>
      </c>
    </row>
    <row r="243" spans="1:11" x14ac:dyDescent="0.25">
      <c r="A243" t="s">
        <v>502</v>
      </c>
      <c r="B243" s="1">
        <v>45871</v>
      </c>
      <c r="C243" t="s">
        <v>503</v>
      </c>
      <c r="D243" t="s">
        <v>13</v>
      </c>
      <c r="E243" t="s">
        <v>3988</v>
      </c>
      <c r="F243" t="s">
        <v>4198</v>
      </c>
      <c r="G243">
        <v>3</v>
      </c>
      <c r="H243">
        <v>120.76</v>
      </c>
      <c r="I243">
        <v>5</v>
      </c>
      <c r="J243" t="s">
        <v>17</v>
      </c>
      <c r="K243">
        <v>344.17</v>
      </c>
    </row>
    <row r="244" spans="1:11" x14ac:dyDescent="0.25">
      <c r="A244" t="s">
        <v>504</v>
      </c>
      <c r="B244" s="1">
        <v>45431</v>
      </c>
      <c r="C244" t="s">
        <v>505</v>
      </c>
      <c r="D244" t="s">
        <v>36</v>
      </c>
      <c r="E244" t="s">
        <v>3272</v>
      </c>
      <c r="F244" t="s">
        <v>4199</v>
      </c>
      <c r="G244">
        <v>9</v>
      </c>
      <c r="H244">
        <v>587.65</v>
      </c>
      <c r="I244">
        <v>10</v>
      </c>
      <c r="J244" t="s">
        <v>39</v>
      </c>
      <c r="K244">
        <v>4759.96</v>
      </c>
    </row>
    <row r="245" spans="1:11" x14ac:dyDescent="0.25">
      <c r="A245" t="s">
        <v>506</v>
      </c>
      <c r="B245" s="1">
        <v>45832</v>
      </c>
      <c r="C245" t="s">
        <v>507</v>
      </c>
      <c r="D245" t="s">
        <v>20</v>
      </c>
      <c r="E245" t="s">
        <v>29</v>
      </c>
      <c r="F245" t="s">
        <v>4200</v>
      </c>
      <c r="G245">
        <v>4</v>
      </c>
      <c r="H245">
        <v>587.44000000000005</v>
      </c>
      <c r="I245">
        <v>20</v>
      </c>
      <c r="J245" t="s">
        <v>14</v>
      </c>
      <c r="K245">
        <v>1879.81</v>
      </c>
    </row>
    <row r="246" spans="1:11" x14ac:dyDescent="0.25">
      <c r="A246" t="s">
        <v>508</v>
      </c>
      <c r="B246" s="1">
        <v>45795</v>
      </c>
      <c r="C246" t="s">
        <v>509</v>
      </c>
      <c r="D246" t="s">
        <v>20</v>
      </c>
      <c r="E246" t="s">
        <v>3988</v>
      </c>
      <c r="F246" t="s">
        <v>4201</v>
      </c>
      <c r="G246">
        <v>1</v>
      </c>
      <c r="H246">
        <v>1584.9</v>
      </c>
      <c r="I246">
        <v>10</v>
      </c>
      <c r="J246" t="s">
        <v>14</v>
      </c>
      <c r="K246">
        <v>1426.41</v>
      </c>
    </row>
    <row r="247" spans="1:11" x14ac:dyDescent="0.25">
      <c r="A247" t="s">
        <v>510</v>
      </c>
      <c r="B247" s="1">
        <v>45776</v>
      </c>
      <c r="C247" t="s">
        <v>511</v>
      </c>
      <c r="D247" t="s">
        <v>24</v>
      </c>
      <c r="E247" t="s">
        <v>29</v>
      </c>
      <c r="F247" t="s">
        <v>4030</v>
      </c>
      <c r="G247">
        <v>4</v>
      </c>
      <c r="H247">
        <v>1950.93</v>
      </c>
      <c r="I247">
        <v>5</v>
      </c>
      <c r="J247" t="s">
        <v>39</v>
      </c>
      <c r="K247">
        <v>7413.53</v>
      </c>
    </row>
    <row r="248" spans="1:11" x14ac:dyDescent="0.25">
      <c r="A248" t="s">
        <v>512</v>
      </c>
      <c r="B248" s="1">
        <v>45388</v>
      </c>
      <c r="C248" t="s">
        <v>513</v>
      </c>
      <c r="D248" t="s">
        <v>20</v>
      </c>
      <c r="E248" t="s">
        <v>3988</v>
      </c>
      <c r="F248" t="s">
        <v>4202</v>
      </c>
      <c r="G248">
        <v>1</v>
      </c>
      <c r="H248">
        <v>773.85</v>
      </c>
      <c r="I248">
        <v>0</v>
      </c>
      <c r="J248" t="s">
        <v>14</v>
      </c>
      <c r="K248">
        <v>773.85</v>
      </c>
    </row>
    <row r="249" spans="1:11" x14ac:dyDescent="0.25">
      <c r="A249" t="s">
        <v>514</v>
      </c>
      <c r="B249" s="1">
        <v>45335</v>
      </c>
      <c r="C249" t="s">
        <v>515</v>
      </c>
      <c r="D249" t="s">
        <v>24</v>
      </c>
      <c r="E249" t="s">
        <v>3272</v>
      </c>
      <c r="F249" t="s">
        <v>4203</v>
      </c>
      <c r="G249">
        <v>5</v>
      </c>
      <c r="H249">
        <v>886.33</v>
      </c>
      <c r="I249">
        <v>15</v>
      </c>
      <c r="J249" t="s">
        <v>17</v>
      </c>
      <c r="K249">
        <v>3766.9</v>
      </c>
    </row>
    <row r="250" spans="1:11" x14ac:dyDescent="0.25">
      <c r="A250" t="s">
        <v>516</v>
      </c>
      <c r="B250" s="1">
        <v>45194</v>
      </c>
      <c r="C250" t="s">
        <v>517</v>
      </c>
      <c r="D250" t="s">
        <v>20</v>
      </c>
      <c r="E250" t="s">
        <v>3272</v>
      </c>
      <c r="F250" t="s">
        <v>4203</v>
      </c>
      <c r="G250">
        <v>4</v>
      </c>
      <c r="H250">
        <v>1697.34</v>
      </c>
      <c r="I250">
        <v>10</v>
      </c>
      <c r="J250" t="s">
        <v>17</v>
      </c>
      <c r="K250">
        <v>6110.42</v>
      </c>
    </row>
    <row r="251" spans="1:11" x14ac:dyDescent="0.25">
      <c r="A251" t="s">
        <v>518</v>
      </c>
      <c r="B251" s="1">
        <v>45337</v>
      </c>
      <c r="C251" t="s">
        <v>519</v>
      </c>
      <c r="D251" t="s">
        <v>36</v>
      </c>
      <c r="E251" t="s">
        <v>3988</v>
      </c>
      <c r="F251" t="s">
        <v>4204</v>
      </c>
      <c r="G251">
        <v>8</v>
      </c>
      <c r="H251">
        <v>572.87</v>
      </c>
      <c r="I251">
        <v>5</v>
      </c>
      <c r="J251" t="s">
        <v>17</v>
      </c>
      <c r="K251">
        <v>4353.8100000000004</v>
      </c>
    </row>
    <row r="252" spans="1:11" x14ac:dyDescent="0.25">
      <c r="A252" t="s">
        <v>520</v>
      </c>
      <c r="B252" s="1">
        <v>45831</v>
      </c>
      <c r="C252" t="s">
        <v>521</v>
      </c>
      <c r="D252" t="s">
        <v>24</v>
      </c>
      <c r="E252" t="s">
        <v>3988</v>
      </c>
      <c r="F252" t="s">
        <v>4205</v>
      </c>
      <c r="G252">
        <v>8</v>
      </c>
      <c r="H252">
        <v>354.94</v>
      </c>
      <c r="I252">
        <v>15</v>
      </c>
      <c r="J252" t="s">
        <v>14</v>
      </c>
      <c r="K252">
        <v>2413.59</v>
      </c>
    </row>
    <row r="253" spans="1:11" x14ac:dyDescent="0.25">
      <c r="A253" t="s">
        <v>522</v>
      </c>
      <c r="B253" s="1">
        <v>45590</v>
      </c>
      <c r="C253" t="s">
        <v>523</v>
      </c>
      <c r="D253" t="s">
        <v>20</v>
      </c>
      <c r="E253" t="s">
        <v>3272</v>
      </c>
      <c r="F253" t="s">
        <v>4206</v>
      </c>
      <c r="G253">
        <v>7</v>
      </c>
      <c r="H253">
        <v>1713.52</v>
      </c>
      <c r="I253">
        <v>15</v>
      </c>
      <c r="J253" t="s">
        <v>21</v>
      </c>
      <c r="K253">
        <v>10195.44</v>
      </c>
    </row>
    <row r="254" spans="1:11" x14ac:dyDescent="0.25">
      <c r="A254" t="s">
        <v>524</v>
      </c>
      <c r="B254" s="1">
        <v>45211</v>
      </c>
      <c r="C254" t="s">
        <v>525</v>
      </c>
      <c r="D254" t="s">
        <v>36</v>
      </c>
      <c r="E254" t="s">
        <v>3988</v>
      </c>
      <c r="F254" t="s">
        <v>4207</v>
      </c>
      <c r="G254">
        <v>3</v>
      </c>
      <c r="H254">
        <v>140.68</v>
      </c>
      <c r="I254">
        <v>20</v>
      </c>
      <c r="J254" t="s">
        <v>17</v>
      </c>
      <c r="K254">
        <v>337.63</v>
      </c>
    </row>
    <row r="255" spans="1:11" x14ac:dyDescent="0.25">
      <c r="A255" t="s">
        <v>526</v>
      </c>
      <c r="B255" s="1">
        <v>45216</v>
      </c>
      <c r="C255" t="s">
        <v>527</v>
      </c>
      <c r="D255" t="s">
        <v>20</v>
      </c>
      <c r="E255" t="s">
        <v>3988</v>
      </c>
      <c r="F255" t="s">
        <v>4205</v>
      </c>
      <c r="G255">
        <v>1</v>
      </c>
      <c r="H255">
        <v>1258.4100000000001</v>
      </c>
      <c r="I255">
        <v>15</v>
      </c>
      <c r="J255" t="s">
        <v>17</v>
      </c>
      <c r="K255">
        <v>1069.6500000000001</v>
      </c>
    </row>
    <row r="256" spans="1:11" x14ac:dyDescent="0.25">
      <c r="A256" t="s">
        <v>528</v>
      </c>
      <c r="B256" s="1">
        <v>45718</v>
      </c>
      <c r="C256" t="s">
        <v>529</v>
      </c>
      <c r="D256" t="s">
        <v>13</v>
      </c>
      <c r="E256" t="s">
        <v>3988</v>
      </c>
      <c r="F256" t="s">
        <v>4107</v>
      </c>
      <c r="G256">
        <v>1</v>
      </c>
      <c r="H256">
        <v>1145.8900000000001</v>
      </c>
      <c r="I256">
        <v>5</v>
      </c>
      <c r="J256" t="s">
        <v>21</v>
      </c>
      <c r="K256">
        <v>1088.5999999999999</v>
      </c>
    </row>
    <row r="257" spans="1:11" x14ac:dyDescent="0.25">
      <c r="A257" t="s">
        <v>530</v>
      </c>
      <c r="B257" s="1">
        <v>45527</v>
      </c>
      <c r="C257" t="s">
        <v>531</v>
      </c>
      <c r="D257" t="s">
        <v>13</v>
      </c>
      <c r="E257" t="s">
        <v>3272</v>
      </c>
      <c r="F257" t="s">
        <v>4208</v>
      </c>
      <c r="G257">
        <v>3</v>
      </c>
      <c r="H257">
        <v>724.54</v>
      </c>
      <c r="I257">
        <v>5</v>
      </c>
      <c r="J257" t="s">
        <v>39</v>
      </c>
      <c r="K257">
        <v>2064.94</v>
      </c>
    </row>
    <row r="258" spans="1:11" x14ac:dyDescent="0.25">
      <c r="A258" t="s">
        <v>532</v>
      </c>
      <c r="B258" s="1">
        <v>45783</v>
      </c>
      <c r="C258" t="s">
        <v>533</v>
      </c>
      <c r="D258" t="s">
        <v>36</v>
      </c>
      <c r="E258" t="s">
        <v>3988</v>
      </c>
      <c r="F258" t="s">
        <v>4209</v>
      </c>
      <c r="G258">
        <v>6</v>
      </c>
      <c r="H258">
        <v>664.62</v>
      </c>
      <c r="I258">
        <v>10</v>
      </c>
      <c r="J258" t="s">
        <v>21</v>
      </c>
      <c r="K258">
        <v>3588.95</v>
      </c>
    </row>
    <row r="259" spans="1:11" x14ac:dyDescent="0.25">
      <c r="A259" t="s">
        <v>534</v>
      </c>
      <c r="B259" s="1">
        <v>45203</v>
      </c>
      <c r="C259" t="s">
        <v>535</v>
      </c>
      <c r="D259" t="s">
        <v>13</v>
      </c>
      <c r="E259" t="s">
        <v>3988</v>
      </c>
      <c r="F259" t="s">
        <v>4059</v>
      </c>
      <c r="G259">
        <v>7</v>
      </c>
      <c r="H259">
        <v>1555.12</v>
      </c>
      <c r="I259">
        <v>10</v>
      </c>
      <c r="J259" t="s">
        <v>39</v>
      </c>
      <c r="K259">
        <v>9797.26</v>
      </c>
    </row>
    <row r="260" spans="1:11" x14ac:dyDescent="0.25">
      <c r="A260" t="s">
        <v>536</v>
      </c>
      <c r="B260" s="1">
        <v>45740</v>
      </c>
      <c r="C260" t="s">
        <v>537</v>
      </c>
      <c r="D260" t="s">
        <v>13</v>
      </c>
      <c r="E260" t="s">
        <v>3272</v>
      </c>
      <c r="F260" t="s">
        <v>4210</v>
      </c>
      <c r="G260">
        <v>6</v>
      </c>
      <c r="H260">
        <v>218.53</v>
      </c>
      <c r="I260">
        <v>10</v>
      </c>
      <c r="J260" t="s">
        <v>39</v>
      </c>
      <c r="K260">
        <v>1180.06</v>
      </c>
    </row>
    <row r="261" spans="1:11" x14ac:dyDescent="0.25">
      <c r="A261" t="s">
        <v>538</v>
      </c>
      <c r="B261" s="1">
        <v>45563</v>
      </c>
      <c r="C261" t="s">
        <v>539</v>
      </c>
      <c r="D261" t="s">
        <v>24</v>
      </c>
      <c r="E261" t="s">
        <v>3988</v>
      </c>
      <c r="F261" t="s">
        <v>4211</v>
      </c>
      <c r="G261">
        <v>6</v>
      </c>
      <c r="H261">
        <v>511.73</v>
      </c>
      <c r="I261">
        <v>15</v>
      </c>
      <c r="J261" t="s">
        <v>21</v>
      </c>
      <c r="K261">
        <v>2609.8200000000002</v>
      </c>
    </row>
    <row r="262" spans="1:11" x14ac:dyDescent="0.25">
      <c r="A262" t="s">
        <v>540</v>
      </c>
      <c r="B262" s="1">
        <v>45744</v>
      </c>
      <c r="C262" t="s">
        <v>541</v>
      </c>
      <c r="D262" t="s">
        <v>20</v>
      </c>
      <c r="E262" t="s">
        <v>3988</v>
      </c>
      <c r="F262" t="s">
        <v>4212</v>
      </c>
      <c r="G262">
        <v>6</v>
      </c>
      <c r="H262">
        <v>1478.28</v>
      </c>
      <c r="I262">
        <v>15</v>
      </c>
      <c r="J262" t="s">
        <v>17</v>
      </c>
      <c r="K262">
        <v>7539.23</v>
      </c>
    </row>
    <row r="263" spans="1:11" x14ac:dyDescent="0.25">
      <c r="A263" t="s">
        <v>542</v>
      </c>
      <c r="B263" s="1">
        <v>45247</v>
      </c>
      <c r="C263" t="s">
        <v>543</v>
      </c>
      <c r="D263" t="s">
        <v>24</v>
      </c>
      <c r="E263" t="s">
        <v>3988</v>
      </c>
      <c r="F263" t="s">
        <v>4213</v>
      </c>
      <c r="G263">
        <v>3</v>
      </c>
      <c r="H263">
        <v>1119.23</v>
      </c>
      <c r="I263">
        <v>20</v>
      </c>
      <c r="J263" t="s">
        <v>39</v>
      </c>
      <c r="K263">
        <v>2686.15</v>
      </c>
    </row>
    <row r="264" spans="1:11" x14ac:dyDescent="0.25">
      <c r="A264" t="s">
        <v>544</v>
      </c>
      <c r="B264" s="1">
        <v>45249</v>
      </c>
      <c r="C264" t="s">
        <v>545</v>
      </c>
      <c r="D264" t="s">
        <v>20</v>
      </c>
      <c r="E264" t="s">
        <v>3272</v>
      </c>
      <c r="F264" t="s">
        <v>4214</v>
      </c>
      <c r="G264">
        <v>6</v>
      </c>
      <c r="H264">
        <v>299.58</v>
      </c>
      <c r="I264">
        <v>10</v>
      </c>
      <c r="J264" t="s">
        <v>21</v>
      </c>
      <c r="K264">
        <v>1617.73</v>
      </c>
    </row>
    <row r="265" spans="1:11" x14ac:dyDescent="0.25">
      <c r="A265" t="s">
        <v>546</v>
      </c>
      <c r="B265" s="1">
        <v>45662</v>
      </c>
      <c r="C265" t="s">
        <v>547</v>
      </c>
      <c r="D265" t="s">
        <v>13</v>
      </c>
      <c r="E265" t="s">
        <v>3988</v>
      </c>
      <c r="F265" t="s">
        <v>4209</v>
      </c>
      <c r="G265">
        <v>8</v>
      </c>
      <c r="H265">
        <v>1770.16</v>
      </c>
      <c r="I265">
        <v>0</v>
      </c>
      <c r="J265" t="s">
        <v>17</v>
      </c>
      <c r="K265">
        <v>14161.28</v>
      </c>
    </row>
    <row r="266" spans="1:11" x14ac:dyDescent="0.25">
      <c r="A266" t="s">
        <v>548</v>
      </c>
      <c r="B266" s="1">
        <v>45519</v>
      </c>
      <c r="C266" t="s">
        <v>549</v>
      </c>
      <c r="D266" t="s">
        <v>24</v>
      </c>
      <c r="E266" t="s">
        <v>3988</v>
      </c>
      <c r="F266" t="s">
        <v>4059</v>
      </c>
      <c r="G266">
        <v>2</v>
      </c>
      <c r="H266">
        <v>817.22</v>
      </c>
      <c r="I266">
        <v>20</v>
      </c>
      <c r="J266" t="s">
        <v>39</v>
      </c>
      <c r="K266">
        <v>1307.55</v>
      </c>
    </row>
    <row r="267" spans="1:11" x14ac:dyDescent="0.25">
      <c r="A267" t="s">
        <v>550</v>
      </c>
      <c r="B267" s="1">
        <v>45577</v>
      </c>
      <c r="C267" t="s">
        <v>551</v>
      </c>
      <c r="D267" t="s">
        <v>20</v>
      </c>
      <c r="E267" t="s">
        <v>3272</v>
      </c>
      <c r="F267" t="s">
        <v>4210</v>
      </c>
      <c r="G267">
        <v>5</v>
      </c>
      <c r="H267">
        <v>1664.34</v>
      </c>
      <c r="I267">
        <v>0</v>
      </c>
      <c r="J267" t="s">
        <v>14</v>
      </c>
      <c r="K267">
        <v>8321.7000000000007</v>
      </c>
    </row>
    <row r="268" spans="1:11" x14ac:dyDescent="0.25">
      <c r="A268" t="s">
        <v>552</v>
      </c>
      <c r="B268" s="1">
        <v>45278</v>
      </c>
      <c r="C268" t="s">
        <v>553</v>
      </c>
      <c r="D268" t="s">
        <v>20</v>
      </c>
      <c r="E268" t="s">
        <v>3988</v>
      </c>
      <c r="F268" t="s">
        <v>4211</v>
      </c>
      <c r="G268">
        <v>1</v>
      </c>
      <c r="H268">
        <v>1586.04</v>
      </c>
      <c r="I268">
        <v>15</v>
      </c>
      <c r="J268" t="s">
        <v>17</v>
      </c>
      <c r="K268">
        <v>1348.13</v>
      </c>
    </row>
    <row r="269" spans="1:11" x14ac:dyDescent="0.25">
      <c r="A269" t="s">
        <v>554</v>
      </c>
      <c r="B269" s="1">
        <v>45355</v>
      </c>
      <c r="C269" t="s">
        <v>555</v>
      </c>
      <c r="D269" t="s">
        <v>24</v>
      </c>
      <c r="E269" t="s">
        <v>3272</v>
      </c>
      <c r="F269" t="s">
        <v>4215</v>
      </c>
      <c r="G269">
        <v>1</v>
      </c>
      <c r="H269">
        <v>1267.6300000000001</v>
      </c>
      <c r="I269">
        <v>20</v>
      </c>
      <c r="J269" t="s">
        <v>21</v>
      </c>
      <c r="K269">
        <v>1014.1</v>
      </c>
    </row>
    <row r="270" spans="1:11" x14ac:dyDescent="0.25">
      <c r="A270" t="s">
        <v>556</v>
      </c>
      <c r="B270" s="1">
        <v>45559</v>
      </c>
      <c r="C270" t="s">
        <v>557</v>
      </c>
      <c r="D270" t="s">
        <v>36</v>
      </c>
      <c r="E270" t="s">
        <v>3988</v>
      </c>
      <c r="F270" t="s">
        <v>4216</v>
      </c>
      <c r="G270">
        <v>5</v>
      </c>
      <c r="H270">
        <v>1014.24</v>
      </c>
      <c r="I270">
        <v>20</v>
      </c>
      <c r="J270" t="s">
        <v>14</v>
      </c>
      <c r="K270">
        <v>4056.96</v>
      </c>
    </row>
    <row r="271" spans="1:11" x14ac:dyDescent="0.25">
      <c r="A271" t="s">
        <v>558</v>
      </c>
      <c r="B271" s="1">
        <v>45827</v>
      </c>
      <c r="C271" t="s">
        <v>559</v>
      </c>
      <c r="D271" t="s">
        <v>20</v>
      </c>
      <c r="E271" t="s">
        <v>3272</v>
      </c>
      <c r="F271" t="s">
        <v>4217</v>
      </c>
      <c r="G271">
        <v>3</v>
      </c>
      <c r="H271">
        <v>1960.12</v>
      </c>
      <c r="I271">
        <v>5</v>
      </c>
      <c r="J271" t="s">
        <v>21</v>
      </c>
      <c r="K271">
        <v>5586.34</v>
      </c>
    </row>
    <row r="272" spans="1:11" x14ac:dyDescent="0.25">
      <c r="A272" t="s">
        <v>560</v>
      </c>
      <c r="B272" s="1">
        <v>45621</v>
      </c>
      <c r="C272" t="s">
        <v>561</v>
      </c>
      <c r="D272" t="s">
        <v>13</v>
      </c>
      <c r="E272" t="s">
        <v>3988</v>
      </c>
      <c r="F272" t="s">
        <v>4218</v>
      </c>
      <c r="G272">
        <v>4</v>
      </c>
      <c r="H272">
        <v>332.68</v>
      </c>
      <c r="I272">
        <v>15</v>
      </c>
      <c r="J272" t="s">
        <v>39</v>
      </c>
      <c r="K272">
        <v>1131.1099999999999</v>
      </c>
    </row>
    <row r="273" spans="1:11" x14ac:dyDescent="0.25">
      <c r="A273" t="s">
        <v>562</v>
      </c>
      <c r="B273" s="1">
        <v>45478</v>
      </c>
      <c r="C273" t="s">
        <v>563</v>
      </c>
      <c r="D273" t="s">
        <v>20</v>
      </c>
      <c r="E273" t="s">
        <v>29</v>
      </c>
      <c r="F273" t="s">
        <v>4219</v>
      </c>
      <c r="G273">
        <v>3</v>
      </c>
      <c r="H273">
        <v>1464.05</v>
      </c>
      <c r="I273">
        <v>15</v>
      </c>
      <c r="J273" t="s">
        <v>17</v>
      </c>
      <c r="K273">
        <v>3733.33</v>
      </c>
    </row>
    <row r="274" spans="1:11" x14ac:dyDescent="0.25">
      <c r="A274" t="s">
        <v>564</v>
      </c>
      <c r="B274" s="1">
        <v>45314</v>
      </c>
      <c r="C274" t="s">
        <v>565</v>
      </c>
      <c r="D274" t="s">
        <v>13</v>
      </c>
      <c r="E274" t="s">
        <v>3988</v>
      </c>
      <c r="F274" t="s">
        <v>4220</v>
      </c>
      <c r="G274">
        <v>1</v>
      </c>
      <c r="H274">
        <v>422.82</v>
      </c>
      <c r="I274">
        <v>20</v>
      </c>
      <c r="J274" t="s">
        <v>14</v>
      </c>
      <c r="K274">
        <v>338.26</v>
      </c>
    </row>
    <row r="275" spans="1:11" x14ac:dyDescent="0.25">
      <c r="A275" t="s">
        <v>566</v>
      </c>
      <c r="B275" s="1">
        <v>45871</v>
      </c>
      <c r="C275" t="s">
        <v>567</v>
      </c>
      <c r="D275" t="s">
        <v>24</v>
      </c>
      <c r="E275" t="s">
        <v>3988</v>
      </c>
      <c r="F275" t="s">
        <v>4221</v>
      </c>
      <c r="G275">
        <v>1</v>
      </c>
      <c r="H275">
        <v>709.61</v>
      </c>
      <c r="I275">
        <v>15</v>
      </c>
      <c r="J275" t="s">
        <v>14</v>
      </c>
      <c r="K275">
        <v>603.16999999999996</v>
      </c>
    </row>
    <row r="276" spans="1:11" x14ac:dyDescent="0.25">
      <c r="A276" t="s">
        <v>568</v>
      </c>
      <c r="B276" s="1">
        <v>45568</v>
      </c>
      <c r="C276" t="s">
        <v>569</v>
      </c>
      <c r="D276" t="s">
        <v>20</v>
      </c>
      <c r="E276" t="s">
        <v>29</v>
      </c>
      <c r="F276" t="s">
        <v>4222</v>
      </c>
      <c r="G276">
        <v>5</v>
      </c>
      <c r="H276">
        <v>651.96</v>
      </c>
      <c r="I276">
        <v>20</v>
      </c>
      <c r="J276" t="s">
        <v>14</v>
      </c>
      <c r="K276">
        <v>2607.84</v>
      </c>
    </row>
    <row r="277" spans="1:11" x14ac:dyDescent="0.25">
      <c r="A277" t="s">
        <v>570</v>
      </c>
      <c r="B277" s="1">
        <v>45736</v>
      </c>
      <c r="C277" t="s">
        <v>571</v>
      </c>
      <c r="D277" t="s">
        <v>13</v>
      </c>
      <c r="E277" t="s">
        <v>3272</v>
      </c>
      <c r="F277" t="s">
        <v>4223</v>
      </c>
      <c r="G277">
        <v>6</v>
      </c>
      <c r="H277">
        <v>1896.72</v>
      </c>
      <c r="I277">
        <v>5</v>
      </c>
      <c r="J277" t="s">
        <v>39</v>
      </c>
      <c r="K277">
        <v>10811.3</v>
      </c>
    </row>
    <row r="278" spans="1:11" x14ac:dyDescent="0.25">
      <c r="A278" t="s">
        <v>572</v>
      </c>
      <c r="B278" s="1">
        <v>45716</v>
      </c>
      <c r="C278" t="s">
        <v>573</v>
      </c>
      <c r="D278" t="s">
        <v>13</v>
      </c>
      <c r="E278" t="s">
        <v>3988</v>
      </c>
      <c r="F278" t="s">
        <v>4224</v>
      </c>
      <c r="G278">
        <v>3</v>
      </c>
      <c r="H278">
        <v>1936.34</v>
      </c>
      <c r="I278">
        <v>20</v>
      </c>
      <c r="J278" t="s">
        <v>17</v>
      </c>
      <c r="K278">
        <v>4647.22</v>
      </c>
    </row>
    <row r="279" spans="1:11" x14ac:dyDescent="0.25">
      <c r="A279" t="s">
        <v>574</v>
      </c>
      <c r="B279" s="1">
        <v>45685</v>
      </c>
      <c r="C279" t="s">
        <v>575</v>
      </c>
      <c r="D279" t="s">
        <v>24</v>
      </c>
      <c r="E279" t="s">
        <v>29</v>
      </c>
      <c r="F279" t="s">
        <v>3991</v>
      </c>
      <c r="G279">
        <v>9</v>
      </c>
      <c r="H279">
        <v>406.88</v>
      </c>
      <c r="I279">
        <v>15</v>
      </c>
      <c r="J279" t="s">
        <v>17</v>
      </c>
      <c r="K279">
        <v>3112.63</v>
      </c>
    </row>
    <row r="280" spans="1:11" x14ac:dyDescent="0.25">
      <c r="A280" t="s">
        <v>576</v>
      </c>
      <c r="B280" s="1">
        <v>45306</v>
      </c>
      <c r="C280" t="s">
        <v>577</v>
      </c>
      <c r="D280" t="s">
        <v>20</v>
      </c>
      <c r="E280" t="s">
        <v>3988</v>
      </c>
      <c r="F280" t="s">
        <v>4009</v>
      </c>
      <c r="G280">
        <v>5</v>
      </c>
      <c r="H280">
        <v>92.97</v>
      </c>
      <c r="I280">
        <v>15</v>
      </c>
      <c r="J280" t="s">
        <v>39</v>
      </c>
      <c r="K280">
        <v>395.12</v>
      </c>
    </row>
    <row r="281" spans="1:11" x14ac:dyDescent="0.25">
      <c r="A281" t="s">
        <v>578</v>
      </c>
      <c r="B281" s="1">
        <v>45703</v>
      </c>
      <c r="C281" t="s">
        <v>579</v>
      </c>
      <c r="D281" t="s">
        <v>20</v>
      </c>
      <c r="E281" t="s">
        <v>3272</v>
      </c>
      <c r="F281" t="s">
        <v>4225</v>
      </c>
      <c r="G281">
        <v>8</v>
      </c>
      <c r="H281">
        <v>1454.02</v>
      </c>
      <c r="I281">
        <v>20</v>
      </c>
      <c r="J281" t="s">
        <v>21</v>
      </c>
      <c r="K281">
        <v>9305.73</v>
      </c>
    </row>
    <row r="282" spans="1:11" x14ac:dyDescent="0.25">
      <c r="A282" t="s">
        <v>580</v>
      </c>
      <c r="B282" s="1">
        <v>45392</v>
      </c>
      <c r="C282" t="s">
        <v>581</v>
      </c>
      <c r="D282" t="s">
        <v>24</v>
      </c>
      <c r="E282" t="s">
        <v>3272</v>
      </c>
      <c r="F282" t="s">
        <v>4032</v>
      </c>
      <c r="G282">
        <v>1</v>
      </c>
      <c r="H282">
        <v>865.08</v>
      </c>
      <c r="I282">
        <v>20</v>
      </c>
      <c r="J282" t="s">
        <v>14</v>
      </c>
      <c r="K282">
        <v>692.06</v>
      </c>
    </row>
    <row r="283" spans="1:11" x14ac:dyDescent="0.25">
      <c r="A283" t="s">
        <v>582</v>
      </c>
      <c r="B283" s="1">
        <v>45459</v>
      </c>
      <c r="C283" t="s">
        <v>583</v>
      </c>
      <c r="D283" t="s">
        <v>20</v>
      </c>
      <c r="E283" t="s">
        <v>3988</v>
      </c>
      <c r="F283" t="s">
        <v>4096</v>
      </c>
      <c r="G283">
        <v>5</v>
      </c>
      <c r="H283">
        <v>223.24</v>
      </c>
      <c r="I283">
        <v>20</v>
      </c>
      <c r="J283" t="s">
        <v>21</v>
      </c>
      <c r="K283">
        <v>892.96</v>
      </c>
    </row>
    <row r="284" spans="1:11" x14ac:dyDescent="0.25">
      <c r="A284" t="s">
        <v>584</v>
      </c>
      <c r="B284" s="1">
        <v>45671</v>
      </c>
      <c r="C284" t="s">
        <v>585</v>
      </c>
      <c r="D284" t="s">
        <v>24</v>
      </c>
      <c r="E284" t="s">
        <v>3988</v>
      </c>
      <c r="F284" t="s">
        <v>4226</v>
      </c>
      <c r="G284">
        <v>3</v>
      </c>
      <c r="H284">
        <v>1383.32</v>
      </c>
      <c r="I284">
        <v>10</v>
      </c>
      <c r="J284" t="s">
        <v>39</v>
      </c>
      <c r="K284">
        <v>3734.96</v>
      </c>
    </row>
    <row r="285" spans="1:11" x14ac:dyDescent="0.25">
      <c r="A285" t="s">
        <v>586</v>
      </c>
      <c r="B285" s="1">
        <v>45654</v>
      </c>
      <c r="C285" t="s">
        <v>587</v>
      </c>
      <c r="D285" t="s">
        <v>20</v>
      </c>
      <c r="E285" t="s">
        <v>3988</v>
      </c>
      <c r="F285" t="s">
        <v>4227</v>
      </c>
      <c r="G285">
        <v>1</v>
      </c>
      <c r="H285">
        <v>1112.96</v>
      </c>
      <c r="I285">
        <v>15</v>
      </c>
      <c r="J285" t="s">
        <v>21</v>
      </c>
      <c r="K285">
        <v>946.02</v>
      </c>
    </row>
    <row r="286" spans="1:11" x14ac:dyDescent="0.25">
      <c r="A286" t="s">
        <v>588</v>
      </c>
      <c r="B286" s="1">
        <v>45440</v>
      </c>
      <c r="C286" t="s">
        <v>589</v>
      </c>
      <c r="D286" t="s">
        <v>36</v>
      </c>
      <c r="E286" t="s">
        <v>3988</v>
      </c>
      <c r="F286" t="s">
        <v>4228</v>
      </c>
      <c r="G286">
        <v>4</v>
      </c>
      <c r="H286">
        <v>1962.01</v>
      </c>
      <c r="I286">
        <v>15</v>
      </c>
      <c r="J286" t="s">
        <v>21</v>
      </c>
      <c r="K286">
        <v>6670.83</v>
      </c>
    </row>
    <row r="287" spans="1:11" x14ac:dyDescent="0.25">
      <c r="A287" t="s">
        <v>590</v>
      </c>
      <c r="B287" s="1">
        <v>45490</v>
      </c>
      <c r="C287" t="s">
        <v>591</v>
      </c>
      <c r="D287" t="s">
        <v>20</v>
      </c>
      <c r="E287" t="s">
        <v>3272</v>
      </c>
      <c r="F287" t="s">
        <v>4229</v>
      </c>
      <c r="G287">
        <v>5</v>
      </c>
      <c r="H287">
        <v>493.45</v>
      </c>
      <c r="I287">
        <v>10</v>
      </c>
      <c r="J287" t="s">
        <v>39</v>
      </c>
      <c r="K287">
        <v>2220.52</v>
      </c>
    </row>
    <row r="288" spans="1:11" x14ac:dyDescent="0.25">
      <c r="A288" t="s">
        <v>592</v>
      </c>
      <c r="B288" s="1">
        <v>45848</v>
      </c>
      <c r="C288" t="s">
        <v>593</v>
      </c>
      <c r="D288" t="s">
        <v>13</v>
      </c>
      <c r="E288" t="s">
        <v>3272</v>
      </c>
      <c r="F288" t="s">
        <v>4230</v>
      </c>
      <c r="G288">
        <v>7</v>
      </c>
      <c r="H288">
        <v>837.76</v>
      </c>
      <c r="I288">
        <v>20</v>
      </c>
      <c r="J288" t="s">
        <v>14</v>
      </c>
      <c r="K288">
        <v>4691.46</v>
      </c>
    </row>
    <row r="289" spans="1:11" x14ac:dyDescent="0.25">
      <c r="A289" t="s">
        <v>594</v>
      </c>
      <c r="B289" s="1">
        <v>45552</v>
      </c>
      <c r="C289" t="s">
        <v>595</v>
      </c>
      <c r="D289" t="s">
        <v>13</v>
      </c>
      <c r="E289" t="s">
        <v>29</v>
      </c>
      <c r="F289" t="s">
        <v>4231</v>
      </c>
      <c r="G289">
        <v>1</v>
      </c>
      <c r="H289">
        <v>1107.96</v>
      </c>
      <c r="I289">
        <v>5</v>
      </c>
      <c r="J289" t="s">
        <v>21</v>
      </c>
      <c r="K289">
        <v>1052.56</v>
      </c>
    </row>
    <row r="290" spans="1:11" x14ac:dyDescent="0.25">
      <c r="A290" t="s">
        <v>596</v>
      </c>
      <c r="B290" s="1">
        <v>45500</v>
      </c>
      <c r="C290" t="s">
        <v>597</v>
      </c>
      <c r="D290" t="s">
        <v>36</v>
      </c>
      <c r="E290" t="s">
        <v>3988</v>
      </c>
      <c r="F290" t="s">
        <v>3990</v>
      </c>
      <c r="G290">
        <v>3</v>
      </c>
      <c r="H290">
        <v>1593.81</v>
      </c>
      <c r="I290">
        <v>20</v>
      </c>
      <c r="J290" t="s">
        <v>17</v>
      </c>
      <c r="K290">
        <v>3825.14</v>
      </c>
    </row>
    <row r="291" spans="1:11" x14ac:dyDescent="0.25">
      <c r="A291" t="s">
        <v>598</v>
      </c>
      <c r="B291" s="1">
        <v>45243</v>
      </c>
      <c r="C291" t="s">
        <v>599</v>
      </c>
      <c r="D291" t="s">
        <v>20</v>
      </c>
      <c r="E291" t="s">
        <v>3988</v>
      </c>
      <c r="F291" t="s">
        <v>4029</v>
      </c>
      <c r="G291">
        <v>2</v>
      </c>
      <c r="H291">
        <v>1120.24</v>
      </c>
      <c r="I291">
        <v>20</v>
      </c>
      <c r="J291" t="s">
        <v>21</v>
      </c>
      <c r="K291">
        <v>1792.38</v>
      </c>
    </row>
    <row r="292" spans="1:11" x14ac:dyDescent="0.25">
      <c r="A292" t="s">
        <v>600</v>
      </c>
      <c r="B292" s="1">
        <v>45342</v>
      </c>
      <c r="C292" t="s">
        <v>601</v>
      </c>
      <c r="D292" t="s">
        <v>13</v>
      </c>
      <c r="E292" t="s">
        <v>29</v>
      </c>
      <c r="F292" t="s">
        <v>4232</v>
      </c>
      <c r="G292">
        <v>9</v>
      </c>
      <c r="H292">
        <v>1245.1600000000001</v>
      </c>
      <c r="I292">
        <v>10</v>
      </c>
      <c r="J292" t="s">
        <v>21</v>
      </c>
      <c r="K292">
        <v>10085.799999999999</v>
      </c>
    </row>
    <row r="293" spans="1:11" x14ac:dyDescent="0.25">
      <c r="A293" t="s">
        <v>602</v>
      </c>
      <c r="B293" s="1">
        <v>45324</v>
      </c>
      <c r="C293" t="s">
        <v>603</v>
      </c>
      <c r="D293" t="s">
        <v>13</v>
      </c>
      <c r="E293" t="s">
        <v>3272</v>
      </c>
      <c r="F293" t="s">
        <v>4233</v>
      </c>
      <c r="G293">
        <v>6</v>
      </c>
      <c r="H293">
        <v>490.99</v>
      </c>
      <c r="I293">
        <v>15</v>
      </c>
      <c r="J293" t="s">
        <v>17</v>
      </c>
      <c r="K293">
        <v>2504.0500000000002</v>
      </c>
    </row>
    <row r="294" spans="1:11" x14ac:dyDescent="0.25">
      <c r="A294" t="s">
        <v>604</v>
      </c>
      <c r="B294" s="1">
        <v>45199</v>
      </c>
      <c r="C294" t="s">
        <v>605</v>
      </c>
      <c r="D294" t="s">
        <v>20</v>
      </c>
      <c r="E294" t="s">
        <v>3272</v>
      </c>
      <c r="F294" t="s">
        <v>4234</v>
      </c>
      <c r="G294">
        <v>3</v>
      </c>
      <c r="H294">
        <v>1701.49</v>
      </c>
      <c r="I294">
        <v>20</v>
      </c>
      <c r="J294" t="s">
        <v>14</v>
      </c>
      <c r="K294">
        <v>4083.58</v>
      </c>
    </row>
    <row r="295" spans="1:11" x14ac:dyDescent="0.25">
      <c r="A295" t="s">
        <v>606</v>
      </c>
      <c r="B295" s="1">
        <v>45412</v>
      </c>
      <c r="C295" t="s">
        <v>607</v>
      </c>
      <c r="D295" t="s">
        <v>24</v>
      </c>
      <c r="E295" t="s">
        <v>3988</v>
      </c>
      <c r="F295" t="s">
        <v>4235</v>
      </c>
      <c r="G295">
        <v>8</v>
      </c>
      <c r="H295">
        <v>885.83</v>
      </c>
      <c r="I295">
        <v>15</v>
      </c>
      <c r="J295" t="s">
        <v>17</v>
      </c>
      <c r="K295">
        <v>6023.64</v>
      </c>
    </row>
    <row r="296" spans="1:11" x14ac:dyDescent="0.25">
      <c r="A296" t="s">
        <v>608</v>
      </c>
      <c r="B296" s="1">
        <v>45166</v>
      </c>
      <c r="C296" t="s">
        <v>609</v>
      </c>
      <c r="D296" t="s">
        <v>20</v>
      </c>
      <c r="E296" t="s">
        <v>3988</v>
      </c>
      <c r="F296" t="s">
        <v>4236</v>
      </c>
      <c r="G296">
        <v>8</v>
      </c>
      <c r="H296">
        <v>324.87</v>
      </c>
      <c r="I296">
        <v>0</v>
      </c>
      <c r="J296" t="s">
        <v>14</v>
      </c>
      <c r="K296">
        <v>2598.96</v>
      </c>
    </row>
    <row r="297" spans="1:11" x14ac:dyDescent="0.25">
      <c r="A297" t="s">
        <v>610</v>
      </c>
      <c r="B297" s="1">
        <v>45606</v>
      </c>
      <c r="C297" t="s">
        <v>611</v>
      </c>
      <c r="D297" t="s">
        <v>24</v>
      </c>
      <c r="E297" t="s">
        <v>3272</v>
      </c>
      <c r="F297" t="s">
        <v>4225</v>
      </c>
      <c r="G297">
        <v>2</v>
      </c>
      <c r="H297">
        <v>1345.17</v>
      </c>
      <c r="I297">
        <v>15</v>
      </c>
      <c r="J297" t="s">
        <v>39</v>
      </c>
      <c r="K297">
        <v>2286.79</v>
      </c>
    </row>
    <row r="298" spans="1:11" x14ac:dyDescent="0.25">
      <c r="A298" t="s">
        <v>612</v>
      </c>
      <c r="B298" s="1">
        <v>45580</v>
      </c>
      <c r="C298" t="s">
        <v>613</v>
      </c>
      <c r="D298" t="s">
        <v>36</v>
      </c>
      <c r="E298" t="s">
        <v>3988</v>
      </c>
      <c r="F298" t="s">
        <v>4141</v>
      </c>
      <c r="G298">
        <v>6</v>
      </c>
      <c r="H298">
        <v>471.38</v>
      </c>
      <c r="I298">
        <v>5</v>
      </c>
      <c r="J298" t="s">
        <v>39</v>
      </c>
      <c r="K298">
        <v>2686.87</v>
      </c>
    </row>
    <row r="299" spans="1:11" x14ac:dyDescent="0.25">
      <c r="A299" t="s">
        <v>614</v>
      </c>
      <c r="B299" s="1">
        <v>45328</v>
      </c>
      <c r="C299" t="s">
        <v>615</v>
      </c>
      <c r="D299" t="s">
        <v>36</v>
      </c>
      <c r="E299" t="s">
        <v>29</v>
      </c>
      <c r="F299" t="s">
        <v>4165</v>
      </c>
      <c r="G299">
        <v>7</v>
      </c>
      <c r="H299">
        <v>240.25</v>
      </c>
      <c r="I299">
        <v>5</v>
      </c>
      <c r="J299" t="s">
        <v>21</v>
      </c>
      <c r="K299">
        <v>1597.66</v>
      </c>
    </row>
    <row r="300" spans="1:11" x14ac:dyDescent="0.25">
      <c r="A300" t="s">
        <v>616</v>
      </c>
      <c r="B300" s="1">
        <v>45607</v>
      </c>
      <c r="C300" t="s">
        <v>617</v>
      </c>
      <c r="D300" t="s">
        <v>13</v>
      </c>
      <c r="E300" t="s">
        <v>3272</v>
      </c>
      <c r="F300" t="s">
        <v>4225</v>
      </c>
      <c r="G300">
        <v>2</v>
      </c>
      <c r="H300">
        <v>1730.87</v>
      </c>
      <c r="I300">
        <v>20</v>
      </c>
      <c r="J300" t="s">
        <v>21</v>
      </c>
      <c r="K300">
        <v>2769.39</v>
      </c>
    </row>
    <row r="301" spans="1:11" x14ac:dyDescent="0.25">
      <c r="A301" t="s">
        <v>618</v>
      </c>
      <c r="B301" s="1">
        <v>45321</v>
      </c>
      <c r="C301" t="s">
        <v>619</v>
      </c>
      <c r="D301" t="s">
        <v>13</v>
      </c>
      <c r="E301" t="s">
        <v>3988</v>
      </c>
      <c r="F301" t="s">
        <v>4141</v>
      </c>
      <c r="G301">
        <v>2</v>
      </c>
      <c r="H301">
        <v>947.32</v>
      </c>
      <c r="I301">
        <v>15</v>
      </c>
      <c r="J301" t="s">
        <v>39</v>
      </c>
      <c r="K301">
        <v>1610.44</v>
      </c>
    </row>
    <row r="302" spans="1:11" x14ac:dyDescent="0.25">
      <c r="A302" t="s">
        <v>620</v>
      </c>
      <c r="B302" s="1">
        <v>45155</v>
      </c>
      <c r="C302" t="s">
        <v>621</v>
      </c>
      <c r="D302" t="s">
        <v>13</v>
      </c>
      <c r="E302" t="s">
        <v>29</v>
      </c>
      <c r="F302" t="s">
        <v>4165</v>
      </c>
      <c r="G302">
        <v>1</v>
      </c>
      <c r="H302">
        <v>1511.1</v>
      </c>
      <c r="I302">
        <v>20</v>
      </c>
      <c r="J302" t="s">
        <v>17</v>
      </c>
      <c r="K302">
        <v>1208.8800000000001</v>
      </c>
    </row>
    <row r="303" spans="1:11" x14ac:dyDescent="0.25">
      <c r="A303" t="s">
        <v>622</v>
      </c>
      <c r="B303" s="1">
        <v>45205</v>
      </c>
      <c r="C303" t="s">
        <v>623</v>
      </c>
      <c r="D303" t="s">
        <v>24</v>
      </c>
      <c r="E303" t="s">
        <v>3988</v>
      </c>
      <c r="F303" t="s">
        <v>4236</v>
      </c>
      <c r="G303">
        <v>8</v>
      </c>
      <c r="H303">
        <v>616.65</v>
      </c>
      <c r="I303">
        <v>10</v>
      </c>
      <c r="J303" t="s">
        <v>39</v>
      </c>
      <c r="K303">
        <v>4439.88</v>
      </c>
    </row>
    <row r="304" spans="1:11" x14ac:dyDescent="0.25">
      <c r="A304" t="s">
        <v>624</v>
      </c>
      <c r="B304" s="1">
        <v>45699</v>
      </c>
      <c r="C304" t="s">
        <v>625</v>
      </c>
      <c r="D304" t="s">
        <v>13</v>
      </c>
      <c r="E304" t="s">
        <v>3988</v>
      </c>
      <c r="F304" t="s">
        <v>4237</v>
      </c>
      <c r="G304">
        <v>1</v>
      </c>
      <c r="H304">
        <v>1584.59</v>
      </c>
      <c r="I304">
        <v>5</v>
      </c>
      <c r="J304" t="s">
        <v>14</v>
      </c>
      <c r="K304">
        <v>1505.36</v>
      </c>
    </row>
    <row r="305" spans="1:11" x14ac:dyDescent="0.25">
      <c r="A305" t="s">
        <v>626</v>
      </c>
      <c r="B305" s="1">
        <v>45640</v>
      </c>
      <c r="C305" t="s">
        <v>627</v>
      </c>
      <c r="D305" t="s">
        <v>20</v>
      </c>
      <c r="E305" t="s">
        <v>29</v>
      </c>
      <c r="F305" t="s">
        <v>4238</v>
      </c>
      <c r="G305">
        <v>9</v>
      </c>
      <c r="H305">
        <v>268.27999999999997</v>
      </c>
      <c r="I305">
        <v>20</v>
      </c>
      <c r="J305" t="s">
        <v>21</v>
      </c>
      <c r="K305">
        <v>1931.62</v>
      </c>
    </row>
    <row r="306" spans="1:11" x14ac:dyDescent="0.25">
      <c r="A306" t="s">
        <v>628</v>
      </c>
      <c r="B306" s="1">
        <v>45195</v>
      </c>
      <c r="C306" t="s">
        <v>629</v>
      </c>
      <c r="D306" t="s">
        <v>24</v>
      </c>
      <c r="E306" t="s">
        <v>3988</v>
      </c>
      <c r="F306" t="s">
        <v>4239</v>
      </c>
      <c r="G306">
        <v>6</v>
      </c>
      <c r="H306">
        <v>744.15</v>
      </c>
      <c r="I306">
        <v>10</v>
      </c>
      <c r="J306" t="s">
        <v>17</v>
      </c>
      <c r="K306">
        <v>4018.41</v>
      </c>
    </row>
    <row r="307" spans="1:11" x14ac:dyDescent="0.25">
      <c r="A307" t="s">
        <v>630</v>
      </c>
      <c r="B307" s="1">
        <v>45327</v>
      </c>
      <c r="C307" t="s">
        <v>631</v>
      </c>
      <c r="D307" t="s">
        <v>36</v>
      </c>
      <c r="E307" t="s">
        <v>3988</v>
      </c>
      <c r="F307" t="s">
        <v>4240</v>
      </c>
      <c r="G307">
        <v>7</v>
      </c>
      <c r="H307">
        <v>1957.22</v>
      </c>
      <c r="I307">
        <v>20</v>
      </c>
      <c r="J307" t="s">
        <v>21</v>
      </c>
      <c r="K307">
        <v>10960.43</v>
      </c>
    </row>
    <row r="308" spans="1:11" x14ac:dyDescent="0.25">
      <c r="A308" t="s">
        <v>632</v>
      </c>
      <c r="B308" s="1">
        <v>45202</v>
      </c>
      <c r="C308" t="s">
        <v>633</v>
      </c>
      <c r="D308" t="s">
        <v>24</v>
      </c>
      <c r="E308" t="s">
        <v>3272</v>
      </c>
      <c r="F308" t="s">
        <v>4011</v>
      </c>
      <c r="G308">
        <v>7</v>
      </c>
      <c r="H308">
        <v>1598.28</v>
      </c>
      <c r="I308">
        <v>15</v>
      </c>
      <c r="J308" t="s">
        <v>39</v>
      </c>
      <c r="K308">
        <v>9509.77</v>
      </c>
    </row>
    <row r="309" spans="1:11" x14ac:dyDescent="0.25">
      <c r="A309" t="s">
        <v>634</v>
      </c>
      <c r="B309" s="1">
        <v>45853</v>
      </c>
      <c r="C309" t="s">
        <v>635</v>
      </c>
      <c r="D309" t="s">
        <v>13</v>
      </c>
      <c r="E309" t="s">
        <v>3988</v>
      </c>
      <c r="F309" t="s">
        <v>4241</v>
      </c>
      <c r="G309">
        <v>3</v>
      </c>
      <c r="H309">
        <v>1019.65</v>
      </c>
      <c r="I309">
        <v>15</v>
      </c>
      <c r="J309" t="s">
        <v>17</v>
      </c>
      <c r="K309">
        <v>2600.11</v>
      </c>
    </row>
    <row r="310" spans="1:11" x14ac:dyDescent="0.25">
      <c r="A310" t="s">
        <v>636</v>
      </c>
      <c r="B310" s="1">
        <v>45174</v>
      </c>
      <c r="C310" t="s">
        <v>637</v>
      </c>
      <c r="D310" t="s">
        <v>20</v>
      </c>
      <c r="E310" t="s">
        <v>3988</v>
      </c>
      <c r="F310" t="s">
        <v>4173</v>
      </c>
      <c r="G310">
        <v>2</v>
      </c>
      <c r="H310">
        <v>712.57</v>
      </c>
      <c r="I310">
        <v>15</v>
      </c>
      <c r="J310" t="s">
        <v>39</v>
      </c>
      <c r="K310">
        <v>1211.3699999999999</v>
      </c>
    </row>
    <row r="311" spans="1:11" x14ac:dyDescent="0.25">
      <c r="A311" t="s">
        <v>638</v>
      </c>
      <c r="B311" s="1">
        <v>45817</v>
      </c>
      <c r="C311" t="s">
        <v>639</v>
      </c>
      <c r="D311" t="s">
        <v>20</v>
      </c>
      <c r="E311" t="s">
        <v>3988</v>
      </c>
      <c r="F311" t="s">
        <v>4242</v>
      </c>
      <c r="G311">
        <v>9</v>
      </c>
      <c r="H311">
        <v>1750.66</v>
      </c>
      <c r="I311">
        <v>15</v>
      </c>
      <c r="J311" t="s">
        <v>14</v>
      </c>
      <c r="K311">
        <v>13392.55</v>
      </c>
    </row>
    <row r="312" spans="1:11" x14ac:dyDescent="0.25">
      <c r="A312" t="s">
        <v>640</v>
      </c>
      <c r="B312" s="1">
        <v>45406</v>
      </c>
      <c r="C312" t="s">
        <v>641</v>
      </c>
      <c r="D312" t="s">
        <v>13</v>
      </c>
      <c r="E312" t="s">
        <v>3988</v>
      </c>
      <c r="F312" t="s">
        <v>4243</v>
      </c>
      <c r="G312">
        <v>8</v>
      </c>
      <c r="H312">
        <v>1112.45</v>
      </c>
      <c r="I312">
        <v>0</v>
      </c>
      <c r="J312" t="s">
        <v>39</v>
      </c>
      <c r="K312">
        <v>8899.6</v>
      </c>
    </row>
    <row r="313" spans="1:11" x14ac:dyDescent="0.25">
      <c r="A313" t="s">
        <v>642</v>
      </c>
      <c r="B313" s="1">
        <v>45205</v>
      </c>
      <c r="C313" t="s">
        <v>643</v>
      </c>
      <c r="D313" t="s">
        <v>20</v>
      </c>
      <c r="E313" t="s">
        <v>3988</v>
      </c>
      <c r="F313" t="s">
        <v>4244</v>
      </c>
      <c r="G313">
        <v>7</v>
      </c>
      <c r="H313">
        <v>1528.93</v>
      </c>
      <c r="I313">
        <v>10</v>
      </c>
      <c r="J313" t="s">
        <v>17</v>
      </c>
      <c r="K313">
        <v>9632.26</v>
      </c>
    </row>
    <row r="314" spans="1:11" x14ac:dyDescent="0.25">
      <c r="A314" t="s">
        <v>644</v>
      </c>
      <c r="B314" s="1">
        <v>45549</v>
      </c>
      <c r="C314" t="s">
        <v>645</v>
      </c>
      <c r="D314" t="s">
        <v>24</v>
      </c>
      <c r="E314" t="s">
        <v>3272</v>
      </c>
      <c r="F314" t="s">
        <v>4245</v>
      </c>
      <c r="G314">
        <v>9</v>
      </c>
      <c r="H314">
        <v>1520.51</v>
      </c>
      <c r="I314">
        <v>10</v>
      </c>
      <c r="J314" t="s">
        <v>39</v>
      </c>
      <c r="K314">
        <v>12316.13</v>
      </c>
    </row>
    <row r="315" spans="1:11" x14ac:dyDescent="0.25">
      <c r="A315" t="s">
        <v>646</v>
      </c>
      <c r="B315" s="1">
        <v>45334</v>
      </c>
      <c r="C315" t="s">
        <v>647</v>
      </c>
      <c r="D315" t="s">
        <v>24</v>
      </c>
      <c r="E315" t="s">
        <v>3988</v>
      </c>
      <c r="F315" t="s">
        <v>4246</v>
      </c>
      <c r="G315">
        <v>4</v>
      </c>
      <c r="H315">
        <v>84.99</v>
      </c>
      <c r="I315">
        <v>15</v>
      </c>
      <c r="J315" t="s">
        <v>21</v>
      </c>
      <c r="K315">
        <v>288.97000000000003</v>
      </c>
    </row>
    <row r="316" spans="1:11" x14ac:dyDescent="0.25">
      <c r="A316" t="s">
        <v>648</v>
      </c>
      <c r="B316" s="1">
        <v>45366</v>
      </c>
      <c r="C316" t="s">
        <v>649</v>
      </c>
      <c r="D316" t="s">
        <v>13</v>
      </c>
      <c r="E316" t="s">
        <v>3988</v>
      </c>
      <c r="F316" t="s">
        <v>4247</v>
      </c>
      <c r="G316">
        <v>4</v>
      </c>
      <c r="H316">
        <v>296.19</v>
      </c>
      <c r="I316">
        <v>0</v>
      </c>
      <c r="J316" t="s">
        <v>21</v>
      </c>
      <c r="K316">
        <v>1184.76</v>
      </c>
    </row>
    <row r="317" spans="1:11" x14ac:dyDescent="0.25">
      <c r="A317" t="s">
        <v>650</v>
      </c>
      <c r="B317" s="1">
        <v>45669</v>
      </c>
      <c r="C317" t="s">
        <v>651</v>
      </c>
      <c r="D317" t="s">
        <v>20</v>
      </c>
      <c r="E317" t="s">
        <v>3988</v>
      </c>
      <c r="F317" t="s">
        <v>4248</v>
      </c>
      <c r="G317">
        <v>1</v>
      </c>
      <c r="H317">
        <v>1336.28</v>
      </c>
      <c r="I317">
        <v>15</v>
      </c>
      <c r="J317" t="s">
        <v>17</v>
      </c>
      <c r="K317">
        <v>1135.8399999999999</v>
      </c>
    </row>
    <row r="318" spans="1:11" x14ac:dyDescent="0.25">
      <c r="A318" t="s">
        <v>652</v>
      </c>
      <c r="B318" s="1">
        <v>45527</v>
      </c>
      <c r="C318" t="s">
        <v>653</v>
      </c>
      <c r="D318" t="s">
        <v>36</v>
      </c>
      <c r="E318" t="s">
        <v>3988</v>
      </c>
      <c r="F318" t="s">
        <v>4029</v>
      </c>
      <c r="G318">
        <v>8</v>
      </c>
      <c r="H318">
        <v>365.16</v>
      </c>
      <c r="I318">
        <v>0</v>
      </c>
      <c r="J318" t="s">
        <v>21</v>
      </c>
      <c r="K318">
        <v>2921.28</v>
      </c>
    </row>
    <row r="319" spans="1:11" x14ac:dyDescent="0.25">
      <c r="A319" t="s">
        <v>654</v>
      </c>
      <c r="B319" s="1">
        <v>45316</v>
      </c>
      <c r="C319" t="s">
        <v>655</v>
      </c>
      <c r="D319" t="s">
        <v>24</v>
      </c>
      <c r="E319" t="s">
        <v>29</v>
      </c>
      <c r="F319" t="s">
        <v>4249</v>
      </c>
      <c r="G319">
        <v>3</v>
      </c>
      <c r="H319">
        <v>548.21</v>
      </c>
      <c r="I319">
        <v>15</v>
      </c>
      <c r="J319" t="s">
        <v>14</v>
      </c>
      <c r="K319">
        <v>1397.94</v>
      </c>
    </row>
    <row r="320" spans="1:11" x14ac:dyDescent="0.25">
      <c r="A320" t="s">
        <v>656</v>
      </c>
      <c r="B320" s="1">
        <v>45568</v>
      </c>
      <c r="C320" t="s">
        <v>657</v>
      </c>
      <c r="D320" t="s">
        <v>24</v>
      </c>
      <c r="E320" t="s">
        <v>3272</v>
      </c>
      <c r="F320" t="s">
        <v>4250</v>
      </c>
      <c r="G320">
        <v>7</v>
      </c>
      <c r="H320">
        <v>1895.94</v>
      </c>
      <c r="I320">
        <v>5</v>
      </c>
      <c r="J320" t="s">
        <v>14</v>
      </c>
      <c r="K320">
        <v>12608</v>
      </c>
    </row>
    <row r="321" spans="1:11" x14ac:dyDescent="0.25">
      <c r="A321" t="s">
        <v>658</v>
      </c>
      <c r="B321" s="1">
        <v>45252</v>
      </c>
      <c r="C321" t="s">
        <v>659</v>
      </c>
      <c r="D321" t="s">
        <v>24</v>
      </c>
      <c r="E321" t="s">
        <v>29</v>
      </c>
      <c r="F321" t="s">
        <v>4251</v>
      </c>
      <c r="G321">
        <v>2</v>
      </c>
      <c r="H321">
        <v>1142.3599999999999</v>
      </c>
      <c r="I321">
        <v>5</v>
      </c>
      <c r="J321" t="s">
        <v>17</v>
      </c>
      <c r="K321">
        <v>2170.48</v>
      </c>
    </row>
    <row r="322" spans="1:11" x14ac:dyDescent="0.25">
      <c r="A322" t="s">
        <v>660</v>
      </c>
      <c r="B322" s="1">
        <v>45711</v>
      </c>
      <c r="C322" t="s">
        <v>661</v>
      </c>
      <c r="D322" t="s">
        <v>24</v>
      </c>
      <c r="E322" t="s">
        <v>3988</v>
      </c>
      <c r="F322" t="s">
        <v>4040</v>
      </c>
      <c r="G322">
        <v>2</v>
      </c>
      <c r="H322">
        <v>1513.92</v>
      </c>
      <c r="I322">
        <v>20</v>
      </c>
      <c r="J322" t="s">
        <v>39</v>
      </c>
      <c r="K322">
        <v>2422.27</v>
      </c>
    </row>
    <row r="323" spans="1:11" x14ac:dyDescent="0.25">
      <c r="A323" t="s">
        <v>662</v>
      </c>
      <c r="B323" s="1">
        <v>45876</v>
      </c>
      <c r="C323" t="s">
        <v>663</v>
      </c>
      <c r="D323" t="s">
        <v>36</v>
      </c>
      <c r="E323" t="s">
        <v>3988</v>
      </c>
      <c r="F323" t="s">
        <v>4252</v>
      </c>
      <c r="G323">
        <v>7</v>
      </c>
      <c r="H323">
        <v>1138.06</v>
      </c>
      <c r="I323">
        <v>15</v>
      </c>
      <c r="J323" t="s">
        <v>21</v>
      </c>
      <c r="K323">
        <v>6771.46</v>
      </c>
    </row>
    <row r="324" spans="1:11" x14ac:dyDescent="0.25">
      <c r="A324" t="s">
        <v>664</v>
      </c>
      <c r="B324" s="1">
        <v>45835</v>
      </c>
      <c r="C324" t="s">
        <v>665</v>
      </c>
      <c r="D324" t="s">
        <v>13</v>
      </c>
      <c r="E324" t="s">
        <v>29</v>
      </c>
      <c r="F324" t="s">
        <v>4253</v>
      </c>
      <c r="G324">
        <v>6</v>
      </c>
      <c r="H324">
        <v>1127.4000000000001</v>
      </c>
      <c r="I324">
        <v>10</v>
      </c>
      <c r="J324" t="s">
        <v>21</v>
      </c>
      <c r="K324">
        <v>6087.96</v>
      </c>
    </row>
    <row r="325" spans="1:11" x14ac:dyDescent="0.25">
      <c r="A325" t="s">
        <v>666</v>
      </c>
      <c r="B325" s="1">
        <v>45593</v>
      </c>
      <c r="C325" t="s">
        <v>667</v>
      </c>
      <c r="D325" t="s">
        <v>24</v>
      </c>
      <c r="E325" t="s">
        <v>3988</v>
      </c>
      <c r="F325" t="s">
        <v>4254</v>
      </c>
      <c r="G325">
        <v>3</v>
      </c>
      <c r="H325">
        <v>233.6</v>
      </c>
      <c r="I325">
        <v>20</v>
      </c>
      <c r="J325" t="s">
        <v>39</v>
      </c>
      <c r="K325">
        <v>560.64</v>
      </c>
    </row>
    <row r="326" spans="1:11" x14ac:dyDescent="0.25">
      <c r="A326" t="s">
        <v>668</v>
      </c>
      <c r="B326" s="1">
        <v>45597</v>
      </c>
      <c r="C326" t="s">
        <v>669</v>
      </c>
      <c r="D326" t="s">
        <v>20</v>
      </c>
      <c r="E326" t="s">
        <v>3988</v>
      </c>
      <c r="F326" t="s">
        <v>4255</v>
      </c>
      <c r="G326">
        <v>9</v>
      </c>
      <c r="H326">
        <v>720.14</v>
      </c>
      <c r="I326">
        <v>5</v>
      </c>
      <c r="J326" t="s">
        <v>39</v>
      </c>
      <c r="K326">
        <v>6157.2</v>
      </c>
    </row>
    <row r="327" spans="1:11" x14ac:dyDescent="0.25">
      <c r="A327" t="s">
        <v>670</v>
      </c>
      <c r="B327" s="1">
        <v>45517</v>
      </c>
      <c r="C327" t="s">
        <v>671</v>
      </c>
      <c r="D327" t="s">
        <v>36</v>
      </c>
      <c r="E327" t="s">
        <v>3272</v>
      </c>
      <c r="F327" t="s">
        <v>4256</v>
      </c>
      <c r="G327">
        <v>6</v>
      </c>
      <c r="H327">
        <v>600.74</v>
      </c>
      <c r="I327">
        <v>15</v>
      </c>
      <c r="J327" t="s">
        <v>39</v>
      </c>
      <c r="K327">
        <v>3063.77</v>
      </c>
    </row>
    <row r="328" spans="1:11" x14ac:dyDescent="0.25">
      <c r="A328" t="s">
        <v>672</v>
      </c>
      <c r="B328" s="1">
        <v>45338</v>
      </c>
      <c r="C328" t="s">
        <v>673</v>
      </c>
      <c r="D328" t="s">
        <v>24</v>
      </c>
      <c r="E328" t="s">
        <v>29</v>
      </c>
      <c r="F328" t="s">
        <v>4079</v>
      </c>
      <c r="G328">
        <v>6</v>
      </c>
      <c r="H328">
        <v>811.92</v>
      </c>
      <c r="I328">
        <v>20</v>
      </c>
      <c r="J328" t="s">
        <v>39</v>
      </c>
      <c r="K328">
        <v>3897.22</v>
      </c>
    </row>
    <row r="329" spans="1:11" x14ac:dyDescent="0.25">
      <c r="A329" t="s">
        <v>674</v>
      </c>
      <c r="B329" s="1">
        <v>45759</v>
      </c>
      <c r="C329" t="s">
        <v>675</v>
      </c>
      <c r="D329" t="s">
        <v>20</v>
      </c>
      <c r="E329" t="s">
        <v>3988</v>
      </c>
      <c r="F329" t="s">
        <v>4096</v>
      </c>
      <c r="G329">
        <v>1</v>
      </c>
      <c r="H329">
        <v>1606.77</v>
      </c>
      <c r="I329">
        <v>15</v>
      </c>
      <c r="J329" t="s">
        <v>21</v>
      </c>
      <c r="K329">
        <v>1365.75</v>
      </c>
    </row>
    <row r="330" spans="1:11" x14ac:dyDescent="0.25">
      <c r="A330" t="s">
        <v>676</v>
      </c>
      <c r="B330" s="1">
        <v>45517</v>
      </c>
      <c r="C330" t="s">
        <v>677</v>
      </c>
      <c r="D330" t="s">
        <v>24</v>
      </c>
      <c r="E330" t="s">
        <v>29</v>
      </c>
      <c r="F330" t="s">
        <v>4079</v>
      </c>
      <c r="G330">
        <v>4</v>
      </c>
      <c r="H330">
        <v>775.27</v>
      </c>
      <c r="I330">
        <v>5</v>
      </c>
      <c r="J330" t="s">
        <v>14</v>
      </c>
      <c r="K330">
        <v>2946.03</v>
      </c>
    </row>
    <row r="331" spans="1:11" x14ac:dyDescent="0.25">
      <c r="A331" t="s">
        <v>678</v>
      </c>
      <c r="B331" s="1">
        <v>45777</v>
      </c>
      <c r="C331" t="s">
        <v>679</v>
      </c>
      <c r="D331" t="s">
        <v>13</v>
      </c>
      <c r="E331" t="s">
        <v>3988</v>
      </c>
      <c r="F331" t="s">
        <v>4257</v>
      </c>
      <c r="G331">
        <v>6</v>
      </c>
      <c r="H331">
        <v>930.81</v>
      </c>
      <c r="I331">
        <v>20</v>
      </c>
      <c r="J331" t="s">
        <v>17</v>
      </c>
      <c r="K331">
        <v>4467.8900000000003</v>
      </c>
    </row>
    <row r="332" spans="1:11" x14ac:dyDescent="0.25">
      <c r="A332" t="s">
        <v>680</v>
      </c>
      <c r="B332" s="1">
        <v>45466</v>
      </c>
      <c r="C332" t="s">
        <v>681</v>
      </c>
      <c r="D332" t="s">
        <v>36</v>
      </c>
      <c r="E332" t="s">
        <v>3988</v>
      </c>
      <c r="F332" t="s">
        <v>4258</v>
      </c>
      <c r="G332">
        <v>6</v>
      </c>
      <c r="H332">
        <v>824.89</v>
      </c>
      <c r="I332">
        <v>5</v>
      </c>
      <c r="J332" t="s">
        <v>17</v>
      </c>
      <c r="K332">
        <v>4701.87</v>
      </c>
    </row>
    <row r="333" spans="1:11" x14ac:dyDescent="0.25">
      <c r="A333" t="s">
        <v>682</v>
      </c>
      <c r="B333" s="1">
        <v>45297</v>
      </c>
      <c r="C333" t="s">
        <v>683</v>
      </c>
      <c r="D333" t="s">
        <v>13</v>
      </c>
      <c r="E333" t="s">
        <v>3272</v>
      </c>
      <c r="F333" t="s">
        <v>4062</v>
      </c>
      <c r="G333">
        <v>5</v>
      </c>
      <c r="H333">
        <v>232.15</v>
      </c>
      <c r="I333">
        <v>0</v>
      </c>
      <c r="J333" t="s">
        <v>39</v>
      </c>
      <c r="K333">
        <v>1160.75</v>
      </c>
    </row>
    <row r="334" spans="1:11" x14ac:dyDescent="0.25">
      <c r="A334" t="s">
        <v>684</v>
      </c>
      <c r="B334" s="1">
        <v>45223</v>
      </c>
      <c r="C334" t="s">
        <v>685</v>
      </c>
      <c r="D334" t="s">
        <v>36</v>
      </c>
      <c r="E334" t="s">
        <v>3988</v>
      </c>
      <c r="F334" t="s">
        <v>4259</v>
      </c>
      <c r="G334">
        <v>1</v>
      </c>
      <c r="H334">
        <v>910.09</v>
      </c>
      <c r="I334">
        <v>5</v>
      </c>
      <c r="J334" t="s">
        <v>14</v>
      </c>
      <c r="K334">
        <v>864.59</v>
      </c>
    </row>
    <row r="335" spans="1:11" x14ac:dyDescent="0.25">
      <c r="A335" t="s">
        <v>686</v>
      </c>
      <c r="B335" s="1">
        <v>45225</v>
      </c>
      <c r="C335" t="s">
        <v>687</v>
      </c>
      <c r="D335" t="s">
        <v>24</v>
      </c>
      <c r="E335" t="s">
        <v>3988</v>
      </c>
      <c r="F335" t="s">
        <v>4260</v>
      </c>
      <c r="G335">
        <v>8</v>
      </c>
      <c r="H335">
        <v>431.44</v>
      </c>
      <c r="I335">
        <v>15</v>
      </c>
      <c r="J335" t="s">
        <v>21</v>
      </c>
      <c r="K335">
        <v>2933.79</v>
      </c>
    </row>
    <row r="336" spans="1:11" x14ac:dyDescent="0.25">
      <c r="A336" t="s">
        <v>688</v>
      </c>
      <c r="B336" s="1">
        <v>45661</v>
      </c>
      <c r="C336" t="s">
        <v>689</v>
      </c>
      <c r="D336" t="s">
        <v>24</v>
      </c>
      <c r="E336" t="s">
        <v>29</v>
      </c>
      <c r="F336" t="s">
        <v>4261</v>
      </c>
      <c r="G336">
        <v>5</v>
      </c>
      <c r="H336">
        <v>414.11</v>
      </c>
      <c r="I336">
        <v>10</v>
      </c>
      <c r="J336" t="s">
        <v>21</v>
      </c>
      <c r="K336">
        <v>1863.5</v>
      </c>
    </row>
    <row r="337" spans="1:11" x14ac:dyDescent="0.25">
      <c r="A337" t="s">
        <v>690</v>
      </c>
      <c r="B337" s="1">
        <v>45484</v>
      </c>
      <c r="C337" t="s">
        <v>691</v>
      </c>
      <c r="D337" t="s">
        <v>36</v>
      </c>
      <c r="E337" t="s">
        <v>3988</v>
      </c>
      <c r="F337" t="s">
        <v>4236</v>
      </c>
      <c r="G337">
        <v>5</v>
      </c>
      <c r="H337">
        <v>233.37</v>
      </c>
      <c r="I337">
        <v>5</v>
      </c>
      <c r="J337" t="s">
        <v>17</v>
      </c>
      <c r="K337">
        <v>1108.51</v>
      </c>
    </row>
    <row r="338" spans="1:11" x14ac:dyDescent="0.25">
      <c r="A338" t="s">
        <v>692</v>
      </c>
      <c r="B338" s="1">
        <v>45425</v>
      </c>
      <c r="C338" t="s">
        <v>693</v>
      </c>
      <c r="D338" t="s">
        <v>20</v>
      </c>
      <c r="E338" t="s">
        <v>3272</v>
      </c>
      <c r="F338" t="s">
        <v>4262</v>
      </c>
      <c r="G338">
        <v>7</v>
      </c>
      <c r="H338">
        <v>745.51</v>
      </c>
      <c r="I338">
        <v>10</v>
      </c>
      <c r="J338" t="s">
        <v>39</v>
      </c>
      <c r="K338">
        <v>4696.71</v>
      </c>
    </row>
    <row r="339" spans="1:11" x14ac:dyDescent="0.25">
      <c r="A339" t="s">
        <v>694</v>
      </c>
      <c r="B339" s="1">
        <v>45479</v>
      </c>
      <c r="C339" t="s">
        <v>695</v>
      </c>
      <c r="D339" t="s">
        <v>20</v>
      </c>
      <c r="E339" t="s">
        <v>3988</v>
      </c>
      <c r="F339" t="s">
        <v>4263</v>
      </c>
      <c r="G339">
        <v>4</v>
      </c>
      <c r="H339">
        <v>1527.09</v>
      </c>
      <c r="I339">
        <v>0</v>
      </c>
      <c r="J339" t="s">
        <v>14</v>
      </c>
      <c r="K339">
        <v>6108.36</v>
      </c>
    </row>
    <row r="340" spans="1:11" x14ac:dyDescent="0.25">
      <c r="A340" t="s">
        <v>696</v>
      </c>
      <c r="B340" s="1">
        <v>45469</v>
      </c>
      <c r="C340" t="s">
        <v>697</v>
      </c>
      <c r="D340" t="s">
        <v>24</v>
      </c>
      <c r="E340" t="s">
        <v>3272</v>
      </c>
      <c r="F340" t="s">
        <v>4245</v>
      </c>
      <c r="G340">
        <v>6</v>
      </c>
      <c r="H340">
        <v>589.05999999999995</v>
      </c>
      <c r="I340">
        <v>20</v>
      </c>
      <c r="J340" t="s">
        <v>17</v>
      </c>
      <c r="K340">
        <v>2827.49</v>
      </c>
    </row>
    <row r="341" spans="1:11" x14ac:dyDescent="0.25">
      <c r="A341" t="s">
        <v>698</v>
      </c>
      <c r="B341" s="1">
        <v>45512</v>
      </c>
      <c r="C341" t="s">
        <v>699</v>
      </c>
      <c r="D341" t="s">
        <v>24</v>
      </c>
      <c r="E341" t="s">
        <v>3988</v>
      </c>
      <c r="F341" t="s">
        <v>4264</v>
      </c>
      <c r="G341">
        <v>4</v>
      </c>
      <c r="H341">
        <v>659.08</v>
      </c>
      <c r="I341">
        <v>20</v>
      </c>
      <c r="J341" t="s">
        <v>14</v>
      </c>
      <c r="K341">
        <v>2109.06</v>
      </c>
    </row>
    <row r="342" spans="1:11" x14ac:dyDescent="0.25">
      <c r="A342" t="s">
        <v>700</v>
      </c>
      <c r="B342" s="1">
        <v>45820</v>
      </c>
      <c r="C342" t="s">
        <v>701</v>
      </c>
      <c r="D342" t="s">
        <v>13</v>
      </c>
      <c r="E342" t="s">
        <v>29</v>
      </c>
      <c r="F342" t="s">
        <v>4265</v>
      </c>
      <c r="G342">
        <v>3</v>
      </c>
      <c r="H342">
        <v>1303.22</v>
      </c>
      <c r="I342">
        <v>10</v>
      </c>
      <c r="J342" t="s">
        <v>39</v>
      </c>
      <c r="K342">
        <v>3518.69</v>
      </c>
    </row>
    <row r="343" spans="1:11" x14ac:dyDescent="0.25">
      <c r="A343" t="s">
        <v>702</v>
      </c>
      <c r="B343" s="1">
        <v>45716</v>
      </c>
      <c r="C343" t="s">
        <v>703</v>
      </c>
      <c r="D343" t="s">
        <v>24</v>
      </c>
      <c r="E343" t="s">
        <v>3988</v>
      </c>
      <c r="F343" t="s">
        <v>4266</v>
      </c>
      <c r="G343">
        <v>7</v>
      </c>
      <c r="H343">
        <v>431.89</v>
      </c>
      <c r="I343">
        <v>20</v>
      </c>
      <c r="J343" t="s">
        <v>39</v>
      </c>
      <c r="K343">
        <v>2418.58</v>
      </c>
    </row>
    <row r="344" spans="1:11" x14ac:dyDescent="0.25">
      <c r="A344" t="s">
        <v>704</v>
      </c>
      <c r="B344" s="1">
        <v>45192</v>
      </c>
      <c r="C344" t="s">
        <v>705</v>
      </c>
      <c r="D344" t="s">
        <v>36</v>
      </c>
      <c r="E344" t="s">
        <v>29</v>
      </c>
      <c r="F344" t="s">
        <v>4267</v>
      </c>
      <c r="G344">
        <v>8</v>
      </c>
      <c r="H344">
        <v>1799.07</v>
      </c>
      <c r="I344">
        <v>5</v>
      </c>
      <c r="J344" t="s">
        <v>17</v>
      </c>
      <c r="K344">
        <v>13672.93</v>
      </c>
    </row>
    <row r="345" spans="1:11" x14ac:dyDescent="0.25">
      <c r="A345" t="s">
        <v>706</v>
      </c>
      <c r="B345" s="1">
        <v>45673</v>
      </c>
      <c r="C345" t="s">
        <v>707</v>
      </c>
      <c r="D345" t="s">
        <v>20</v>
      </c>
      <c r="E345" t="s">
        <v>3272</v>
      </c>
      <c r="F345" t="s">
        <v>4268</v>
      </c>
      <c r="G345">
        <v>4</v>
      </c>
      <c r="H345">
        <v>1064.3699999999999</v>
      </c>
      <c r="I345">
        <v>10</v>
      </c>
      <c r="J345" t="s">
        <v>39</v>
      </c>
      <c r="K345">
        <v>3831.73</v>
      </c>
    </row>
    <row r="346" spans="1:11" x14ac:dyDescent="0.25">
      <c r="A346" t="s">
        <v>708</v>
      </c>
      <c r="B346" s="1">
        <v>45657</v>
      </c>
      <c r="C346" t="s">
        <v>709</v>
      </c>
      <c r="D346" t="s">
        <v>20</v>
      </c>
      <c r="E346" t="s">
        <v>3272</v>
      </c>
      <c r="F346" t="s">
        <v>4269</v>
      </c>
      <c r="G346">
        <v>2</v>
      </c>
      <c r="H346">
        <v>922.83</v>
      </c>
      <c r="I346">
        <v>15</v>
      </c>
      <c r="J346" t="s">
        <v>14</v>
      </c>
      <c r="K346">
        <v>1568.81</v>
      </c>
    </row>
    <row r="347" spans="1:11" x14ac:dyDescent="0.25">
      <c r="A347" t="s">
        <v>710</v>
      </c>
      <c r="B347" s="1">
        <v>45651</v>
      </c>
      <c r="C347" t="s">
        <v>711</v>
      </c>
      <c r="D347" t="s">
        <v>13</v>
      </c>
      <c r="E347" t="s">
        <v>29</v>
      </c>
      <c r="F347" t="s">
        <v>4270</v>
      </c>
      <c r="G347">
        <v>3</v>
      </c>
      <c r="H347">
        <v>1137.75</v>
      </c>
      <c r="I347">
        <v>5</v>
      </c>
      <c r="J347" t="s">
        <v>14</v>
      </c>
      <c r="K347">
        <v>3242.59</v>
      </c>
    </row>
    <row r="348" spans="1:11" x14ac:dyDescent="0.25">
      <c r="A348" t="s">
        <v>712</v>
      </c>
      <c r="B348" s="1">
        <v>45226</v>
      </c>
      <c r="C348" t="s">
        <v>713</v>
      </c>
      <c r="D348" t="s">
        <v>20</v>
      </c>
      <c r="E348" t="s">
        <v>29</v>
      </c>
      <c r="F348" t="s">
        <v>4270</v>
      </c>
      <c r="G348">
        <v>1</v>
      </c>
      <c r="H348">
        <v>373.77</v>
      </c>
      <c r="I348">
        <v>5</v>
      </c>
      <c r="J348" t="s">
        <v>17</v>
      </c>
      <c r="K348">
        <v>355.08</v>
      </c>
    </row>
    <row r="349" spans="1:11" x14ac:dyDescent="0.25">
      <c r="A349" t="s">
        <v>714</v>
      </c>
      <c r="B349" s="1">
        <v>45197</v>
      </c>
      <c r="C349" t="s">
        <v>715</v>
      </c>
      <c r="D349" t="s">
        <v>20</v>
      </c>
      <c r="E349" t="s">
        <v>29</v>
      </c>
      <c r="F349" t="s">
        <v>4267</v>
      </c>
      <c r="G349">
        <v>8</v>
      </c>
      <c r="H349">
        <v>1246.27</v>
      </c>
      <c r="I349">
        <v>5</v>
      </c>
      <c r="J349" t="s">
        <v>39</v>
      </c>
      <c r="K349">
        <v>9471.65</v>
      </c>
    </row>
    <row r="350" spans="1:11" x14ac:dyDescent="0.25">
      <c r="A350" t="s">
        <v>716</v>
      </c>
      <c r="B350" s="1">
        <v>45462</v>
      </c>
      <c r="C350" t="s">
        <v>717</v>
      </c>
      <c r="D350" t="s">
        <v>36</v>
      </c>
      <c r="E350" t="s">
        <v>3272</v>
      </c>
      <c r="F350" t="s">
        <v>4268</v>
      </c>
      <c r="G350">
        <v>3</v>
      </c>
      <c r="H350">
        <v>758.05</v>
      </c>
      <c r="I350">
        <v>15</v>
      </c>
      <c r="J350" t="s">
        <v>21</v>
      </c>
      <c r="K350">
        <v>1933.03</v>
      </c>
    </row>
    <row r="351" spans="1:11" x14ac:dyDescent="0.25">
      <c r="A351" t="s">
        <v>718</v>
      </c>
      <c r="B351" s="1">
        <v>45715</v>
      </c>
      <c r="C351" t="s">
        <v>719</v>
      </c>
      <c r="D351" t="s">
        <v>20</v>
      </c>
      <c r="E351" t="s">
        <v>3272</v>
      </c>
      <c r="F351" t="s">
        <v>4269</v>
      </c>
      <c r="G351">
        <v>7</v>
      </c>
      <c r="H351">
        <v>1799.51</v>
      </c>
      <c r="I351">
        <v>0</v>
      </c>
      <c r="J351" t="s">
        <v>39</v>
      </c>
      <c r="K351">
        <v>12596.57</v>
      </c>
    </row>
    <row r="352" spans="1:11" x14ac:dyDescent="0.25">
      <c r="A352" t="s">
        <v>720</v>
      </c>
      <c r="B352" s="1">
        <v>45413</v>
      </c>
      <c r="C352" t="s">
        <v>721</v>
      </c>
      <c r="D352" t="s">
        <v>13</v>
      </c>
      <c r="E352" t="s">
        <v>29</v>
      </c>
      <c r="F352" t="s">
        <v>4271</v>
      </c>
      <c r="G352">
        <v>5</v>
      </c>
      <c r="H352">
        <v>379.27</v>
      </c>
      <c r="I352">
        <v>20</v>
      </c>
      <c r="J352" t="s">
        <v>17</v>
      </c>
      <c r="K352">
        <v>1517.08</v>
      </c>
    </row>
    <row r="353" spans="1:11" x14ac:dyDescent="0.25">
      <c r="A353" t="s">
        <v>722</v>
      </c>
      <c r="B353" s="1">
        <v>45771</v>
      </c>
      <c r="C353" t="s">
        <v>723</v>
      </c>
      <c r="D353" t="s">
        <v>13</v>
      </c>
      <c r="E353" t="s">
        <v>29</v>
      </c>
      <c r="F353" t="s">
        <v>4005</v>
      </c>
      <c r="G353">
        <v>5</v>
      </c>
      <c r="H353">
        <v>1038.75</v>
      </c>
      <c r="I353">
        <v>10</v>
      </c>
      <c r="J353" t="s">
        <v>17</v>
      </c>
      <c r="K353">
        <v>4674.38</v>
      </c>
    </row>
    <row r="354" spans="1:11" x14ac:dyDescent="0.25">
      <c r="A354" t="s">
        <v>724</v>
      </c>
      <c r="B354" s="1">
        <v>45819</v>
      </c>
      <c r="C354" t="s">
        <v>725</v>
      </c>
      <c r="D354" t="s">
        <v>20</v>
      </c>
      <c r="E354" t="s">
        <v>3988</v>
      </c>
      <c r="F354" t="s">
        <v>4272</v>
      </c>
      <c r="G354">
        <v>7</v>
      </c>
      <c r="H354">
        <v>1216.32</v>
      </c>
      <c r="I354">
        <v>0</v>
      </c>
      <c r="J354" t="s">
        <v>21</v>
      </c>
      <c r="K354">
        <v>8514.24</v>
      </c>
    </row>
    <row r="355" spans="1:11" x14ac:dyDescent="0.25">
      <c r="A355" t="s">
        <v>726</v>
      </c>
      <c r="B355" s="1">
        <v>45234</v>
      </c>
      <c r="C355" t="s">
        <v>727</v>
      </c>
      <c r="D355" t="s">
        <v>24</v>
      </c>
      <c r="E355" t="s">
        <v>3988</v>
      </c>
      <c r="F355" t="s">
        <v>4227</v>
      </c>
      <c r="G355">
        <v>9</v>
      </c>
      <c r="H355">
        <v>115.1</v>
      </c>
      <c r="I355">
        <v>10</v>
      </c>
      <c r="J355" t="s">
        <v>17</v>
      </c>
      <c r="K355">
        <v>932.31</v>
      </c>
    </row>
    <row r="356" spans="1:11" x14ac:dyDescent="0.25">
      <c r="A356" t="s">
        <v>728</v>
      </c>
      <c r="B356" s="1">
        <v>45343</v>
      </c>
      <c r="C356" t="s">
        <v>729</v>
      </c>
      <c r="D356" t="s">
        <v>20</v>
      </c>
      <c r="E356" t="s">
        <v>29</v>
      </c>
      <c r="F356" t="s">
        <v>4273</v>
      </c>
      <c r="G356">
        <v>5</v>
      </c>
      <c r="H356">
        <v>759.2</v>
      </c>
      <c r="I356">
        <v>20</v>
      </c>
      <c r="J356" t="s">
        <v>17</v>
      </c>
      <c r="K356">
        <v>3036.8</v>
      </c>
    </row>
    <row r="357" spans="1:11" x14ac:dyDescent="0.25">
      <c r="A357" t="s">
        <v>730</v>
      </c>
      <c r="B357" s="1">
        <v>45298</v>
      </c>
      <c r="C357" t="s">
        <v>731</v>
      </c>
      <c r="D357" t="s">
        <v>13</v>
      </c>
      <c r="E357" t="s">
        <v>29</v>
      </c>
      <c r="F357" t="s">
        <v>4274</v>
      </c>
      <c r="G357">
        <v>1</v>
      </c>
      <c r="H357">
        <v>1478.64</v>
      </c>
      <c r="I357">
        <v>15</v>
      </c>
      <c r="J357" t="s">
        <v>21</v>
      </c>
      <c r="K357">
        <v>1256.8399999999999</v>
      </c>
    </row>
    <row r="358" spans="1:11" x14ac:dyDescent="0.25">
      <c r="A358" t="s">
        <v>732</v>
      </c>
      <c r="B358" s="1">
        <v>45297</v>
      </c>
      <c r="C358" t="s">
        <v>733</v>
      </c>
      <c r="D358" t="s">
        <v>13</v>
      </c>
      <c r="E358" t="s">
        <v>3272</v>
      </c>
      <c r="F358" t="s">
        <v>4194</v>
      </c>
      <c r="G358">
        <v>1</v>
      </c>
      <c r="H358">
        <v>1649.74</v>
      </c>
      <c r="I358">
        <v>5</v>
      </c>
      <c r="J358" t="s">
        <v>21</v>
      </c>
      <c r="K358">
        <v>1567.25</v>
      </c>
    </row>
    <row r="359" spans="1:11" x14ac:dyDescent="0.25">
      <c r="A359" t="s">
        <v>734</v>
      </c>
      <c r="B359" s="1">
        <v>45566</v>
      </c>
      <c r="C359" t="s">
        <v>735</v>
      </c>
      <c r="D359" t="s">
        <v>36</v>
      </c>
      <c r="E359" t="s">
        <v>3988</v>
      </c>
      <c r="F359" t="s">
        <v>4275</v>
      </c>
      <c r="G359">
        <v>2</v>
      </c>
      <c r="H359">
        <v>660.67</v>
      </c>
      <c r="I359">
        <v>5</v>
      </c>
      <c r="J359" t="s">
        <v>14</v>
      </c>
      <c r="K359">
        <v>1255.27</v>
      </c>
    </row>
    <row r="360" spans="1:11" x14ac:dyDescent="0.25">
      <c r="A360" t="s">
        <v>736</v>
      </c>
      <c r="B360" s="1">
        <v>45498</v>
      </c>
      <c r="C360" t="s">
        <v>737</v>
      </c>
      <c r="D360" t="s">
        <v>20</v>
      </c>
      <c r="E360" t="s">
        <v>3988</v>
      </c>
      <c r="F360" t="s">
        <v>4276</v>
      </c>
      <c r="G360">
        <v>6</v>
      </c>
      <c r="H360">
        <v>1607.26</v>
      </c>
      <c r="I360">
        <v>15</v>
      </c>
      <c r="J360" t="s">
        <v>17</v>
      </c>
      <c r="K360">
        <v>8197.0300000000007</v>
      </c>
    </row>
    <row r="361" spans="1:11" x14ac:dyDescent="0.25">
      <c r="A361" t="s">
        <v>738</v>
      </c>
      <c r="B361" s="1">
        <v>45258</v>
      </c>
      <c r="C361" t="s">
        <v>739</v>
      </c>
      <c r="D361" t="s">
        <v>20</v>
      </c>
      <c r="E361" t="s">
        <v>3272</v>
      </c>
      <c r="F361" t="s">
        <v>4115</v>
      </c>
      <c r="G361">
        <v>9</v>
      </c>
      <c r="H361">
        <v>1937.12</v>
      </c>
      <c r="I361">
        <v>0</v>
      </c>
      <c r="J361" t="s">
        <v>21</v>
      </c>
      <c r="K361">
        <v>17434.080000000002</v>
      </c>
    </row>
    <row r="362" spans="1:11" x14ac:dyDescent="0.25">
      <c r="A362" t="s">
        <v>740</v>
      </c>
      <c r="B362" s="1">
        <v>45477</v>
      </c>
      <c r="C362" t="s">
        <v>741</v>
      </c>
      <c r="D362" t="s">
        <v>36</v>
      </c>
      <c r="E362" t="s">
        <v>29</v>
      </c>
      <c r="F362" t="s">
        <v>4277</v>
      </c>
      <c r="G362">
        <v>8</v>
      </c>
      <c r="H362">
        <v>1720.9</v>
      </c>
      <c r="I362">
        <v>0</v>
      </c>
      <c r="J362" t="s">
        <v>14</v>
      </c>
      <c r="K362">
        <v>13767.2</v>
      </c>
    </row>
    <row r="363" spans="1:11" x14ac:dyDescent="0.25">
      <c r="A363" t="s">
        <v>742</v>
      </c>
      <c r="B363" s="1">
        <v>45292</v>
      </c>
      <c r="C363" t="s">
        <v>743</v>
      </c>
      <c r="D363" t="s">
        <v>13</v>
      </c>
      <c r="E363" t="s">
        <v>29</v>
      </c>
      <c r="F363" t="s">
        <v>4278</v>
      </c>
      <c r="G363">
        <v>5</v>
      </c>
      <c r="H363">
        <v>279.41000000000003</v>
      </c>
      <c r="I363">
        <v>10</v>
      </c>
      <c r="J363" t="s">
        <v>17</v>
      </c>
      <c r="K363">
        <v>1257.3499999999999</v>
      </c>
    </row>
    <row r="364" spans="1:11" x14ac:dyDescent="0.25">
      <c r="A364" t="s">
        <v>744</v>
      </c>
      <c r="B364" s="1">
        <v>45366</v>
      </c>
      <c r="C364" t="s">
        <v>745</v>
      </c>
      <c r="D364" t="s">
        <v>36</v>
      </c>
      <c r="E364" t="s">
        <v>29</v>
      </c>
      <c r="F364" t="s">
        <v>4192</v>
      </c>
      <c r="G364">
        <v>1</v>
      </c>
      <c r="H364">
        <v>1492.47</v>
      </c>
      <c r="I364">
        <v>15</v>
      </c>
      <c r="J364" t="s">
        <v>21</v>
      </c>
      <c r="K364">
        <v>1268.5999999999999</v>
      </c>
    </row>
    <row r="365" spans="1:11" x14ac:dyDescent="0.25">
      <c r="A365" t="s">
        <v>746</v>
      </c>
      <c r="B365" s="1">
        <v>45509</v>
      </c>
      <c r="C365" t="s">
        <v>747</v>
      </c>
      <c r="D365" t="s">
        <v>24</v>
      </c>
      <c r="E365" t="s">
        <v>3988</v>
      </c>
      <c r="F365" t="s">
        <v>4279</v>
      </c>
      <c r="G365">
        <v>7</v>
      </c>
      <c r="H365">
        <v>673.35</v>
      </c>
      <c r="I365">
        <v>0</v>
      </c>
      <c r="J365" t="s">
        <v>17</v>
      </c>
      <c r="K365">
        <v>4713.45</v>
      </c>
    </row>
    <row r="366" spans="1:11" x14ac:dyDescent="0.25">
      <c r="A366" t="s">
        <v>748</v>
      </c>
      <c r="B366" s="1">
        <v>45344</v>
      </c>
      <c r="C366" t="s">
        <v>749</v>
      </c>
      <c r="D366" t="s">
        <v>20</v>
      </c>
      <c r="E366" t="s">
        <v>29</v>
      </c>
      <c r="F366" t="s">
        <v>4278</v>
      </c>
      <c r="G366">
        <v>5</v>
      </c>
      <c r="H366">
        <v>1977.41</v>
      </c>
      <c r="I366">
        <v>15</v>
      </c>
      <c r="J366" t="s">
        <v>14</v>
      </c>
      <c r="K366">
        <v>8403.99</v>
      </c>
    </row>
    <row r="367" spans="1:11" x14ac:dyDescent="0.25">
      <c r="A367" t="s">
        <v>750</v>
      </c>
      <c r="B367" s="1">
        <v>45829</v>
      </c>
      <c r="C367" t="s">
        <v>751</v>
      </c>
      <c r="D367" t="s">
        <v>13</v>
      </c>
      <c r="E367" t="s">
        <v>3988</v>
      </c>
      <c r="F367" t="s">
        <v>4279</v>
      </c>
      <c r="G367">
        <v>6</v>
      </c>
      <c r="H367">
        <v>996.45</v>
      </c>
      <c r="I367">
        <v>20</v>
      </c>
      <c r="J367" t="s">
        <v>39</v>
      </c>
      <c r="K367">
        <v>4782.96</v>
      </c>
    </row>
    <row r="368" spans="1:11" x14ac:dyDescent="0.25">
      <c r="A368" t="s">
        <v>752</v>
      </c>
      <c r="B368" s="1">
        <v>45867</v>
      </c>
      <c r="C368" t="s">
        <v>753</v>
      </c>
      <c r="D368" t="s">
        <v>36</v>
      </c>
      <c r="E368" t="s">
        <v>3988</v>
      </c>
      <c r="F368" t="s">
        <v>4280</v>
      </c>
      <c r="G368">
        <v>7</v>
      </c>
      <c r="H368">
        <v>288.75</v>
      </c>
      <c r="I368">
        <v>5</v>
      </c>
      <c r="J368" t="s">
        <v>17</v>
      </c>
      <c r="K368">
        <v>1920.19</v>
      </c>
    </row>
    <row r="369" spans="1:11" x14ac:dyDescent="0.25">
      <c r="A369" t="s">
        <v>754</v>
      </c>
      <c r="B369" s="1">
        <v>45208</v>
      </c>
      <c r="C369" t="s">
        <v>755</v>
      </c>
      <c r="D369" t="s">
        <v>13</v>
      </c>
      <c r="E369" t="s">
        <v>3988</v>
      </c>
      <c r="F369" t="s">
        <v>4281</v>
      </c>
      <c r="G369">
        <v>3</v>
      </c>
      <c r="H369">
        <v>1464.11</v>
      </c>
      <c r="I369">
        <v>5</v>
      </c>
      <c r="J369" t="s">
        <v>17</v>
      </c>
      <c r="K369">
        <v>4172.71</v>
      </c>
    </row>
    <row r="370" spans="1:11" x14ac:dyDescent="0.25">
      <c r="A370" t="s">
        <v>756</v>
      </c>
      <c r="B370" s="1">
        <v>45494</v>
      </c>
      <c r="C370" t="s">
        <v>757</v>
      </c>
      <c r="D370" t="s">
        <v>24</v>
      </c>
      <c r="E370" t="s">
        <v>29</v>
      </c>
      <c r="F370" t="s">
        <v>4050</v>
      </c>
      <c r="G370">
        <v>3</v>
      </c>
      <c r="H370">
        <v>679.87</v>
      </c>
      <c r="I370">
        <v>5</v>
      </c>
      <c r="J370" t="s">
        <v>17</v>
      </c>
      <c r="K370">
        <v>1937.63</v>
      </c>
    </row>
    <row r="371" spans="1:11" x14ac:dyDescent="0.25">
      <c r="A371" t="s">
        <v>758</v>
      </c>
      <c r="B371" s="1">
        <v>45777</v>
      </c>
      <c r="C371" t="s">
        <v>759</v>
      </c>
      <c r="D371" t="s">
        <v>20</v>
      </c>
      <c r="E371" t="s">
        <v>3988</v>
      </c>
      <c r="F371" t="s">
        <v>4282</v>
      </c>
      <c r="G371">
        <v>5</v>
      </c>
      <c r="H371">
        <v>1994.3</v>
      </c>
      <c r="I371">
        <v>15</v>
      </c>
      <c r="J371" t="s">
        <v>17</v>
      </c>
      <c r="K371">
        <v>8475.7800000000007</v>
      </c>
    </row>
    <row r="372" spans="1:11" x14ac:dyDescent="0.25">
      <c r="A372" t="s">
        <v>760</v>
      </c>
      <c r="B372" s="1">
        <v>45819</v>
      </c>
      <c r="C372" t="s">
        <v>761</v>
      </c>
      <c r="D372" t="s">
        <v>36</v>
      </c>
      <c r="E372" t="s">
        <v>3272</v>
      </c>
      <c r="F372" t="s">
        <v>4283</v>
      </c>
      <c r="G372">
        <v>6</v>
      </c>
      <c r="H372">
        <v>1960.58</v>
      </c>
      <c r="I372">
        <v>15</v>
      </c>
      <c r="J372" t="s">
        <v>21</v>
      </c>
      <c r="K372">
        <v>9998.9599999999991</v>
      </c>
    </row>
    <row r="373" spans="1:11" x14ac:dyDescent="0.25">
      <c r="A373" t="s">
        <v>762</v>
      </c>
      <c r="B373" s="1">
        <v>45814</v>
      </c>
      <c r="C373" t="s">
        <v>763</v>
      </c>
      <c r="D373" t="s">
        <v>13</v>
      </c>
      <c r="E373" t="s">
        <v>3988</v>
      </c>
      <c r="F373" t="s">
        <v>4053</v>
      </c>
      <c r="G373">
        <v>9</v>
      </c>
      <c r="H373">
        <v>1329.46</v>
      </c>
      <c r="I373">
        <v>10</v>
      </c>
      <c r="J373" t="s">
        <v>39</v>
      </c>
      <c r="K373">
        <v>10768.63</v>
      </c>
    </row>
    <row r="374" spans="1:11" x14ac:dyDescent="0.25">
      <c r="A374" t="s">
        <v>764</v>
      </c>
      <c r="B374" s="1">
        <v>45577</v>
      </c>
      <c r="C374" t="s">
        <v>765</v>
      </c>
      <c r="D374" t="s">
        <v>20</v>
      </c>
      <c r="E374" t="s">
        <v>3988</v>
      </c>
      <c r="F374" t="s">
        <v>4155</v>
      </c>
      <c r="G374">
        <v>5</v>
      </c>
      <c r="H374">
        <v>303.16000000000003</v>
      </c>
      <c r="I374">
        <v>5</v>
      </c>
      <c r="J374" t="s">
        <v>17</v>
      </c>
      <c r="K374">
        <v>1440.01</v>
      </c>
    </row>
    <row r="375" spans="1:11" x14ac:dyDescent="0.25">
      <c r="A375" t="s">
        <v>766</v>
      </c>
      <c r="B375" s="1">
        <v>45226</v>
      </c>
      <c r="C375" t="s">
        <v>767</v>
      </c>
      <c r="D375" t="s">
        <v>20</v>
      </c>
      <c r="E375" t="s">
        <v>3988</v>
      </c>
      <c r="F375" t="s">
        <v>4284</v>
      </c>
      <c r="G375">
        <v>1</v>
      </c>
      <c r="H375">
        <v>1389.38</v>
      </c>
      <c r="I375">
        <v>10</v>
      </c>
      <c r="J375" t="s">
        <v>21</v>
      </c>
      <c r="K375">
        <v>1250.44</v>
      </c>
    </row>
    <row r="376" spans="1:11" x14ac:dyDescent="0.25">
      <c r="A376" t="s">
        <v>768</v>
      </c>
      <c r="B376" s="1">
        <v>45189</v>
      </c>
      <c r="C376" t="s">
        <v>769</v>
      </c>
      <c r="D376" t="s">
        <v>13</v>
      </c>
      <c r="E376" t="s">
        <v>3988</v>
      </c>
      <c r="F376" t="s">
        <v>4285</v>
      </c>
      <c r="G376">
        <v>4</v>
      </c>
      <c r="H376">
        <v>231.41</v>
      </c>
      <c r="I376">
        <v>5</v>
      </c>
      <c r="J376" t="s">
        <v>39</v>
      </c>
      <c r="K376">
        <v>879.36</v>
      </c>
    </row>
    <row r="377" spans="1:11" x14ac:dyDescent="0.25">
      <c r="A377" t="s">
        <v>770</v>
      </c>
      <c r="B377" s="1">
        <v>45656</v>
      </c>
      <c r="C377" t="s">
        <v>771</v>
      </c>
      <c r="D377" t="s">
        <v>20</v>
      </c>
      <c r="E377" t="s">
        <v>3272</v>
      </c>
      <c r="F377" t="s">
        <v>4088</v>
      </c>
      <c r="G377">
        <v>5</v>
      </c>
      <c r="H377">
        <v>107.26</v>
      </c>
      <c r="I377">
        <v>10</v>
      </c>
      <c r="J377" t="s">
        <v>14</v>
      </c>
      <c r="K377">
        <v>482.67</v>
      </c>
    </row>
    <row r="378" spans="1:11" x14ac:dyDescent="0.25">
      <c r="A378" t="s">
        <v>772</v>
      </c>
      <c r="B378" s="1">
        <v>45569</v>
      </c>
      <c r="C378" t="s">
        <v>773</v>
      </c>
      <c r="D378" t="s">
        <v>20</v>
      </c>
      <c r="E378" t="s">
        <v>29</v>
      </c>
      <c r="F378" t="s">
        <v>4286</v>
      </c>
      <c r="G378">
        <v>5</v>
      </c>
      <c r="H378">
        <v>1654.77</v>
      </c>
      <c r="I378">
        <v>10</v>
      </c>
      <c r="J378" t="s">
        <v>14</v>
      </c>
      <c r="K378">
        <v>7446.46</v>
      </c>
    </row>
    <row r="379" spans="1:11" x14ac:dyDescent="0.25">
      <c r="A379" t="s">
        <v>774</v>
      </c>
      <c r="B379" s="1">
        <v>45799</v>
      </c>
      <c r="C379" t="s">
        <v>775</v>
      </c>
      <c r="D379" t="s">
        <v>36</v>
      </c>
      <c r="E379" t="s">
        <v>3988</v>
      </c>
      <c r="F379" t="s">
        <v>4287</v>
      </c>
      <c r="G379">
        <v>7</v>
      </c>
      <c r="H379">
        <v>459.02</v>
      </c>
      <c r="I379">
        <v>20</v>
      </c>
      <c r="J379" t="s">
        <v>14</v>
      </c>
      <c r="K379">
        <v>2570.5100000000002</v>
      </c>
    </row>
    <row r="380" spans="1:11" x14ac:dyDescent="0.25">
      <c r="A380" t="s">
        <v>776</v>
      </c>
      <c r="B380" s="1">
        <v>45161</v>
      </c>
      <c r="C380" t="s">
        <v>777</v>
      </c>
      <c r="D380" t="s">
        <v>20</v>
      </c>
      <c r="E380" t="s">
        <v>3988</v>
      </c>
      <c r="F380" t="s">
        <v>4288</v>
      </c>
      <c r="G380">
        <v>4</v>
      </c>
      <c r="H380">
        <v>789.1</v>
      </c>
      <c r="I380">
        <v>10</v>
      </c>
      <c r="J380" t="s">
        <v>14</v>
      </c>
      <c r="K380">
        <v>2840.76</v>
      </c>
    </row>
    <row r="381" spans="1:11" x14ac:dyDescent="0.25">
      <c r="A381" t="s">
        <v>778</v>
      </c>
      <c r="B381" s="1">
        <v>45222</v>
      </c>
      <c r="C381" t="s">
        <v>779</v>
      </c>
      <c r="D381" t="s">
        <v>36</v>
      </c>
      <c r="E381" t="s">
        <v>3272</v>
      </c>
      <c r="F381" t="s">
        <v>4289</v>
      </c>
      <c r="G381">
        <v>1</v>
      </c>
      <c r="H381">
        <v>1948.24</v>
      </c>
      <c r="I381">
        <v>15</v>
      </c>
      <c r="J381" t="s">
        <v>14</v>
      </c>
      <c r="K381">
        <v>1656</v>
      </c>
    </row>
    <row r="382" spans="1:11" x14ac:dyDescent="0.25">
      <c r="A382" t="s">
        <v>780</v>
      </c>
      <c r="B382" s="1">
        <v>45869</v>
      </c>
      <c r="C382" t="s">
        <v>781</v>
      </c>
      <c r="D382" t="s">
        <v>20</v>
      </c>
      <c r="E382" t="s">
        <v>3988</v>
      </c>
      <c r="F382" t="s">
        <v>4290</v>
      </c>
      <c r="G382">
        <v>5</v>
      </c>
      <c r="H382">
        <v>706.84</v>
      </c>
      <c r="I382">
        <v>10</v>
      </c>
      <c r="J382" t="s">
        <v>39</v>
      </c>
      <c r="K382">
        <v>3180.78</v>
      </c>
    </row>
    <row r="383" spans="1:11" x14ac:dyDescent="0.25">
      <c r="A383" t="s">
        <v>782</v>
      </c>
      <c r="B383" s="1">
        <v>45735</v>
      </c>
      <c r="C383" t="s">
        <v>783</v>
      </c>
      <c r="D383" t="s">
        <v>24</v>
      </c>
      <c r="E383" t="s">
        <v>29</v>
      </c>
      <c r="F383" t="s">
        <v>4291</v>
      </c>
      <c r="G383">
        <v>7</v>
      </c>
      <c r="H383">
        <v>628.16</v>
      </c>
      <c r="I383">
        <v>5</v>
      </c>
      <c r="J383" t="s">
        <v>17</v>
      </c>
      <c r="K383">
        <v>4177.26</v>
      </c>
    </row>
    <row r="384" spans="1:11" x14ac:dyDescent="0.25">
      <c r="A384" t="s">
        <v>784</v>
      </c>
      <c r="B384" s="1">
        <v>45809</v>
      </c>
      <c r="C384" t="s">
        <v>785</v>
      </c>
      <c r="D384" t="s">
        <v>24</v>
      </c>
      <c r="E384" t="s">
        <v>3988</v>
      </c>
      <c r="F384" t="s">
        <v>4292</v>
      </c>
      <c r="G384">
        <v>6</v>
      </c>
      <c r="H384">
        <v>1840.51</v>
      </c>
      <c r="I384">
        <v>10</v>
      </c>
      <c r="J384" t="s">
        <v>14</v>
      </c>
      <c r="K384">
        <v>9938.75</v>
      </c>
    </row>
    <row r="385" spans="1:11" x14ac:dyDescent="0.25">
      <c r="A385" t="s">
        <v>786</v>
      </c>
      <c r="B385" s="1">
        <v>45333</v>
      </c>
      <c r="C385" t="s">
        <v>787</v>
      </c>
      <c r="D385" t="s">
        <v>36</v>
      </c>
      <c r="E385" t="s">
        <v>29</v>
      </c>
      <c r="F385" t="s">
        <v>4293</v>
      </c>
      <c r="G385">
        <v>5</v>
      </c>
      <c r="H385">
        <v>265.95999999999998</v>
      </c>
      <c r="I385">
        <v>0</v>
      </c>
      <c r="J385" t="s">
        <v>17</v>
      </c>
      <c r="K385">
        <v>1329.8</v>
      </c>
    </row>
    <row r="386" spans="1:11" x14ac:dyDescent="0.25">
      <c r="A386" t="s">
        <v>788</v>
      </c>
      <c r="B386" s="1">
        <v>45279</v>
      </c>
      <c r="C386" t="s">
        <v>789</v>
      </c>
      <c r="D386" t="s">
        <v>36</v>
      </c>
      <c r="E386" t="s">
        <v>3272</v>
      </c>
      <c r="F386" t="s">
        <v>4294</v>
      </c>
      <c r="G386">
        <v>4</v>
      </c>
      <c r="H386">
        <v>1531.19</v>
      </c>
      <c r="I386">
        <v>5</v>
      </c>
      <c r="J386" t="s">
        <v>17</v>
      </c>
      <c r="K386">
        <v>5818.52</v>
      </c>
    </row>
    <row r="387" spans="1:11" x14ac:dyDescent="0.25">
      <c r="A387" t="s">
        <v>790</v>
      </c>
      <c r="B387" s="1">
        <v>45465</v>
      </c>
      <c r="C387" t="s">
        <v>791</v>
      </c>
      <c r="D387" t="s">
        <v>24</v>
      </c>
      <c r="E387" t="s">
        <v>29</v>
      </c>
      <c r="F387" t="s">
        <v>4295</v>
      </c>
      <c r="G387">
        <v>2</v>
      </c>
      <c r="H387">
        <v>1976.73</v>
      </c>
      <c r="I387">
        <v>0</v>
      </c>
      <c r="J387" t="s">
        <v>17</v>
      </c>
      <c r="K387">
        <v>3953.46</v>
      </c>
    </row>
    <row r="388" spans="1:11" x14ac:dyDescent="0.25">
      <c r="A388" t="s">
        <v>792</v>
      </c>
      <c r="B388" s="1">
        <v>45527</v>
      </c>
      <c r="C388" t="s">
        <v>793</v>
      </c>
      <c r="D388" t="s">
        <v>20</v>
      </c>
      <c r="E388" t="s">
        <v>3272</v>
      </c>
      <c r="F388" t="s">
        <v>4296</v>
      </c>
      <c r="G388">
        <v>4</v>
      </c>
      <c r="H388">
        <v>1807.53</v>
      </c>
      <c r="I388">
        <v>5</v>
      </c>
      <c r="J388" t="s">
        <v>17</v>
      </c>
      <c r="K388">
        <v>6868.61</v>
      </c>
    </row>
    <row r="389" spans="1:11" x14ac:dyDescent="0.25">
      <c r="A389" t="s">
        <v>794</v>
      </c>
      <c r="B389" s="1">
        <v>45523</v>
      </c>
      <c r="C389" t="s">
        <v>795</v>
      </c>
      <c r="D389" t="s">
        <v>36</v>
      </c>
      <c r="E389" t="s">
        <v>29</v>
      </c>
      <c r="F389" t="s">
        <v>4297</v>
      </c>
      <c r="G389">
        <v>3</v>
      </c>
      <c r="H389">
        <v>1320.75</v>
      </c>
      <c r="I389">
        <v>15</v>
      </c>
      <c r="J389" t="s">
        <v>17</v>
      </c>
      <c r="K389">
        <v>3367.91</v>
      </c>
    </row>
    <row r="390" spans="1:11" x14ac:dyDescent="0.25">
      <c r="A390" t="s">
        <v>796</v>
      </c>
      <c r="B390" s="1">
        <v>45316</v>
      </c>
      <c r="C390" t="s">
        <v>797</v>
      </c>
      <c r="D390" t="s">
        <v>13</v>
      </c>
      <c r="E390" t="s">
        <v>3272</v>
      </c>
      <c r="F390" t="s">
        <v>4298</v>
      </c>
      <c r="G390">
        <v>1</v>
      </c>
      <c r="H390">
        <v>662.42</v>
      </c>
      <c r="I390">
        <v>15</v>
      </c>
      <c r="J390" t="s">
        <v>39</v>
      </c>
      <c r="K390">
        <v>563.05999999999995</v>
      </c>
    </row>
    <row r="391" spans="1:11" x14ac:dyDescent="0.25">
      <c r="A391" t="s">
        <v>798</v>
      </c>
      <c r="B391" s="1">
        <v>45821</v>
      </c>
      <c r="C391" t="s">
        <v>799</v>
      </c>
      <c r="D391" t="s">
        <v>20</v>
      </c>
      <c r="E391" t="s">
        <v>3272</v>
      </c>
      <c r="F391" t="s">
        <v>4057</v>
      </c>
      <c r="G391">
        <v>8</v>
      </c>
      <c r="H391">
        <v>545.92999999999995</v>
      </c>
      <c r="I391">
        <v>15</v>
      </c>
      <c r="J391" t="s">
        <v>17</v>
      </c>
      <c r="K391">
        <v>3712.32</v>
      </c>
    </row>
    <row r="392" spans="1:11" x14ac:dyDescent="0.25">
      <c r="A392" t="s">
        <v>800</v>
      </c>
      <c r="B392" s="1">
        <v>45461</v>
      </c>
      <c r="C392" t="s">
        <v>801</v>
      </c>
      <c r="D392" t="s">
        <v>20</v>
      </c>
      <c r="E392" t="s">
        <v>3988</v>
      </c>
      <c r="F392" t="s">
        <v>4299</v>
      </c>
      <c r="G392">
        <v>5</v>
      </c>
      <c r="H392">
        <v>1647.55</v>
      </c>
      <c r="I392">
        <v>0</v>
      </c>
      <c r="J392" t="s">
        <v>39</v>
      </c>
      <c r="K392">
        <v>8237.75</v>
      </c>
    </row>
    <row r="393" spans="1:11" x14ac:dyDescent="0.25">
      <c r="A393" t="s">
        <v>802</v>
      </c>
      <c r="B393" s="1">
        <v>45850</v>
      </c>
      <c r="C393" t="s">
        <v>803</v>
      </c>
      <c r="D393" t="s">
        <v>24</v>
      </c>
      <c r="E393" t="s">
        <v>3272</v>
      </c>
      <c r="F393" t="s">
        <v>4296</v>
      </c>
      <c r="G393">
        <v>4</v>
      </c>
      <c r="H393">
        <v>1765.65</v>
      </c>
      <c r="I393">
        <v>20</v>
      </c>
      <c r="J393" t="s">
        <v>39</v>
      </c>
      <c r="K393">
        <v>5650.08</v>
      </c>
    </row>
    <row r="394" spans="1:11" x14ac:dyDescent="0.25">
      <c r="A394" t="s">
        <v>804</v>
      </c>
      <c r="B394" s="1">
        <v>45195</v>
      </c>
      <c r="C394" t="s">
        <v>805</v>
      </c>
      <c r="D394" t="s">
        <v>36</v>
      </c>
      <c r="E394" t="s">
        <v>29</v>
      </c>
      <c r="F394" t="s">
        <v>4297</v>
      </c>
      <c r="G394">
        <v>8</v>
      </c>
      <c r="H394">
        <v>1074.5999999999999</v>
      </c>
      <c r="I394">
        <v>5</v>
      </c>
      <c r="J394" t="s">
        <v>17</v>
      </c>
      <c r="K394">
        <v>8166.96</v>
      </c>
    </row>
    <row r="395" spans="1:11" x14ac:dyDescent="0.25">
      <c r="A395" t="s">
        <v>806</v>
      </c>
      <c r="B395" s="1">
        <v>45277</v>
      </c>
      <c r="C395" t="s">
        <v>807</v>
      </c>
      <c r="D395" t="s">
        <v>20</v>
      </c>
      <c r="E395" t="s">
        <v>3272</v>
      </c>
      <c r="F395" t="s">
        <v>4057</v>
      </c>
      <c r="G395">
        <v>7</v>
      </c>
      <c r="H395">
        <v>526.46</v>
      </c>
      <c r="I395">
        <v>15</v>
      </c>
      <c r="J395" t="s">
        <v>39</v>
      </c>
      <c r="K395">
        <v>3132.44</v>
      </c>
    </row>
    <row r="396" spans="1:11" x14ac:dyDescent="0.25">
      <c r="A396" t="s">
        <v>808</v>
      </c>
      <c r="B396" s="1">
        <v>45444</v>
      </c>
      <c r="C396" t="s">
        <v>809</v>
      </c>
      <c r="D396" t="s">
        <v>36</v>
      </c>
      <c r="E396" t="s">
        <v>3272</v>
      </c>
      <c r="F396" t="s">
        <v>4298</v>
      </c>
      <c r="G396">
        <v>2</v>
      </c>
      <c r="H396">
        <v>270.24</v>
      </c>
      <c r="I396">
        <v>5</v>
      </c>
      <c r="J396" t="s">
        <v>14</v>
      </c>
      <c r="K396">
        <v>513.46</v>
      </c>
    </row>
    <row r="397" spans="1:11" x14ac:dyDescent="0.25">
      <c r="A397" t="s">
        <v>810</v>
      </c>
      <c r="B397" s="1">
        <v>45151</v>
      </c>
      <c r="C397" t="s">
        <v>811</v>
      </c>
      <c r="D397" t="s">
        <v>36</v>
      </c>
      <c r="E397" t="s">
        <v>3988</v>
      </c>
      <c r="F397" t="s">
        <v>4299</v>
      </c>
      <c r="G397">
        <v>1</v>
      </c>
      <c r="H397">
        <v>220</v>
      </c>
      <c r="I397">
        <v>0</v>
      </c>
      <c r="J397" t="s">
        <v>14</v>
      </c>
      <c r="K397">
        <v>220</v>
      </c>
    </row>
    <row r="398" spans="1:11" x14ac:dyDescent="0.25">
      <c r="A398" t="s">
        <v>812</v>
      </c>
      <c r="B398" s="1">
        <v>45453</v>
      </c>
      <c r="C398" t="s">
        <v>813</v>
      </c>
      <c r="D398" t="s">
        <v>36</v>
      </c>
      <c r="E398" t="s">
        <v>3988</v>
      </c>
      <c r="F398" t="s">
        <v>4300</v>
      </c>
      <c r="G398">
        <v>4</v>
      </c>
      <c r="H398">
        <v>1452.2</v>
      </c>
      <c r="I398">
        <v>20</v>
      </c>
      <c r="J398" t="s">
        <v>14</v>
      </c>
      <c r="K398">
        <v>4647.04</v>
      </c>
    </row>
    <row r="399" spans="1:11" x14ac:dyDescent="0.25">
      <c r="A399" t="s">
        <v>814</v>
      </c>
      <c r="B399" s="1">
        <v>45355</v>
      </c>
      <c r="C399" t="s">
        <v>815</v>
      </c>
      <c r="D399" t="s">
        <v>24</v>
      </c>
      <c r="E399" t="s">
        <v>3988</v>
      </c>
      <c r="F399" t="s">
        <v>4301</v>
      </c>
      <c r="G399">
        <v>8</v>
      </c>
      <c r="H399">
        <v>869.23</v>
      </c>
      <c r="I399">
        <v>0</v>
      </c>
      <c r="J399" t="s">
        <v>17</v>
      </c>
      <c r="K399">
        <v>6953.84</v>
      </c>
    </row>
    <row r="400" spans="1:11" x14ac:dyDescent="0.25">
      <c r="A400" t="s">
        <v>816</v>
      </c>
      <c r="B400" s="1">
        <v>45869</v>
      </c>
      <c r="C400" t="s">
        <v>817</v>
      </c>
      <c r="D400" t="s">
        <v>36</v>
      </c>
      <c r="E400" t="s">
        <v>3988</v>
      </c>
      <c r="F400" t="s">
        <v>4014</v>
      </c>
      <c r="G400">
        <v>2</v>
      </c>
      <c r="H400">
        <v>1815.45</v>
      </c>
      <c r="I400">
        <v>5</v>
      </c>
      <c r="J400" t="s">
        <v>14</v>
      </c>
      <c r="K400">
        <v>3449.36</v>
      </c>
    </row>
    <row r="401" spans="1:11" x14ac:dyDescent="0.25">
      <c r="A401" t="s">
        <v>818</v>
      </c>
      <c r="B401" s="1">
        <v>45759</v>
      </c>
      <c r="C401" t="s">
        <v>819</v>
      </c>
      <c r="D401" t="s">
        <v>24</v>
      </c>
      <c r="E401" t="s">
        <v>3988</v>
      </c>
      <c r="F401" t="s">
        <v>4302</v>
      </c>
      <c r="G401">
        <v>3</v>
      </c>
      <c r="H401">
        <v>1492.36</v>
      </c>
      <c r="I401">
        <v>20</v>
      </c>
      <c r="J401" t="s">
        <v>21</v>
      </c>
      <c r="K401">
        <v>3581.66</v>
      </c>
    </row>
    <row r="402" spans="1:11" x14ac:dyDescent="0.25">
      <c r="A402" t="s">
        <v>820</v>
      </c>
      <c r="B402" s="1">
        <v>45759</v>
      </c>
      <c r="C402" t="s">
        <v>821</v>
      </c>
      <c r="D402" t="s">
        <v>13</v>
      </c>
      <c r="E402" t="s">
        <v>3988</v>
      </c>
      <c r="F402" t="s">
        <v>4303</v>
      </c>
      <c r="G402">
        <v>1</v>
      </c>
      <c r="H402">
        <v>422.96</v>
      </c>
      <c r="I402">
        <v>20</v>
      </c>
      <c r="J402" t="s">
        <v>21</v>
      </c>
      <c r="K402">
        <v>338.37</v>
      </c>
    </row>
    <row r="403" spans="1:11" x14ac:dyDescent="0.25">
      <c r="A403" t="s">
        <v>822</v>
      </c>
      <c r="B403" s="1">
        <v>45503</v>
      </c>
      <c r="C403" t="s">
        <v>823</v>
      </c>
      <c r="D403" t="s">
        <v>20</v>
      </c>
      <c r="E403" t="s">
        <v>3988</v>
      </c>
      <c r="F403" t="s">
        <v>4181</v>
      </c>
      <c r="G403">
        <v>1</v>
      </c>
      <c r="H403">
        <v>1246.8699999999999</v>
      </c>
      <c r="I403">
        <v>0</v>
      </c>
      <c r="J403" t="s">
        <v>21</v>
      </c>
      <c r="K403">
        <v>1246.8699999999999</v>
      </c>
    </row>
    <row r="404" spans="1:11" x14ac:dyDescent="0.25">
      <c r="A404" t="s">
        <v>824</v>
      </c>
      <c r="B404" s="1">
        <v>45371</v>
      </c>
      <c r="C404" t="s">
        <v>825</v>
      </c>
      <c r="D404" t="s">
        <v>20</v>
      </c>
      <c r="E404" t="s">
        <v>3272</v>
      </c>
      <c r="F404" t="s">
        <v>4304</v>
      </c>
      <c r="G404">
        <v>3</v>
      </c>
      <c r="H404">
        <v>899.24</v>
      </c>
      <c r="I404">
        <v>15</v>
      </c>
      <c r="J404" t="s">
        <v>14</v>
      </c>
      <c r="K404">
        <v>2293.06</v>
      </c>
    </row>
    <row r="405" spans="1:11" x14ac:dyDescent="0.25">
      <c r="A405" t="s">
        <v>826</v>
      </c>
      <c r="B405" s="1">
        <v>45478</v>
      </c>
      <c r="C405" t="s">
        <v>827</v>
      </c>
      <c r="D405" t="s">
        <v>13</v>
      </c>
      <c r="E405" t="s">
        <v>29</v>
      </c>
      <c r="F405" t="s">
        <v>4238</v>
      </c>
      <c r="G405">
        <v>5</v>
      </c>
      <c r="H405">
        <v>1175.6400000000001</v>
      </c>
      <c r="I405">
        <v>5</v>
      </c>
      <c r="J405" t="s">
        <v>39</v>
      </c>
      <c r="K405">
        <v>5584.29</v>
      </c>
    </row>
    <row r="406" spans="1:11" x14ac:dyDescent="0.25">
      <c r="A406" t="s">
        <v>828</v>
      </c>
      <c r="B406" s="1">
        <v>45691</v>
      </c>
      <c r="C406" t="s">
        <v>829</v>
      </c>
      <c r="D406" t="s">
        <v>24</v>
      </c>
      <c r="E406" t="s">
        <v>3988</v>
      </c>
      <c r="F406" t="s">
        <v>4067</v>
      </c>
      <c r="G406">
        <v>3</v>
      </c>
      <c r="H406">
        <v>1489.23</v>
      </c>
      <c r="I406">
        <v>10</v>
      </c>
      <c r="J406" t="s">
        <v>21</v>
      </c>
      <c r="K406">
        <v>4020.92</v>
      </c>
    </row>
    <row r="407" spans="1:11" x14ac:dyDescent="0.25">
      <c r="A407" t="s">
        <v>830</v>
      </c>
      <c r="B407" s="1">
        <v>45717</v>
      </c>
      <c r="C407" t="s">
        <v>831</v>
      </c>
      <c r="D407" t="s">
        <v>20</v>
      </c>
      <c r="E407" t="s">
        <v>3988</v>
      </c>
      <c r="F407" t="s">
        <v>4067</v>
      </c>
      <c r="G407">
        <v>1</v>
      </c>
      <c r="H407">
        <v>1622.08</v>
      </c>
      <c r="I407">
        <v>10</v>
      </c>
      <c r="J407" t="s">
        <v>39</v>
      </c>
      <c r="K407">
        <v>1459.87</v>
      </c>
    </row>
    <row r="408" spans="1:11" x14ac:dyDescent="0.25">
      <c r="A408" t="s">
        <v>832</v>
      </c>
      <c r="B408" s="1">
        <v>45758</v>
      </c>
      <c r="C408" t="s">
        <v>833</v>
      </c>
      <c r="D408" t="s">
        <v>24</v>
      </c>
      <c r="E408" t="s">
        <v>3988</v>
      </c>
      <c r="F408" t="s">
        <v>4300</v>
      </c>
      <c r="G408">
        <v>1</v>
      </c>
      <c r="H408">
        <v>1695.29</v>
      </c>
      <c r="I408">
        <v>0</v>
      </c>
      <c r="J408" t="s">
        <v>39</v>
      </c>
      <c r="K408">
        <v>1695.29</v>
      </c>
    </row>
    <row r="409" spans="1:11" x14ac:dyDescent="0.25">
      <c r="A409" t="s">
        <v>834</v>
      </c>
      <c r="B409" s="1">
        <v>45581</v>
      </c>
      <c r="C409" t="s">
        <v>835</v>
      </c>
      <c r="D409" t="s">
        <v>24</v>
      </c>
      <c r="E409" t="s">
        <v>3988</v>
      </c>
      <c r="F409" t="s">
        <v>4302</v>
      </c>
      <c r="G409">
        <v>8</v>
      </c>
      <c r="H409">
        <v>545.25</v>
      </c>
      <c r="I409">
        <v>5</v>
      </c>
      <c r="J409" t="s">
        <v>17</v>
      </c>
      <c r="K409">
        <v>4143.8999999999996</v>
      </c>
    </row>
    <row r="410" spans="1:11" x14ac:dyDescent="0.25">
      <c r="A410" t="s">
        <v>836</v>
      </c>
      <c r="B410" s="1">
        <v>45664</v>
      </c>
      <c r="C410" t="s">
        <v>837</v>
      </c>
      <c r="D410" t="s">
        <v>24</v>
      </c>
      <c r="E410" t="s">
        <v>3988</v>
      </c>
      <c r="F410" t="s">
        <v>4303</v>
      </c>
      <c r="G410">
        <v>2</v>
      </c>
      <c r="H410">
        <v>110.68</v>
      </c>
      <c r="I410">
        <v>5</v>
      </c>
      <c r="J410" t="s">
        <v>21</v>
      </c>
      <c r="K410">
        <v>210.29</v>
      </c>
    </row>
    <row r="411" spans="1:11" x14ac:dyDescent="0.25">
      <c r="A411" t="s">
        <v>838</v>
      </c>
      <c r="B411" s="1">
        <v>45708</v>
      </c>
      <c r="C411" t="s">
        <v>839</v>
      </c>
      <c r="D411" t="s">
        <v>13</v>
      </c>
      <c r="E411" t="s">
        <v>3988</v>
      </c>
      <c r="F411" t="s">
        <v>4181</v>
      </c>
      <c r="G411">
        <v>3</v>
      </c>
      <c r="H411">
        <v>1491.62</v>
      </c>
      <c r="I411">
        <v>0</v>
      </c>
      <c r="J411" t="s">
        <v>17</v>
      </c>
      <c r="K411">
        <v>4474.8599999999997</v>
      </c>
    </row>
    <row r="412" spans="1:11" x14ac:dyDescent="0.25">
      <c r="A412" t="s">
        <v>840</v>
      </c>
      <c r="B412" s="1">
        <v>45528</v>
      </c>
      <c r="C412" t="s">
        <v>841</v>
      </c>
      <c r="D412" t="s">
        <v>13</v>
      </c>
      <c r="E412" t="s">
        <v>3988</v>
      </c>
      <c r="F412" t="s">
        <v>4014</v>
      </c>
      <c r="G412">
        <v>2</v>
      </c>
      <c r="H412">
        <v>257.37</v>
      </c>
      <c r="I412">
        <v>5</v>
      </c>
      <c r="J412" t="s">
        <v>17</v>
      </c>
      <c r="K412">
        <v>489</v>
      </c>
    </row>
    <row r="413" spans="1:11" x14ac:dyDescent="0.25">
      <c r="A413" t="s">
        <v>842</v>
      </c>
      <c r="B413" s="1">
        <v>45270</v>
      </c>
      <c r="C413" t="s">
        <v>843</v>
      </c>
      <c r="D413" t="s">
        <v>24</v>
      </c>
      <c r="E413" t="s">
        <v>3272</v>
      </c>
      <c r="F413" t="s">
        <v>4305</v>
      </c>
      <c r="G413">
        <v>3</v>
      </c>
      <c r="H413">
        <v>664.09</v>
      </c>
      <c r="I413">
        <v>15</v>
      </c>
      <c r="J413" t="s">
        <v>17</v>
      </c>
      <c r="K413">
        <v>1693.43</v>
      </c>
    </row>
    <row r="414" spans="1:11" x14ac:dyDescent="0.25">
      <c r="A414" t="s">
        <v>844</v>
      </c>
      <c r="B414" s="1">
        <v>45297</v>
      </c>
      <c r="C414" t="s">
        <v>845</v>
      </c>
      <c r="D414" t="s">
        <v>36</v>
      </c>
      <c r="E414" t="s">
        <v>3988</v>
      </c>
      <c r="F414" t="s">
        <v>4306</v>
      </c>
      <c r="G414">
        <v>7</v>
      </c>
      <c r="H414">
        <v>57.44</v>
      </c>
      <c r="I414">
        <v>0</v>
      </c>
      <c r="J414" t="s">
        <v>14</v>
      </c>
      <c r="K414">
        <v>402.08</v>
      </c>
    </row>
    <row r="415" spans="1:11" x14ac:dyDescent="0.25">
      <c r="A415" t="s">
        <v>846</v>
      </c>
      <c r="B415" s="1">
        <v>45380</v>
      </c>
      <c r="C415" t="s">
        <v>847</v>
      </c>
      <c r="D415" t="s">
        <v>13</v>
      </c>
      <c r="E415" t="s">
        <v>29</v>
      </c>
      <c r="F415" t="s">
        <v>4307</v>
      </c>
      <c r="G415">
        <v>1</v>
      </c>
      <c r="H415">
        <v>1379.26</v>
      </c>
      <c r="I415">
        <v>15</v>
      </c>
      <c r="J415" t="s">
        <v>17</v>
      </c>
      <c r="K415">
        <v>1172.3699999999999</v>
      </c>
    </row>
    <row r="416" spans="1:11" x14ac:dyDescent="0.25">
      <c r="A416" t="s">
        <v>848</v>
      </c>
      <c r="B416" s="1">
        <v>45319</v>
      </c>
      <c r="C416" t="s">
        <v>849</v>
      </c>
      <c r="D416" t="s">
        <v>36</v>
      </c>
      <c r="E416" t="s">
        <v>3988</v>
      </c>
      <c r="F416" t="s">
        <v>4308</v>
      </c>
      <c r="G416">
        <v>8</v>
      </c>
      <c r="H416">
        <v>375.91</v>
      </c>
      <c r="I416">
        <v>5</v>
      </c>
      <c r="J416" t="s">
        <v>39</v>
      </c>
      <c r="K416">
        <v>2856.92</v>
      </c>
    </row>
    <row r="417" spans="1:11" x14ac:dyDescent="0.25">
      <c r="A417" t="s">
        <v>850</v>
      </c>
      <c r="B417" s="1">
        <v>45195</v>
      </c>
      <c r="C417" t="s">
        <v>851</v>
      </c>
      <c r="D417" t="s">
        <v>36</v>
      </c>
      <c r="E417" t="s">
        <v>3988</v>
      </c>
      <c r="F417" t="s">
        <v>4309</v>
      </c>
      <c r="G417">
        <v>2</v>
      </c>
      <c r="H417">
        <v>1327.8</v>
      </c>
      <c r="I417">
        <v>0</v>
      </c>
      <c r="J417" t="s">
        <v>21</v>
      </c>
      <c r="K417">
        <v>2655.6</v>
      </c>
    </row>
    <row r="418" spans="1:11" x14ac:dyDescent="0.25">
      <c r="A418" t="s">
        <v>852</v>
      </c>
      <c r="B418" s="1">
        <v>45599</v>
      </c>
      <c r="C418" t="s">
        <v>853</v>
      </c>
      <c r="D418" t="s">
        <v>24</v>
      </c>
      <c r="E418" t="s">
        <v>3272</v>
      </c>
      <c r="F418" t="s">
        <v>4310</v>
      </c>
      <c r="G418">
        <v>3</v>
      </c>
      <c r="H418">
        <v>1983.9</v>
      </c>
      <c r="I418">
        <v>5</v>
      </c>
      <c r="J418" t="s">
        <v>39</v>
      </c>
      <c r="K418">
        <v>5654.12</v>
      </c>
    </row>
    <row r="419" spans="1:11" x14ac:dyDescent="0.25">
      <c r="A419" t="s">
        <v>854</v>
      </c>
      <c r="B419" s="1">
        <v>45721</v>
      </c>
      <c r="C419" t="s">
        <v>855</v>
      </c>
      <c r="D419" t="s">
        <v>36</v>
      </c>
      <c r="E419" t="s">
        <v>3272</v>
      </c>
      <c r="F419" t="s">
        <v>4062</v>
      </c>
      <c r="G419">
        <v>9</v>
      </c>
      <c r="H419">
        <v>191.71</v>
      </c>
      <c r="I419">
        <v>0</v>
      </c>
      <c r="J419" t="s">
        <v>21</v>
      </c>
      <c r="K419">
        <v>1725.39</v>
      </c>
    </row>
    <row r="420" spans="1:11" x14ac:dyDescent="0.25">
      <c r="A420" t="s">
        <v>856</v>
      </c>
      <c r="B420" s="1">
        <v>45571</v>
      </c>
      <c r="C420" t="s">
        <v>857</v>
      </c>
      <c r="D420" t="s">
        <v>36</v>
      </c>
      <c r="E420" t="s">
        <v>3988</v>
      </c>
      <c r="F420" t="s">
        <v>4311</v>
      </c>
      <c r="G420">
        <v>7</v>
      </c>
      <c r="H420">
        <v>200.3</v>
      </c>
      <c r="I420">
        <v>5</v>
      </c>
      <c r="J420" t="s">
        <v>14</v>
      </c>
      <c r="K420">
        <v>1332</v>
      </c>
    </row>
    <row r="421" spans="1:11" x14ac:dyDescent="0.25">
      <c r="A421" t="s">
        <v>858</v>
      </c>
      <c r="B421" s="1">
        <v>45197</v>
      </c>
      <c r="C421" t="s">
        <v>859</v>
      </c>
      <c r="D421" t="s">
        <v>36</v>
      </c>
      <c r="E421" t="s">
        <v>29</v>
      </c>
      <c r="F421" t="s">
        <v>4312</v>
      </c>
      <c r="G421">
        <v>4</v>
      </c>
      <c r="H421">
        <v>713.74</v>
      </c>
      <c r="I421">
        <v>15</v>
      </c>
      <c r="J421" t="s">
        <v>21</v>
      </c>
      <c r="K421">
        <v>2426.7199999999998</v>
      </c>
    </row>
    <row r="422" spans="1:11" x14ac:dyDescent="0.25">
      <c r="A422" t="s">
        <v>860</v>
      </c>
      <c r="B422" s="1">
        <v>45730</v>
      </c>
      <c r="C422" t="s">
        <v>861</v>
      </c>
      <c r="D422" t="s">
        <v>24</v>
      </c>
      <c r="E422" t="s">
        <v>3988</v>
      </c>
      <c r="F422" t="s">
        <v>4313</v>
      </c>
      <c r="G422">
        <v>5</v>
      </c>
      <c r="H422">
        <v>1739.45</v>
      </c>
      <c r="I422">
        <v>15</v>
      </c>
      <c r="J422" t="s">
        <v>21</v>
      </c>
      <c r="K422">
        <v>7392.66</v>
      </c>
    </row>
    <row r="423" spans="1:11" x14ac:dyDescent="0.25">
      <c r="A423" t="s">
        <v>862</v>
      </c>
      <c r="B423" s="1">
        <v>45393</v>
      </c>
      <c r="C423" t="s">
        <v>863</v>
      </c>
      <c r="D423" t="s">
        <v>24</v>
      </c>
      <c r="E423" t="s">
        <v>29</v>
      </c>
      <c r="F423" t="s">
        <v>4314</v>
      </c>
      <c r="G423">
        <v>2</v>
      </c>
      <c r="H423">
        <v>470.28</v>
      </c>
      <c r="I423">
        <v>5</v>
      </c>
      <c r="J423" t="s">
        <v>21</v>
      </c>
      <c r="K423">
        <v>893.53</v>
      </c>
    </row>
    <row r="424" spans="1:11" x14ac:dyDescent="0.25">
      <c r="A424" t="s">
        <v>864</v>
      </c>
      <c r="B424" s="1">
        <v>45194</v>
      </c>
      <c r="C424" t="s">
        <v>865</v>
      </c>
      <c r="D424" t="s">
        <v>13</v>
      </c>
      <c r="E424" t="s">
        <v>3272</v>
      </c>
      <c r="F424" t="s">
        <v>4315</v>
      </c>
      <c r="G424">
        <v>8</v>
      </c>
      <c r="H424">
        <v>752.74</v>
      </c>
      <c r="I424">
        <v>0</v>
      </c>
      <c r="J424" t="s">
        <v>21</v>
      </c>
      <c r="K424">
        <v>6021.92</v>
      </c>
    </row>
    <row r="425" spans="1:11" x14ac:dyDescent="0.25">
      <c r="A425" t="s">
        <v>866</v>
      </c>
      <c r="B425" s="1">
        <v>45188</v>
      </c>
      <c r="C425" t="s">
        <v>867</v>
      </c>
      <c r="D425" t="s">
        <v>13</v>
      </c>
      <c r="E425" t="s">
        <v>3988</v>
      </c>
      <c r="F425" t="s">
        <v>4316</v>
      </c>
      <c r="G425">
        <v>4</v>
      </c>
      <c r="H425">
        <v>183.59</v>
      </c>
      <c r="I425">
        <v>10</v>
      </c>
      <c r="J425" t="s">
        <v>39</v>
      </c>
      <c r="K425">
        <v>660.92</v>
      </c>
    </row>
    <row r="426" spans="1:11" x14ac:dyDescent="0.25">
      <c r="A426" t="s">
        <v>868</v>
      </c>
      <c r="B426" s="1">
        <v>45603</v>
      </c>
      <c r="C426" t="s">
        <v>869</v>
      </c>
      <c r="D426" t="s">
        <v>36</v>
      </c>
      <c r="E426" t="s">
        <v>3988</v>
      </c>
      <c r="F426" t="s">
        <v>4317</v>
      </c>
      <c r="G426">
        <v>9</v>
      </c>
      <c r="H426">
        <v>1538.15</v>
      </c>
      <c r="I426">
        <v>15</v>
      </c>
      <c r="J426" t="s">
        <v>21</v>
      </c>
      <c r="K426">
        <v>11766.85</v>
      </c>
    </row>
    <row r="427" spans="1:11" x14ac:dyDescent="0.25">
      <c r="A427" t="s">
        <v>870</v>
      </c>
      <c r="B427" s="1">
        <v>45520</v>
      </c>
      <c r="C427" t="s">
        <v>871</v>
      </c>
      <c r="D427" t="s">
        <v>24</v>
      </c>
      <c r="E427" t="s">
        <v>3272</v>
      </c>
      <c r="F427" t="s">
        <v>4115</v>
      </c>
      <c r="G427">
        <v>5</v>
      </c>
      <c r="H427">
        <v>846.2</v>
      </c>
      <c r="I427">
        <v>15</v>
      </c>
      <c r="J427" t="s">
        <v>17</v>
      </c>
      <c r="K427">
        <v>3596.35</v>
      </c>
    </row>
    <row r="428" spans="1:11" x14ac:dyDescent="0.25">
      <c r="A428" t="s">
        <v>872</v>
      </c>
      <c r="B428" s="1">
        <v>45540</v>
      </c>
      <c r="C428" t="s">
        <v>873</v>
      </c>
      <c r="D428" t="s">
        <v>24</v>
      </c>
      <c r="E428" t="s">
        <v>3272</v>
      </c>
      <c r="F428" t="s">
        <v>4310</v>
      </c>
      <c r="G428">
        <v>9</v>
      </c>
      <c r="H428">
        <v>1530.54</v>
      </c>
      <c r="I428">
        <v>10</v>
      </c>
      <c r="J428" t="s">
        <v>21</v>
      </c>
      <c r="K428">
        <v>12397.37</v>
      </c>
    </row>
    <row r="429" spans="1:11" x14ac:dyDescent="0.25">
      <c r="A429" t="s">
        <v>874</v>
      </c>
      <c r="B429" s="1">
        <v>45864</v>
      </c>
      <c r="C429" t="s">
        <v>875</v>
      </c>
      <c r="D429" t="s">
        <v>36</v>
      </c>
      <c r="E429" t="s">
        <v>3272</v>
      </c>
      <c r="F429" t="s">
        <v>4318</v>
      </c>
      <c r="G429">
        <v>4</v>
      </c>
      <c r="H429">
        <v>1812.04</v>
      </c>
      <c r="I429">
        <v>5</v>
      </c>
      <c r="J429" t="s">
        <v>17</v>
      </c>
      <c r="K429">
        <v>6885.75</v>
      </c>
    </row>
    <row r="430" spans="1:11" x14ac:dyDescent="0.25">
      <c r="A430" t="s">
        <v>876</v>
      </c>
      <c r="B430" s="1">
        <v>45812</v>
      </c>
      <c r="C430" t="s">
        <v>877</v>
      </c>
      <c r="D430" t="s">
        <v>13</v>
      </c>
      <c r="E430" t="s">
        <v>3988</v>
      </c>
      <c r="F430" t="s">
        <v>4319</v>
      </c>
      <c r="G430">
        <v>5</v>
      </c>
      <c r="H430">
        <v>503.89</v>
      </c>
      <c r="I430">
        <v>0</v>
      </c>
      <c r="J430" t="s">
        <v>14</v>
      </c>
      <c r="K430">
        <v>2519.4499999999998</v>
      </c>
    </row>
    <row r="431" spans="1:11" x14ac:dyDescent="0.25">
      <c r="A431" t="s">
        <v>878</v>
      </c>
      <c r="B431" s="1">
        <v>45562</v>
      </c>
      <c r="C431" t="s">
        <v>879</v>
      </c>
      <c r="D431" t="s">
        <v>24</v>
      </c>
      <c r="E431" t="s">
        <v>29</v>
      </c>
      <c r="F431" t="s">
        <v>4147</v>
      </c>
      <c r="G431">
        <v>9</v>
      </c>
      <c r="H431">
        <v>1624.42</v>
      </c>
      <c r="I431">
        <v>5</v>
      </c>
      <c r="J431" t="s">
        <v>17</v>
      </c>
      <c r="K431">
        <v>13888.79</v>
      </c>
    </row>
    <row r="432" spans="1:11" x14ac:dyDescent="0.25">
      <c r="A432" t="s">
        <v>880</v>
      </c>
      <c r="B432" s="1">
        <v>45272</v>
      </c>
      <c r="C432" t="s">
        <v>881</v>
      </c>
      <c r="D432" t="s">
        <v>13</v>
      </c>
      <c r="E432" t="s">
        <v>3988</v>
      </c>
      <c r="F432" t="s">
        <v>4320</v>
      </c>
      <c r="G432">
        <v>8</v>
      </c>
      <c r="H432">
        <v>165.23</v>
      </c>
      <c r="I432">
        <v>20</v>
      </c>
      <c r="J432" t="s">
        <v>39</v>
      </c>
      <c r="K432">
        <v>1057.47</v>
      </c>
    </row>
    <row r="433" spans="1:11" x14ac:dyDescent="0.25">
      <c r="A433" t="s">
        <v>882</v>
      </c>
      <c r="B433" s="1">
        <v>45194</v>
      </c>
      <c r="C433" t="s">
        <v>883</v>
      </c>
      <c r="D433" t="s">
        <v>36</v>
      </c>
      <c r="E433" t="s">
        <v>3988</v>
      </c>
      <c r="F433" t="s">
        <v>4321</v>
      </c>
      <c r="G433">
        <v>3</v>
      </c>
      <c r="H433">
        <v>1802.75</v>
      </c>
      <c r="I433">
        <v>15</v>
      </c>
      <c r="J433" t="s">
        <v>17</v>
      </c>
      <c r="K433">
        <v>4597.01</v>
      </c>
    </row>
    <row r="434" spans="1:11" x14ac:dyDescent="0.25">
      <c r="A434" t="s">
        <v>884</v>
      </c>
      <c r="B434" s="1">
        <v>45544</v>
      </c>
      <c r="C434" t="s">
        <v>885</v>
      </c>
      <c r="D434" t="s">
        <v>24</v>
      </c>
      <c r="E434" t="s">
        <v>29</v>
      </c>
      <c r="F434" t="s">
        <v>4232</v>
      </c>
      <c r="G434">
        <v>1</v>
      </c>
      <c r="H434">
        <v>1319</v>
      </c>
      <c r="I434">
        <v>20</v>
      </c>
      <c r="J434" t="s">
        <v>39</v>
      </c>
      <c r="K434">
        <v>1055.2</v>
      </c>
    </row>
    <row r="435" spans="1:11" x14ac:dyDescent="0.25">
      <c r="A435" t="s">
        <v>886</v>
      </c>
      <c r="B435" s="1">
        <v>45212</v>
      </c>
      <c r="C435" t="s">
        <v>887</v>
      </c>
      <c r="D435" t="s">
        <v>36</v>
      </c>
      <c r="E435" t="s">
        <v>3272</v>
      </c>
      <c r="F435" t="s">
        <v>4322</v>
      </c>
      <c r="G435">
        <v>3</v>
      </c>
      <c r="H435">
        <v>1754.74</v>
      </c>
      <c r="I435">
        <v>15</v>
      </c>
      <c r="J435" t="s">
        <v>17</v>
      </c>
      <c r="K435">
        <v>4474.59</v>
      </c>
    </row>
    <row r="436" spans="1:11" x14ac:dyDescent="0.25">
      <c r="A436" t="s">
        <v>888</v>
      </c>
      <c r="B436" s="1">
        <v>45811</v>
      </c>
      <c r="C436" t="s">
        <v>889</v>
      </c>
      <c r="D436" t="s">
        <v>20</v>
      </c>
      <c r="E436" t="s">
        <v>3988</v>
      </c>
      <c r="F436" t="s">
        <v>4323</v>
      </c>
      <c r="G436">
        <v>4</v>
      </c>
      <c r="H436">
        <v>50.37</v>
      </c>
      <c r="I436">
        <v>15</v>
      </c>
      <c r="J436" t="s">
        <v>21</v>
      </c>
      <c r="K436">
        <v>171.26</v>
      </c>
    </row>
    <row r="437" spans="1:11" x14ac:dyDescent="0.25">
      <c r="A437" t="s">
        <v>890</v>
      </c>
      <c r="B437" s="1">
        <v>45294</v>
      </c>
      <c r="C437" t="s">
        <v>555</v>
      </c>
      <c r="D437" t="s">
        <v>36</v>
      </c>
      <c r="E437" t="s">
        <v>3272</v>
      </c>
      <c r="F437" t="s">
        <v>4324</v>
      </c>
      <c r="G437">
        <v>2</v>
      </c>
      <c r="H437">
        <v>379.71</v>
      </c>
      <c r="I437">
        <v>20</v>
      </c>
      <c r="J437" t="s">
        <v>14</v>
      </c>
      <c r="K437">
        <v>607.54</v>
      </c>
    </row>
    <row r="438" spans="1:11" x14ac:dyDescent="0.25">
      <c r="A438" t="s">
        <v>891</v>
      </c>
      <c r="B438" s="1">
        <v>45203</v>
      </c>
      <c r="C438" t="s">
        <v>892</v>
      </c>
      <c r="D438" t="s">
        <v>36</v>
      </c>
      <c r="E438" t="s">
        <v>3272</v>
      </c>
      <c r="F438" t="s">
        <v>4325</v>
      </c>
      <c r="G438">
        <v>1</v>
      </c>
      <c r="H438">
        <v>810.03</v>
      </c>
      <c r="I438">
        <v>20</v>
      </c>
      <c r="J438" t="s">
        <v>39</v>
      </c>
      <c r="K438">
        <v>648.02</v>
      </c>
    </row>
    <row r="439" spans="1:11" x14ac:dyDescent="0.25">
      <c r="A439" t="s">
        <v>893</v>
      </c>
      <c r="B439" s="1">
        <v>45612</v>
      </c>
      <c r="C439" t="s">
        <v>894</v>
      </c>
      <c r="D439" t="s">
        <v>36</v>
      </c>
      <c r="E439" t="s">
        <v>3272</v>
      </c>
      <c r="F439" t="s">
        <v>4326</v>
      </c>
      <c r="G439">
        <v>7</v>
      </c>
      <c r="H439">
        <v>790.03</v>
      </c>
      <c r="I439">
        <v>5</v>
      </c>
      <c r="J439" t="s">
        <v>39</v>
      </c>
      <c r="K439">
        <v>5253.7</v>
      </c>
    </row>
    <row r="440" spans="1:11" x14ac:dyDescent="0.25">
      <c r="A440" t="s">
        <v>895</v>
      </c>
      <c r="B440" s="1">
        <v>45202</v>
      </c>
      <c r="C440" t="s">
        <v>896</v>
      </c>
      <c r="D440" t="s">
        <v>24</v>
      </c>
      <c r="E440" t="s">
        <v>3272</v>
      </c>
      <c r="F440" t="s">
        <v>4101</v>
      </c>
      <c r="G440">
        <v>8</v>
      </c>
      <c r="H440">
        <v>492.12</v>
      </c>
      <c r="I440">
        <v>20</v>
      </c>
      <c r="J440" t="s">
        <v>21</v>
      </c>
      <c r="K440">
        <v>3149.57</v>
      </c>
    </row>
    <row r="441" spans="1:11" x14ac:dyDescent="0.25">
      <c r="A441" t="s">
        <v>897</v>
      </c>
      <c r="B441" s="1">
        <v>45674</v>
      </c>
      <c r="C441" t="s">
        <v>898</v>
      </c>
      <c r="D441" t="s">
        <v>36</v>
      </c>
      <c r="E441" t="s">
        <v>3988</v>
      </c>
      <c r="F441" t="s">
        <v>4327</v>
      </c>
      <c r="G441">
        <v>7</v>
      </c>
      <c r="H441">
        <v>794.14</v>
      </c>
      <c r="I441">
        <v>5</v>
      </c>
      <c r="J441" t="s">
        <v>21</v>
      </c>
      <c r="K441">
        <v>5281.03</v>
      </c>
    </row>
    <row r="442" spans="1:11" x14ac:dyDescent="0.25">
      <c r="A442" t="s">
        <v>899</v>
      </c>
      <c r="B442" s="1">
        <v>45819</v>
      </c>
      <c r="C442" t="s">
        <v>900</v>
      </c>
      <c r="D442" t="s">
        <v>36</v>
      </c>
      <c r="E442" t="s">
        <v>3272</v>
      </c>
      <c r="F442" t="s">
        <v>4328</v>
      </c>
      <c r="G442">
        <v>5</v>
      </c>
      <c r="H442">
        <v>301.25</v>
      </c>
      <c r="I442">
        <v>5</v>
      </c>
      <c r="J442" t="s">
        <v>17</v>
      </c>
      <c r="K442">
        <v>1430.94</v>
      </c>
    </row>
    <row r="443" spans="1:11" x14ac:dyDescent="0.25">
      <c r="A443" t="s">
        <v>901</v>
      </c>
      <c r="B443" s="1">
        <v>45332</v>
      </c>
      <c r="C443" t="s">
        <v>902</v>
      </c>
      <c r="D443" t="s">
        <v>20</v>
      </c>
      <c r="E443" t="s">
        <v>3988</v>
      </c>
      <c r="F443" t="s">
        <v>4158</v>
      </c>
      <c r="G443">
        <v>1</v>
      </c>
      <c r="H443">
        <v>854.88</v>
      </c>
      <c r="I443">
        <v>5</v>
      </c>
      <c r="J443" t="s">
        <v>39</v>
      </c>
      <c r="K443">
        <v>812.14</v>
      </c>
    </row>
    <row r="444" spans="1:11" x14ac:dyDescent="0.25">
      <c r="A444" t="s">
        <v>903</v>
      </c>
      <c r="B444" s="1">
        <v>45463</v>
      </c>
      <c r="C444" t="s">
        <v>904</v>
      </c>
      <c r="D444" t="s">
        <v>24</v>
      </c>
      <c r="E444" t="s">
        <v>3988</v>
      </c>
      <c r="F444" t="s">
        <v>4075</v>
      </c>
      <c r="G444">
        <v>7</v>
      </c>
      <c r="H444">
        <v>1614.59</v>
      </c>
      <c r="I444">
        <v>15</v>
      </c>
      <c r="J444" t="s">
        <v>17</v>
      </c>
      <c r="K444">
        <v>9606.81</v>
      </c>
    </row>
    <row r="445" spans="1:11" x14ac:dyDescent="0.25">
      <c r="A445" t="s">
        <v>905</v>
      </c>
      <c r="B445" s="1">
        <v>45243</v>
      </c>
      <c r="C445" t="s">
        <v>906</v>
      </c>
      <c r="D445" t="s">
        <v>20</v>
      </c>
      <c r="E445" t="s">
        <v>3988</v>
      </c>
      <c r="F445" t="s">
        <v>4329</v>
      </c>
      <c r="G445">
        <v>7</v>
      </c>
      <c r="H445">
        <v>984.19</v>
      </c>
      <c r="I445">
        <v>15</v>
      </c>
      <c r="J445" t="s">
        <v>21</v>
      </c>
      <c r="K445">
        <v>5855.93</v>
      </c>
    </row>
    <row r="446" spans="1:11" x14ac:dyDescent="0.25">
      <c r="A446" t="s">
        <v>907</v>
      </c>
      <c r="B446" s="1">
        <v>45841</v>
      </c>
      <c r="C446" t="s">
        <v>908</v>
      </c>
      <c r="D446" t="s">
        <v>36</v>
      </c>
      <c r="E446" t="s">
        <v>3272</v>
      </c>
      <c r="F446" t="s">
        <v>4330</v>
      </c>
      <c r="G446">
        <v>9</v>
      </c>
      <c r="H446">
        <v>85.1</v>
      </c>
      <c r="I446">
        <v>20</v>
      </c>
      <c r="J446" t="s">
        <v>39</v>
      </c>
      <c r="K446">
        <v>612.72</v>
      </c>
    </row>
    <row r="447" spans="1:11" x14ac:dyDescent="0.25">
      <c r="A447" t="s">
        <v>909</v>
      </c>
      <c r="B447" s="1">
        <v>45592</v>
      </c>
      <c r="C447" t="s">
        <v>910</v>
      </c>
      <c r="D447" t="s">
        <v>24</v>
      </c>
      <c r="E447" t="s">
        <v>3988</v>
      </c>
      <c r="F447" t="s">
        <v>4331</v>
      </c>
      <c r="G447">
        <v>3</v>
      </c>
      <c r="H447">
        <v>871.82</v>
      </c>
      <c r="I447">
        <v>15</v>
      </c>
      <c r="J447" t="s">
        <v>14</v>
      </c>
      <c r="K447">
        <v>2223.14</v>
      </c>
    </row>
    <row r="448" spans="1:11" x14ac:dyDescent="0.25">
      <c r="A448" t="s">
        <v>911</v>
      </c>
      <c r="B448" s="1">
        <v>45341</v>
      </c>
      <c r="C448" t="s">
        <v>912</v>
      </c>
      <c r="D448" t="s">
        <v>20</v>
      </c>
      <c r="E448" t="s">
        <v>29</v>
      </c>
      <c r="F448" t="s">
        <v>4090</v>
      </c>
      <c r="G448">
        <v>9</v>
      </c>
      <c r="H448">
        <v>102.99</v>
      </c>
      <c r="I448">
        <v>20</v>
      </c>
      <c r="J448" t="s">
        <v>14</v>
      </c>
      <c r="K448">
        <v>741.53</v>
      </c>
    </row>
    <row r="449" spans="1:11" x14ac:dyDescent="0.25">
      <c r="A449" t="s">
        <v>913</v>
      </c>
      <c r="B449" s="1">
        <v>45599</v>
      </c>
      <c r="C449" t="s">
        <v>914</v>
      </c>
      <c r="D449" t="s">
        <v>36</v>
      </c>
      <c r="E449" t="s">
        <v>3988</v>
      </c>
      <c r="F449" t="s">
        <v>4332</v>
      </c>
      <c r="G449">
        <v>1</v>
      </c>
      <c r="H449">
        <v>1934.17</v>
      </c>
      <c r="I449">
        <v>15</v>
      </c>
      <c r="J449" t="s">
        <v>39</v>
      </c>
      <c r="K449">
        <v>1644.04</v>
      </c>
    </row>
    <row r="450" spans="1:11" x14ac:dyDescent="0.25">
      <c r="A450" t="s">
        <v>915</v>
      </c>
      <c r="B450" s="1">
        <v>45611</v>
      </c>
      <c r="C450" t="s">
        <v>916</v>
      </c>
      <c r="D450" t="s">
        <v>13</v>
      </c>
      <c r="E450" t="s">
        <v>3988</v>
      </c>
      <c r="F450" t="s">
        <v>4333</v>
      </c>
      <c r="G450">
        <v>1</v>
      </c>
      <c r="H450">
        <v>298.54000000000002</v>
      </c>
      <c r="I450">
        <v>0</v>
      </c>
      <c r="J450" t="s">
        <v>39</v>
      </c>
      <c r="K450">
        <v>298.54000000000002</v>
      </c>
    </row>
    <row r="451" spans="1:11" x14ac:dyDescent="0.25">
      <c r="A451" t="s">
        <v>917</v>
      </c>
      <c r="B451" s="1">
        <v>45180</v>
      </c>
      <c r="C451" t="s">
        <v>918</v>
      </c>
      <c r="D451" t="s">
        <v>20</v>
      </c>
      <c r="E451" t="s">
        <v>3988</v>
      </c>
      <c r="F451" t="s">
        <v>4334</v>
      </c>
      <c r="G451">
        <v>4</v>
      </c>
      <c r="H451">
        <v>1429.99</v>
      </c>
      <c r="I451">
        <v>0</v>
      </c>
      <c r="J451" t="s">
        <v>21</v>
      </c>
      <c r="K451">
        <v>5719.96</v>
      </c>
    </row>
    <row r="452" spans="1:11" x14ac:dyDescent="0.25">
      <c r="A452" t="s">
        <v>919</v>
      </c>
      <c r="B452" s="1">
        <v>45631</v>
      </c>
      <c r="C452" t="s">
        <v>920</v>
      </c>
      <c r="D452" t="s">
        <v>24</v>
      </c>
      <c r="E452" t="s">
        <v>3988</v>
      </c>
      <c r="F452" t="s">
        <v>4201</v>
      </c>
      <c r="G452">
        <v>9</v>
      </c>
      <c r="H452">
        <v>1946.91</v>
      </c>
      <c r="I452">
        <v>20</v>
      </c>
      <c r="J452" t="s">
        <v>39</v>
      </c>
      <c r="K452">
        <v>14017.75</v>
      </c>
    </row>
    <row r="453" spans="1:11" x14ac:dyDescent="0.25">
      <c r="A453" t="s">
        <v>921</v>
      </c>
      <c r="B453" s="1">
        <v>45213</v>
      </c>
      <c r="C453" t="s">
        <v>922</v>
      </c>
      <c r="D453" t="s">
        <v>20</v>
      </c>
      <c r="E453" t="s">
        <v>3988</v>
      </c>
      <c r="F453" t="s">
        <v>4335</v>
      </c>
      <c r="G453">
        <v>6</v>
      </c>
      <c r="H453">
        <v>1660.78</v>
      </c>
      <c r="I453">
        <v>15</v>
      </c>
      <c r="J453" t="s">
        <v>39</v>
      </c>
      <c r="K453">
        <v>8469.98</v>
      </c>
    </row>
    <row r="454" spans="1:11" x14ac:dyDescent="0.25">
      <c r="A454" t="s">
        <v>923</v>
      </c>
      <c r="B454" s="1">
        <v>45475</v>
      </c>
      <c r="C454" t="s">
        <v>924</v>
      </c>
      <c r="D454" t="s">
        <v>20</v>
      </c>
      <c r="E454" t="s">
        <v>3988</v>
      </c>
      <c r="F454" t="s">
        <v>4336</v>
      </c>
      <c r="G454">
        <v>3</v>
      </c>
      <c r="H454">
        <v>1413.66</v>
      </c>
      <c r="I454">
        <v>15</v>
      </c>
      <c r="J454" t="s">
        <v>14</v>
      </c>
      <c r="K454">
        <v>3604.83</v>
      </c>
    </row>
    <row r="455" spans="1:11" x14ac:dyDescent="0.25">
      <c r="A455" t="s">
        <v>925</v>
      </c>
      <c r="B455" s="1">
        <v>45660</v>
      </c>
      <c r="C455" t="s">
        <v>926</v>
      </c>
      <c r="D455" t="s">
        <v>20</v>
      </c>
      <c r="E455" t="s">
        <v>3988</v>
      </c>
      <c r="F455" t="s">
        <v>4337</v>
      </c>
      <c r="G455">
        <v>1</v>
      </c>
      <c r="H455">
        <v>1686.95</v>
      </c>
      <c r="I455">
        <v>5</v>
      </c>
      <c r="J455" t="s">
        <v>21</v>
      </c>
      <c r="K455">
        <v>1602.6</v>
      </c>
    </row>
    <row r="456" spans="1:11" x14ac:dyDescent="0.25">
      <c r="A456" t="s">
        <v>927</v>
      </c>
      <c r="B456" s="1">
        <v>45603</v>
      </c>
      <c r="C456" t="s">
        <v>928</v>
      </c>
      <c r="D456" t="s">
        <v>13</v>
      </c>
      <c r="E456" t="s">
        <v>29</v>
      </c>
      <c r="F456" t="s">
        <v>4338</v>
      </c>
      <c r="G456">
        <v>4</v>
      </c>
      <c r="H456">
        <v>1964.51</v>
      </c>
      <c r="I456">
        <v>10</v>
      </c>
      <c r="J456" t="s">
        <v>17</v>
      </c>
      <c r="K456">
        <v>7072.24</v>
      </c>
    </row>
    <row r="457" spans="1:11" x14ac:dyDescent="0.25">
      <c r="A457" t="s">
        <v>929</v>
      </c>
      <c r="B457" s="1">
        <v>45589</v>
      </c>
      <c r="C457" t="s">
        <v>930</v>
      </c>
      <c r="D457" t="s">
        <v>24</v>
      </c>
      <c r="E457" t="s">
        <v>3988</v>
      </c>
      <c r="F457" t="s">
        <v>4339</v>
      </c>
      <c r="G457">
        <v>9</v>
      </c>
      <c r="H457">
        <v>1261.6199999999999</v>
      </c>
      <c r="I457">
        <v>20</v>
      </c>
      <c r="J457" t="s">
        <v>39</v>
      </c>
      <c r="K457">
        <v>9083.66</v>
      </c>
    </row>
    <row r="458" spans="1:11" x14ac:dyDescent="0.25">
      <c r="A458" t="s">
        <v>931</v>
      </c>
      <c r="B458" s="1">
        <v>45556</v>
      </c>
      <c r="C458" t="s">
        <v>932</v>
      </c>
      <c r="D458" t="s">
        <v>24</v>
      </c>
      <c r="E458" t="s">
        <v>3272</v>
      </c>
      <c r="F458" t="s">
        <v>4340</v>
      </c>
      <c r="G458">
        <v>3</v>
      </c>
      <c r="H458">
        <v>1140.4100000000001</v>
      </c>
      <c r="I458">
        <v>10</v>
      </c>
      <c r="J458" t="s">
        <v>21</v>
      </c>
      <c r="K458">
        <v>3079.11</v>
      </c>
    </row>
    <row r="459" spans="1:11" x14ac:dyDescent="0.25">
      <c r="A459" t="s">
        <v>933</v>
      </c>
      <c r="B459" s="1">
        <v>45395</v>
      </c>
      <c r="C459" t="s">
        <v>934</v>
      </c>
      <c r="D459" t="s">
        <v>24</v>
      </c>
      <c r="E459" t="s">
        <v>3272</v>
      </c>
      <c r="F459" t="s">
        <v>4341</v>
      </c>
      <c r="G459">
        <v>9</v>
      </c>
      <c r="H459">
        <v>1275.06</v>
      </c>
      <c r="I459">
        <v>10</v>
      </c>
      <c r="J459" t="s">
        <v>21</v>
      </c>
      <c r="K459">
        <v>10327.99</v>
      </c>
    </row>
    <row r="460" spans="1:11" x14ac:dyDescent="0.25">
      <c r="A460" t="s">
        <v>935</v>
      </c>
      <c r="B460" s="1">
        <v>45876</v>
      </c>
      <c r="C460" t="s">
        <v>936</v>
      </c>
      <c r="D460" t="s">
        <v>36</v>
      </c>
      <c r="E460" t="s">
        <v>3988</v>
      </c>
      <c r="F460" t="s">
        <v>4342</v>
      </c>
      <c r="G460">
        <v>7</v>
      </c>
      <c r="H460">
        <v>1088.72</v>
      </c>
      <c r="I460">
        <v>20</v>
      </c>
      <c r="J460" t="s">
        <v>14</v>
      </c>
      <c r="K460">
        <v>6096.83</v>
      </c>
    </row>
    <row r="461" spans="1:11" x14ac:dyDescent="0.25">
      <c r="A461" t="s">
        <v>937</v>
      </c>
      <c r="B461" s="1">
        <v>45352</v>
      </c>
      <c r="C461" t="s">
        <v>938</v>
      </c>
      <c r="D461" t="s">
        <v>24</v>
      </c>
      <c r="E461" t="s">
        <v>3272</v>
      </c>
      <c r="F461" t="s">
        <v>4256</v>
      </c>
      <c r="G461">
        <v>4</v>
      </c>
      <c r="H461">
        <v>1288.42</v>
      </c>
      <c r="I461">
        <v>15</v>
      </c>
      <c r="J461" t="s">
        <v>39</v>
      </c>
      <c r="K461">
        <v>4380.63</v>
      </c>
    </row>
    <row r="462" spans="1:11" x14ac:dyDescent="0.25">
      <c r="A462" t="s">
        <v>939</v>
      </c>
      <c r="B462" s="1">
        <v>45308</v>
      </c>
      <c r="C462" t="s">
        <v>940</v>
      </c>
      <c r="D462" t="s">
        <v>24</v>
      </c>
      <c r="E462" t="s">
        <v>3272</v>
      </c>
      <c r="F462" t="s">
        <v>4343</v>
      </c>
      <c r="G462">
        <v>3</v>
      </c>
      <c r="H462">
        <v>927.19</v>
      </c>
      <c r="I462">
        <v>20</v>
      </c>
      <c r="J462" t="s">
        <v>39</v>
      </c>
      <c r="K462">
        <v>2225.2600000000002</v>
      </c>
    </row>
    <row r="463" spans="1:11" x14ac:dyDescent="0.25">
      <c r="A463" t="s">
        <v>941</v>
      </c>
      <c r="B463" s="1">
        <v>45670</v>
      </c>
      <c r="C463" t="s">
        <v>942</v>
      </c>
      <c r="D463" t="s">
        <v>13</v>
      </c>
      <c r="E463" t="s">
        <v>3988</v>
      </c>
      <c r="F463" t="s">
        <v>4344</v>
      </c>
      <c r="G463">
        <v>5</v>
      </c>
      <c r="H463">
        <v>475.96</v>
      </c>
      <c r="I463">
        <v>10</v>
      </c>
      <c r="J463" t="s">
        <v>21</v>
      </c>
      <c r="K463">
        <v>2141.8200000000002</v>
      </c>
    </row>
    <row r="464" spans="1:11" x14ac:dyDescent="0.25">
      <c r="A464" t="s">
        <v>943</v>
      </c>
      <c r="B464" s="1">
        <v>45706</v>
      </c>
      <c r="C464" t="s">
        <v>944</v>
      </c>
      <c r="D464" t="s">
        <v>36</v>
      </c>
      <c r="E464" t="s">
        <v>29</v>
      </c>
      <c r="F464" t="s">
        <v>4345</v>
      </c>
      <c r="G464">
        <v>5</v>
      </c>
      <c r="H464">
        <v>284.48</v>
      </c>
      <c r="I464">
        <v>15</v>
      </c>
      <c r="J464" t="s">
        <v>39</v>
      </c>
      <c r="K464">
        <v>1209.04</v>
      </c>
    </row>
    <row r="465" spans="1:11" x14ac:dyDescent="0.25">
      <c r="A465" t="s">
        <v>945</v>
      </c>
      <c r="B465" s="1">
        <v>45394</v>
      </c>
      <c r="C465" t="s">
        <v>946</v>
      </c>
      <c r="D465" t="s">
        <v>36</v>
      </c>
      <c r="E465" t="s">
        <v>29</v>
      </c>
      <c r="F465" t="s">
        <v>4346</v>
      </c>
      <c r="G465">
        <v>3</v>
      </c>
      <c r="H465">
        <v>183.26</v>
      </c>
      <c r="I465">
        <v>0</v>
      </c>
      <c r="J465" t="s">
        <v>14</v>
      </c>
      <c r="K465">
        <v>549.78</v>
      </c>
    </row>
    <row r="466" spans="1:11" x14ac:dyDescent="0.25">
      <c r="A466" t="s">
        <v>947</v>
      </c>
      <c r="B466" s="1">
        <v>45335</v>
      </c>
      <c r="C466" t="s">
        <v>948</v>
      </c>
      <c r="D466" t="s">
        <v>20</v>
      </c>
      <c r="E466" t="s">
        <v>3988</v>
      </c>
      <c r="F466" t="s">
        <v>4204</v>
      </c>
      <c r="G466">
        <v>9</v>
      </c>
      <c r="H466">
        <v>563.47</v>
      </c>
      <c r="I466">
        <v>20</v>
      </c>
      <c r="J466" t="s">
        <v>14</v>
      </c>
      <c r="K466">
        <v>4056.98</v>
      </c>
    </row>
    <row r="467" spans="1:11" x14ac:dyDescent="0.25">
      <c r="A467" t="s">
        <v>949</v>
      </c>
      <c r="B467" s="1">
        <v>45356</v>
      </c>
      <c r="C467" t="s">
        <v>950</v>
      </c>
      <c r="D467" t="s">
        <v>36</v>
      </c>
      <c r="E467" t="s">
        <v>3988</v>
      </c>
      <c r="F467" t="s">
        <v>4347</v>
      </c>
      <c r="G467">
        <v>4</v>
      </c>
      <c r="H467">
        <v>139.94</v>
      </c>
      <c r="I467">
        <v>20</v>
      </c>
      <c r="J467" t="s">
        <v>14</v>
      </c>
      <c r="K467">
        <v>447.81</v>
      </c>
    </row>
    <row r="468" spans="1:11" x14ac:dyDescent="0.25">
      <c r="A468" t="s">
        <v>951</v>
      </c>
      <c r="B468" s="1">
        <v>45457</v>
      </c>
      <c r="C468" t="s">
        <v>952</v>
      </c>
      <c r="D468" t="s">
        <v>36</v>
      </c>
      <c r="E468" t="s">
        <v>3988</v>
      </c>
      <c r="F468" t="s">
        <v>4056</v>
      </c>
      <c r="G468">
        <v>5</v>
      </c>
      <c r="H468">
        <v>1155.98</v>
      </c>
      <c r="I468">
        <v>15</v>
      </c>
      <c r="J468" t="s">
        <v>39</v>
      </c>
      <c r="K468">
        <v>4912.92</v>
      </c>
    </row>
    <row r="469" spans="1:11" x14ac:dyDescent="0.25">
      <c r="A469" t="s">
        <v>953</v>
      </c>
      <c r="B469" s="1">
        <v>45251</v>
      </c>
      <c r="C469" t="s">
        <v>954</v>
      </c>
      <c r="D469" t="s">
        <v>13</v>
      </c>
      <c r="E469" t="s">
        <v>3988</v>
      </c>
      <c r="F469" t="s">
        <v>4201</v>
      </c>
      <c r="G469">
        <v>4</v>
      </c>
      <c r="H469">
        <v>603.47</v>
      </c>
      <c r="I469">
        <v>0</v>
      </c>
      <c r="J469" t="s">
        <v>39</v>
      </c>
      <c r="K469">
        <v>2413.88</v>
      </c>
    </row>
    <row r="470" spans="1:11" x14ac:dyDescent="0.25">
      <c r="A470" t="s">
        <v>955</v>
      </c>
      <c r="B470" s="1">
        <v>45671</v>
      </c>
      <c r="C470" t="s">
        <v>956</v>
      </c>
      <c r="D470" t="s">
        <v>24</v>
      </c>
      <c r="E470" t="s">
        <v>3988</v>
      </c>
      <c r="F470" t="s">
        <v>4348</v>
      </c>
      <c r="G470">
        <v>5</v>
      </c>
      <c r="H470">
        <v>1657.84</v>
      </c>
      <c r="I470">
        <v>0</v>
      </c>
      <c r="J470" t="s">
        <v>14</v>
      </c>
      <c r="K470">
        <v>8289.2000000000007</v>
      </c>
    </row>
    <row r="471" spans="1:11" x14ac:dyDescent="0.25">
      <c r="A471" t="s">
        <v>957</v>
      </c>
      <c r="B471" s="1">
        <v>45651</v>
      </c>
      <c r="C471" t="s">
        <v>958</v>
      </c>
      <c r="D471" t="s">
        <v>36</v>
      </c>
      <c r="E471" t="s">
        <v>3988</v>
      </c>
      <c r="F471" t="s">
        <v>4349</v>
      </c>
      <c r="G471">
        <v>7</v>
      </c>
      <c r="H471">
        <v>194.77</v>
      </c>
      <c r="I471">
        <v>15</v>
      </c>
      <c r="J471" t="s">
        <v>17</v>
      </c>
      <c r="K471">
        <v>1158.8800000000001</v>
      </c>
    </row>
    <row r="472" spans="1:11" x14ac:dyDescent="0.25">
      <c r="A472" t="s">
        <v>959</v>
      </c>
      <c r="B472" s="1">
        <v>45383</v>
      </c>
      <c r="C472" t="s">
        <v>960</v>
      </c>
      <c r="D472" t="s">
        <v>36</v>
      </c>
      <c r="E472" t="s">
        <v>29</v>
      </c>
      <c r="F472" t="s">
        <v>4350</v>
      </c>
      <c r="G472">
        <v>9</v>
      </c>
      <c r="H472">
        <v>491.39</v>
      </c>
      <c r="I472">
        <v>5</v>
      </c>
      <c r="J472" t="s">
        <v>21</v>
      </c>
      <c r="K472">
        <v>4201.38</v>
      </c>
    </row>
    <row r="473" spans="1:11" x14ac:dyDescent="0.25">
      <c r="A473" t="s">
        <v>961</v>
      </c>
      <c r="B473" s="1">
        <v>45505</v>
      </c>
      <c r="C473" t="s">
        <v>962</v>
      </c>
      <c r="D473" t="s">
        <v>13</v>
      </c>
      <c r="E473" t="s">
        <v>3988</v>
      </c>
      <c r="F473" t="s">
        <v>4351</v>
      </c>
      <c r="G473">
        <v>7</v>
      </c>
      <c r="H473">
        <v>1473.98</v>
      </c>
      <c r="I473">
        <v>20</v>
      </c>
      <c r="J473" t="s">
        <v>17</v>
      </c>
      <c r="K473">
        <v>8254.2900000000009</v>
      </c>
    </row>
    <row r="474" spans="1:11" x14ac:dyDescent="0.25">
      <c r="A474" t="s">
        <v>963</v>
      </c>
      <c r="B474" s="1">
        <v>45395</v>
      </c>
      <c r="C474" t="s">
        <v>964</v>
      </c>
      <c r="D474" t="s">
        <v>36</v>
      </c>
      <c r="E474" t="s">
        <v>3988</v>
      </c>
      <c r="F474" t="s">
        <v>4205</v>
      </c>
      <c r="G474">
        <v>5</v>
      </c>
      <c r="H474">
        <v>1217.68</v>
      </c>
      <c r="I474">
        <v>20</v>
      </c>
      <c r="J474" t="s">
        <v>39</v>
      </c>
      <c r="K474">
        <v>4870.72</v>
      </c>
    </row>
    <row r="475" spans="1:11" x14ac:dyDescent="0.25">
      <c r="A475" t="s">
        <v>965</v>
      </c>
      <c r="B475" s="1">
        <v>45871</v>
      </c>
      <c r="C475" t="s">
        <v>966</v>
      </c>
      <c r="D475" t="s">
        <v>36</v>
      </c>
      <c r="E475" t="s">
        <v>3988</v>
      </c>
      <c r="F475" t="s">
        <v>4352</v>
      </c>
      <c r="G475">
        <v>7</v>
      </c>
      <c r="H475">
        <v>175.76</v>
      </c>
      <c r="I475">
        <v>10</v>
      </c>
      <c r="J475" t="s">
        <v>21</v>
      </c>
      <c r="K475">
        <v>1107.29</v>
      </c>
    </row>
    <row r="476" spans="1:11" x14ac:dyDescent="0.25">
      <c r="A476" t="s">
        <v>967</v>
      </c>
      <c r="B476" s="1">
        <v>45733</v>
      </c>
      <c r="C476" t="s">
        <v>968</v>
      </c>
      <c r="D476" t="s">
        <v>13</v>
      </c>
      <c r="E476" t="s">
        <v>3988</v>
      </c>
      <c r="F476" t="s">
        <v>4034</v>
      </c>
      <c r="G476">
        <v>5</v>
      </c>
      <c r="H476">
        <v>1760.62</v>
      </c>
      <c r="I476">
        <v>15</v>
      </c>
      <c r="J476" t="s">
        <v>21</v>
      </c>
      <c r="K476">
        <v>7482.63</v>
      </c>
    </row>
    <row r="477" spans="1:11" x14ac:dyDescent="0.25">
      <c r="A477" t="s">
        <v>969</v>
      </c>
      <c r="B477" s="1">
        <v>45876</v>
      </c>
      <c r="C477" t="s">
        <v>970</v>
      </c>
      <c r="D477" t="s">
        <v>20</v>
      </c>
      <c r="E477" t="s">
        <v>3988</v>
      </c>
      <c r="F477" t="s">
        <v>4041</v>
      </c>
      <c r="G477">
        <v>3</v>
      </c>
      <c r="H477">
        <v>1760.66</v>
      </c>
      <c r="I477">
        <v>10</v>
      </c>
      <c r="J477" t="s">
        <v>39</v>
      </c>
      <c r="K477">
        <v>4753.78</v>
      </c>
    </row>
    <row r="478" spans="1:11" x14ac:dyDescent="0.25">
      <c r="A478" t="s">
        <v>971</v>
      </c>
      <c r="B478" s="1">
        <v>45206</v>
      </c>
      <c r="C478" t="s">
        <v>972</v>
      </c>
      <c r="D478" t="s">
        <v>20</v>
      </c>
      <c r="E478" t="s">
        <v>3988</v>
      </c>
      <c r="F478" t="s">
        <v>4353</v>
      </c>
      <c r="G478">
        <v>7</v>
      </c>
      <c r="H478">
        <v>694.3</v>
      </c>
      <c r="I478">
        <v>10</v>
      </c>
      <c r="J478" t="s">
        <v>17</v>
      </c>
      <c r="K478">
        <v>4374.09</v>
      </c>
    </row>
    <row r="479" spans="1:11" x14ac:dyDescent="0.25">
      <c r="A479" t="s">
        <v>973</v>
      </c>
      <c r="B479" s="1">
        <v>45157</v>
      </c>
      <c r="C479" t="s">
        <v>974</v>
      </c>
      <c r="D479" t="s">
        <v>36</v>
      </c>
      <c r="E479" t="s">
        <v>3272</v>
      </c>
      <c r="F479" t="s">
        <v>4354</v>
      </c>
      <c r="G479">
        <v>2</v>
      </c>
      <c r="H479">
        <v>713.79</v>
      </c>
      <c r="I479">
        <v>0</v>
      </c>
      <c r="J479" t="s">
        <v>17</v>
      </c>
      <c r="K479">
        <v>1427.58</v>
      </c>
    </row>
    <row r="480" spans="1:11" x14ac:dyDescent="0.25">
      <c r="A480" t="s">
        <v>975</v>
      </c>
      <c r="B480" s="1">
        <v>45505</v>
      </c>
      <c r="C480" t="s">
        <v>976</v>
      </c>
      <c r="D480" t="s">
        <v>36</v>
      </c>
      <c r="E480" t="s">
        <v>29</v>
      </c>
      <c r="F480" t="s">
        <v>4261</v>
      </c>
      <c r="G480">
        <v>9</v>
      </c>
      <c r="H480">
        <v>1978.61</v>
      </c>
      <c r="I480">
        <v>20</v>
      </c>
      <c r="J480" t="s">
        <v>17</v>
      </c>
      <c r="K480">
        <v>14245.99</v>
      </c>
    </row>
    <row r="481" spans="1:11" x14ac:dyDescent="0.25">
      <c r="A481" t="s">
        <v>977</v>
      </c>
      <c r="B481" s="1">
        <v>45632</v>
      </c>
      <c r="C481" t="s">
        <v>978</v>
      </c>
      <c r="D481" t="s">
        <v>24</v>
      </c>
      <c r="E481" t="s">
        <v>3988</v>
      </c>
      <c r="F481" t="s">
        <v>4355</v>
      </c>
      <c r="G481">
        <v>1</v>
      </c>
      <c r="H481">
        <v>1271.04</v>
      </c>
      <c r="I481">
        <v>10</v>
      </c>
      <c r="J481" t="s">
        <v>17</v>
      </c>
      <c r="K481">
        <v>1143.94</v>
      </c>
    </row>
    <row r="482" spans="1:11" x14ac:dyDescent="0.25">
      <c r="A482" t="s">
        <v>979</v>
      </c>
      <c r="B482" s="1">
        <v>45587</v>
      </c>
      <c r="C482" t="s">
        <v>980</v>
      </c>
      <c r="D482" t="s">
        <v>36</v>
      </c>
      <c r="E482" t="s">
        <v>29</v>
      </c>
      <c r="F482" t="s">
        <v>4356</v>
      </c>
      <c r="G482">
        <v>6</v>
      </c>
      <c r="H482">
        <v>1086.07</v>
      </c>
      <c r="I482">
        <v>0</v>
      </c>
      <c r="J482" t="s">
        <v>14</v>
      </c>
      <c r="K482">
        <v>6516.42</v>
      </c>
    </row>
    <row r="483" spans="1:11" x14ac:dyDescent="0.25">
      <c r="A483" t="s">
        <v>981</v>
      </c>
      <c r="B483" s="1">
        <v>45227</v>
      </c>
      <c r="C483" t="s">
        <v>982</v>
      </c>
      <c r="D483" t="s">
        <v>24</v>
      </c>
      <c r="E483" t="s">
        <v>3988</v>
      </c>
      <c r="F483" t="s">
        <v>4357</v>
      </c>
      <c r="G483">
        <v>7</v>
      </c>
      <c r="H483">
        <v>1684.4</v>
      </c>
      <c r="I483">
        <v>15</v>
      </c>
      <c r="J483" t="s">
        <v>21</v>
      </c>
      <c r="K483">
        <v>10022.18</v>
      </c>
    </row>
    <row r="484" spans="1:11" x14ac:dyDescent="0.25">
      <c r="A484" t="s">
        <v>983</v>
      </c>
      <c r="B484" s="1">
        <v>45206</v>
      </c>
      <c r="C484" t="s">
        <v>984</v>
      </c>
      <c r="D484" t="s">
        <v>20</v>
      </c>
      <c r="E484" t="s">
        <v>3988</v>
      </c>
      <c r="F484" t="s">
        <v>4358</v>
      </c>
      <c r="G484">
        <v>8</v>
      </c>
      <c r="H484">
        <v>606.32000000000005</v>
      </c>
      <c r="I484">
        <v>10</v>
      </c>
      <c r="J484" t="s">
        <v>17</v>
      </c>
      <c r="K484">
        <v>4365.5</v>
      </c>
    </row>
    <row r="485" spans="1:11" x14ac:dyDescent="0.25">
      <c r="A485" t="s">
        <v>985</v>
      </c>
      <c r="B485" s="1">
        <v>45567</v>
      </c>
      <c r="C485" t="s">
        <v>986</v>
      </c>
      <c r="D485" t="s">
        <v>36</v>
      </c>
      <c r="E485" t="s">
        <v>29</v>
      </c>
      <c r="F485" t="s">
        <v>4359</v>
      </c>
      <c r="G485">
        <v>9</v>
      </c>
      <c r="H485">
        <v>886.91</v>
      </c>
      <c r="I485">
        <v>20</v>
      </c>
      <c r="J485" t="s">
        <v>39</v>
      </c>
      <c r="K485">
        <v>6385.75</v>
      </c>
    </row>
    <row r="486" spans="1:11" x14ac:dyDescent="0.25">
      <c r="A486" t="s">
        <v>987</v>
      </c>
      <c r="B486" s="1">
        <v>45315</v>
      </c>
      <c r="C486" t="s">
        <v>988</v>
      </c>
      <c r="D486" t="s">
        <v>36</v>
      </c>
      <c r="E486" t="s">
        <v>29</v>
      </c>
      <c r="F486" t="s">
        <v>4261</v>
      </c>
      <c r="G486">
        <v>2</v>
      </c>
      <c r="H486">
        <v>572.16</v>
      </c>
      <c r="I486">
        <v>10</v>
      </c>
      <c r="J486" t="s">
        <v>14</v>
      </c>
      <c r="K486">
        <v>1029.8900000000001</v>
      </c>
    </row>
    <row r="487" spans="1:11" x14ac:dyDescent="0.25">
      <c r="A487" t="s">
        <v>989</v>
      </c>
      <c r="B487" s="1">
        <v>45542</v>
      </c>
      <c r="C487" t="s">
        <v>990</v>
      </c>
      <c r="D487" t="s">
        <v>13</v>
      </c>
      <c r="E487" t="s">
        <v>3988</v>
      </c>
      <c r="F487" t="s">
        <v>4125</v>
      </c>
      <c r="G487">
        <v>2</v>
      </c>
      <c r="H487">
        <v>1588.86</v>
      </c>
      <c r="I487">
        <v>15</v>
      </c>
      <c r="J487" t="s">
        <v>21</v>
      </c>
      <c r="K487">
        <v>2701.06</v>
      </c>
    </row>
    <row r="488" spans="1:11" x14ac:dyDescent="0.25">
      <c r="A488" t="s">
        <v>991</v>
      </c>
      <c r="B488" s="1">
        <v>45355</v>
      </c>
      <c r="C488" t="s">
        <v>992</v>
      </c>
      <c r="D488" t="s">
        <v>36</v>
      </c>
      <c r="E488" t="s">
        <v>3988</v>
      </c>
      <c r="F488" t="s">
        <v>4360</v>
      </c>
      <c r="G488">
        <v>5</v>
      </c>
      <c r="H488">
        <v>1168.03</v>
      </c>
      <c r="I488">
        <v>10</v>
      </c>
      <c r="J488" t="s">
        <v>39</v>
      </c>
      <c r="K488">
        <v>5256.14</v>
      </c>
    </row>
    <row r="489" spans="1:11" x14ac:dyDescent="0.25">
      <c r="A489" t="s">
        <v>993</v>
      </c>
      <c r="B489" s="1">
        <v>45252</v>
      </c>
      <c r="C489" t="s">
        <v>994</v>
      </c>
      <c r="D489" t="s">
        <v>20</v>
      </c>
      <c r="E489" t="s">
        <v>3988</v>
      </c>
      <c r="F489" t="s">
        <v>4361</v>
      </c>
      <c r="G489">
        <v>5</v>
      </c>
      <c r="H489">
        <v>1334.71</v>
      </c>
      <c r="I489">
        <v>20</v>
      </c>
      <c r="J489" t="s">
        <v>14</v>
      </c>
      <c r="K489">
        <v>5338.84</v>
      </c>
    </row>
    <row r="490" spans="1:11" x14ac:dyDescent="0.25">
      <c r="A490" t="s">
        <v>995</v>
      </c>
      <c r="B490" s="1">
        <v>45874</v>
      </c>
      <c r="C490" t="s">
        <v>996</v>
      </c>
      <c r="D490" t="s">
        <v>36</v>
      </c>
      <c r="E490" t="s">
        <v>3272</v>
      </c>
      <c r="F490" t="s">
        <v>4362</v>
      </c>
      <c r="G490">
        <v>6</v>
      </c>
      <c r="H490">
        <v>542</v>
      </c>
      <c r="I490">
        <v>0</v>
      </c>
      <c r="J490" t="s">
        <v>21</v>
      </c>
      <c r="K490">
        <v>3252</v>
      </c>
    </row>
    <row r="491" spans="1:11" x14ac:dyDescent="0.25">
      <c r="A491" t="s">
        <v>997</v>
      </c>
      <c r="B491" s="1">
        <v>45421</v>
      </c>
      <c r="C491" t="s">
        <v>998</v>
      </c>
      <c r="D491" t="s">
        <v>24</v>
      </c>
      <c r="E491" t="s">
        <v>3988</v>
      </c>
      <c r="F491" t="s">
        <v>4363</v>
      </c>
      <c r="G491">
        <v>3</v>
      </c>
      <c r="H491">
        <v>479.44</v>
      </c>
      <c r="I491">
        <v>20</v>
      </c>
      <c r="J491" t="s">
        <v>39</v>
      </c>
      <c r="K491">
        <v>1150.6600000000001</v>
      </c>
    </row>
    <row r="492" spans="1:11" x14ac:dyDescent="0.25">
      <c r="A492" t="s">
        <v>999</v>
      </c>
      <c r="B492" s="1">
        <v>45834</v>
      </c>
      <c r="C492" t="s">
        <v>1000</v>
      </c>
      <c r="D492" t="s">
        <v>36</v>
      </c>
      <c r="E492" t="s">
        <v>3988</v>
      </c>
      <c r="F492" t="s">
        <v>4077</v>
      </c>
      <c r="G492">
        <v>8</v>
      </c>
      <c r="H492">
        <v>1002.33</v>
      </c>
      <c r="I492">
        <v>0</v>
      </c>
      <c r="J492" t="s">
        <v>21</v>
      </c>
      <c r="K492">
        <v>8018.64</v>
      </c>
    </row>
    <row r="493" spans="1:11" x14ac:dyDescent="0.25">
      <c r="A493" t="s">
        <v>1001</v>
      </c>
      <c r="B493" s="1">
        <v>45203</v>
      </c>
      <c r="C493" t="s">
        <v>1002</v>
      </c>
      <c r="D493" t="s">
        <v>24</v>
      </c>
      <c r="E493" t="s">
        <v>29</v>
      </c>
      <c r="F493" t="s">
        <v>4364</v>
      </c>
      <c r="G493">
        <v>1</v>
      </c>
      <c r="H493">
        <v>1488.25</v>
      </c>
      <c r="I493">
        <v>5</v>
      </c>
      <c r="J493" t="s">
        <v>14</v>
      </c>
      <c r="K493">
        <v>1413.84</v>
      </c>
    </row>
    <row r="494" spans="1:11" x14ac:dyDescent="0.25">
      <c r="A494" t="s">
        <v>1003</v>
      </c>
      <c r="B494" s="1">
        <v>45832</v>
      </c>
      <c r="C494" t="s">
        <v>1004</v>
      </c>
      <c r="D494" t="s">
        <v>13</v>
      </c>
      <c r="E494" t="s">
        <v>29</v>
      </c>
      <c r="F494" t="s">
        <v>4365</v>
      </c>
      <c r="G494">
        <v>6</v>
      </c>
      <c r="H494">
        <v>1074.22</v>
      </c>
      <c r="I494">
        <v>20</v>
      </c>
      <c r="J494" t="s">
        <v>17</v>
      </c>
      <c r="K494">
        <v>5156.26</v>
      </c>
    </row>
    <row r="495" spans="1:11" x14ac:dyDescent="0.25">
      <c r="A495" t="s">
        <v>1005</v>
      </c>
      <c r="B495" s="1">
        <v>45339</v>
      </c>
      <c r="C495" t="s">
        <v>1006</v>
      </c>
      <c r="D495" t="s">
        <v>36</v>
      </c>
      <c r="E495" t="s">
        <v>3272</v>
      </c>
      <c r="F495" t="s">
        <v>4366</v>
      </c>
      <c r="G495">
        <v>4</v>
      </c>
      <c r="H495">
        <v>113.66</v>
      </c>
      <c r="I495">
        <v>20</v>
      </c>
      <c r="J495" t="s">
        <v>14</v>
      </c>
      <c r="K495">
        <v>363.71</v>
      </c>
    </row>
    <row r="496" spans="1:11" x14ac:dyDescent="0.25">
      <c r="A496" t="s">
        <v>1007</v>
      </c>
      <c r="B496" s="1">
        <v>45437</v>
      </c>
      <c r="C496" t="s">
        <v>1008</v>
      </c>
      <c r="D496" t="s">
        <v>13</v>
      </c>
      <c r="E496" t="s">
        <v>29</v>
      </c>
      <c r="F496" t="s">
        <v>4367</v>
      </c>
      <c r="G496">
        <v>1</v>
      </c>
      <c r="H496">
        <v>1743.68</v>
      </c>
      <c r="I496">
        <v>15</v>
      </c>
      <c r="J496" t="s">
        <v>39</v>
      </c>
      <c r="K496">
        <v>1482.13</v>
      </c>
    </row>
    <row r="497" spans="1:11" x14ac:dyDescent="0.25">
      <c r="A497" t="s">
        <v>1009</v>
      </c>
      <c r="B497" s="1">
        <v>45371</v>
      </c>
      <c r="C497" t="s">
        <v>1010</v>
      </c>
      <c r="D497" t="s">
        <v>13</v>
      </c>
      <c r="E497" t="s">
        <v>3988</v>
      </c>
      <c r="F497" t="s">
        <v>4368</v>
      </c>
      <c r="G497">
        <v>7</v>
      </c>
      <c r="H497">
        <v>176.14</v>
      </c>
      <c r="I497">
        <v>10</v>
      </c>
      <c r="J497" t="s">
        <v>17</v>
      </c>
      <c r="K497">
        <v>1109.68</v>
      </c>
    </row>
    <row r="498" spans="1:11" x14ac:dyDescent="0.25">
      <c r="A498" t="s">
        <v>1011</v>
      </c>
      <c r="B498" s="1">
        <v>45272</v>
      </c>
      <c r="C498" t="s">
        <v>1012</v>
      </c>
      <c r="D498" t="s">
        <v>36</v>
      </c>
      <c r="E498" t="s">
        <v>3988</v>
      </c>
      <c r="F498" t="s">
        <v>4369</v>
      </c>
      <c r="G498">
        <v>9</v>
      </c>
      <c r="H498">
        <v>1913.86</v>
      </c>
      <c r="I498">
        <v>0</v>
      </c>
      <c r="J498" t="s">
        <v>21</v>
      </c>
      <c r="K498">
        <v>17224.740000000002</v>
      </c>
    </row>
    <row r="499" spans="1:11" x14ac:dyDescent="0.25">
      <c r="A499" t="s">
        <v>1013</v>
      </c>
      <c r="B499" s="1">
        <v>45490</v>
      </c>
      <c r="C499" t="s">
        <v>1014</v>
      </c>
      <c r="D499" t="s">
        <v>24</v>
      </c>
      <c r="E499" t="s">
        <v>29</v>
      </c>
      <c r="F499" t="s">
        <v>4367</v>
      </c>
      <c r="G499">
        <v>4</v>
      </c>
      <c r="H499">
        <v>99.03</v>
      </c>
      <c r="I499">
        <v>0</v>
      </c>
      <c r="J499" t="s">
        <v>21</v>
      </c>
      <c r="K499">
        <v>396.12</v>
      </c>
    </row>
    <row r="500" spans="1:11" x14ac:dyDescent="0.25">
      <c r="A500" t="s">
        <v>1015</v>
      </c>
      <c r="B500" s="1">
        <v>45797</v>
      </c>
      <c r="C500" t="s">
        <v>1016</v>
      </c>
      <c r="D500" t="s">
        <v>36</v>
      </c>
      <c r="E500" t="s">
        <v>3988</v>
      </c>
      <c r="F500" t="s">
        <v>4368</v>
      </c>
      <c r="G500">
        <v>4</v>
      </c>
      <c r="H500">
        <v>1404.18</v>
      </c>
      <c r="I500">
        <v>15</v>
      </c>
      <c r="J500" t="s">
        <v>21</v>
      </c>
      <c r="K500">
        <v>4774.21</v>
      </c>
    </row>
    <row r="501" spans="1:11" x14ac:dyDescent="0.25">
      <c r="A501" t="s">
        <v>1017</v>
      </c>
      <c r="B501" s="1">
        <v>45571</v>
      </c>
      <c r="C501" t="s">
        <v>1018</v>
      </c>
      <c r="D501" t="s">
        <v>24</v>
      </c>
      <c r="E501" t="s">
        <v>3272</v>
      </c>
      <c r="F501" t="s">
        <v>4370</v>
      </c>
      <c r="G501">
        <v>6</v>
      </c>
      <c r="H501">
        <v>210.3</v>
      </c>
      <c r="I501">
        <v>15</v>
      </c>
      <c r="J501" t="s">
        <v>14</v>
      </c>
      <c r="K501">
        <v>1072.53</v>
      </c>
    </row>
    <row r="502" spans="1:11" x14ac:dyDescent="0.25">
      <c r="A502" t="s">
        <v>1019</v>
      </c>
      <c r="B502" s="1">
        <v>45696</v>
      </c>
      <c r="C502" t="s">
        <v>1020</v>
      </c>
      <c r="D502" t="s">
        <v>13</v>
      </c>
      <c r="E502" t="s">
        <v>3272</v>
      </c>
      <c r="F502" t="s">
        <v>4371</v>
      </c>
      <c r="G502">
        <v>3</v>
      </c>
      <c r="H502">
        <v>1825.82</v>
      </c>
      <c r="I502">
        <v>10</v>
      </c>
      <c r="J502" t="s">
        <v>21</v>
      </c>
      <c r="K502">
        <v>4929.71</v>
      </c>
    </row>
    <row r="503" spans="1:11" x14ac:dyDescent="0.25">
      <c r="A503" t="s">
        <v>1021</v>
      </c>
      <c r="B503" s="1">
        <v>45384</v>
      </c>
      <c r="C503" t="s">
        <v>1022</v>
      </c>
      <c r="D503" t="s">
        <v>20</v>
      </c>
      <c r="E503" t="s">
        <v>3988</v>
      </c>
      <c r="F503" t="s">
        <v>4137</v>
      </c>
      <c r="G503">
        <v>6</v>
      </c>
      <c r="H503">
        <v>955.64</v>
      </c>
      <c r="I503">
        <v>10</v>
      </c>
      <c r="J503" t="s">
        <v>21</v>
      </c>
      <c r="K503">
        <v>5160.46</v>
      </c>
    </row>
    <row r="504" spans="1:11" x14ac:dyDescent="0.25">
      <c r="A504" t="s">
        <v>1023</v>
      </c>
      <c r="B504" s="1">
        <v>45625</v>
      </c>
      <c r="C504" t="s">
        <v>1024</v>
      </c>
      <c r="D504" t="s">
        <v>36</v>
      </c>
      <c r="E504" t="s">
        <v>3988</v>
      </c>
      <c r="F504" t="s">
        <v>4372</v>
      </c>
      <c r="G504">
        <v>7</v>
      </c>
      <c r="H504">
        <v>318.17</v>
      </c>
      <c r="I504">
        <v>20</v>
      </c>
      <c r="J504" t="s">
        <v>21</v>
      </c>
      <c r="K504">
        <v>1781.75</v>
      </c>
    </row>
    <row r="505" spans="1:11" x14ac:dyDescent="0.25">
      <c r="A505" t="s">
        <v>1025</v>
      </c>
      <c r="B505" s="1">
        <v>45776</v>
      </c>
      <c r="C505" t="s">
        <v>1026</v>
      </c>
      <c r="D505" t="s">
        <v>20</v>
      </c>
      <c r="E505" t="s">
        <v>3988</v>
      </c>
      <c r="F505" t="s">
        <v>4056</v>
      </c>
      <c r="G505">
        <v>3</v>
      </c>
      <c r="H505">
        <v>714.59</v>
      </c>
      <c r="I505">
        <v>5</v>
      </c>
      <c r="J505" t="s">
        <v>14</v>
      </c>
      <c r="K505">
        <v>2036.58</v>
      </c>
    </row>
    <row r="506" spans="1:11" x14ac:dyDescent="0.25">
      <c r="A506" t="s">
        <v>1027</v>
      </c>
      <c r="B506" s="1">
        <v>45657</v>
      </c>
      <c r="C506" t="s">
        <v>1028</v>
      </c>
      <c r="D506" t="s">
        <v>24</v>
      </c>
      <c r="E506" t="s">
        <v>3272</v>
      </c>
      <c r="F506" t="s">
        <v>4371</v>
      </c>
      <c r="G506">
        <v>7</v>
      </c>
      <c r="H506">
        <v>371.41</v>
      </c>
      <c r="I506">
        <v>10</v>
      </c>
      <c r="J506" t="s">
        <v>39</v>
      </c>
      <c r="K506">
        <v>2339.88</v>
      </c>
    </row>
    <row r="507" spans="1:11" x14ac:dyDescent="0.25">
      <c r="A507" t="s">
        <v>1029</v>
      </c>
      <c r="B507" s="1">
        <v>45560</v>
      </c>
      <c r="C507" t="s">
        <v>1030</v>
      </c>
      <c r="D507" t="s">
        <v>36</v>
      </c>
      <c r="E507" t="s">
        <v>3988</v>
      </c>
      <c r="F507" t="s">
        <v>4137</v>
      </c>
      <c r="G507">
        <v>3</v>
      </c>
      <c r="H507">
        <v>382.63</v>
      </c>
      <c r="I507">
        <v>15</v>
      </c>
      <c r="J507" t="s">
        <v>17</v>
      </c>
      <c r="K507">
        <v>975.71</v>
      </c>
    </row>
    <row r="508" spans="1:11" x14ac:dyDescent="0.25">
      <c r="A508" t="s">
        <v>1031</v>
      </c>
      <c r="B508" s="1">
        <v>45156</v>
      </c>
      <c r="C508" t="s">
        <v>1032</v>
      </c>
      <c r="D508" t="s">
        <v>20</v>
      </c>
      <c r="E508" t="s">
        <v>3988</v>
      </c>
      <c r="F508" t="s">
        <v>4372</v>
      </c>
      <c r="G508">
        <v>2</v>
      </c>
      <c r="H508">
        <v>1898.81</v>
      </c>
      <c r="I508">
        <v>10</v>
      </c>
      <c r="J508" t="s">
        <v>21</v>
      </c>
      <c r="K508">
        <v>3417.86</v>
      </c>
    </row>
    <row r="509" spans="1:11" x14ac:dyDescent="0.25">
      <c r="A509" t="s">
        <v>1033</v>
      </c>
      <c r="B509" s="1">
        <v>45668</v>
      </c>
      <c r="C509" t="s">
        <v>1034</v>
      </c>
      <c r="D509" t="s">
        <v>20</v>
      </c>
      <c r="E509" t="s">
        <v>3988</v>
      </c>
      <c r="F509" t="s">
        <v>4056</v>
      </c>
      <c r="G509">
        <v>4</v>
      </c>
      <c r="H509">
        <v>918.23</v>
      </c>
      <c r="I509">
        <v>0</v>
      </c>
      <c r="J509" t="s">
        <v>14</v>
      </c>
      <c r="K509">
        <v>3672.92</v>
      </c>
    </row>
    <row r="510" spans="1:11" x14ac:dyDescent="0.25">
      <c r="A510" t="s">
        <v>1035</v>
      </c>
      <c r="B510" s="1">
        <v>45784</v>
      </c>
      <c r="C510" t="s">
        <v>1036</v>
      </c>
      <c r="D510" t="s">
        <v>36</v>
      </c>
      <c r="E510" t="s">
        <v>3988</v>
      </c>
      <c r="F510" t="s">
        <v>4373</v>
      </c>
      <c r="G510">
        <v>8</v>
      </c>
      <c r="H510">
        <v>1588.16</v>
      </c>
      <c r="I510">
        <v>5</v>
      </c>
      <c r="J510" t="s">
        <v>21</v>
      </c>
      <c r="K510">
        <v>12070.02</v>
      </c>
    </row>
    <row r="511" spans="1:11" x14ac:dyDescent="0.25">
      <c r="A511" t="s">
        <v>1037</v>
      </c>
      <c r="B511" s="1">
        <v>45580</v>
      </c>
      <c r="C511" t="s">
        <v>1038</v>
      </c>
      <c r="D511" t="s">
        <v>20</v>
      </c>
      <c r="E511" t="s">
        <v>3272</v>
      </c>
      <c r="F511" t="s">
        <v>4354</v>
      </c>
      <c r="G511">
        <v>9</v>
      </c>
      <c r="H511">
        <v>1297.23</v>
      </c>
      <c r="I511">
        <v>20</v>
      </c>
      <c r="J511" t="s">
        <v>17</v>
      </c>
      <c r="K511">
        <v>9340.06</v>
      </c>
    </row>
    <row r="512" spans="1:11" x14ac:dyDescent="0.25">
      <c r="A512" t="s">
        <v>1039</v>
      </c>
      <c r="B512" s="1">
        <v>45382</v>
      </c>
      <c r="C512" t="s">
        <v>1040</v>
      </c>
      <c r="D512" t="s">
        <v>36</v>
      </c>
      <c r="E512" t="s">
        <v>3988</v>
      </c>
      <c r="F512" t="s">
        <v>4374</v>
      </c>
      <c r="G512">
        <v>7</v>
      </c>
      <c r="H512">
        <v>1369.03</v>
      </c>
      <c r="I512">
        <v>0</v>
      </c>
      <c r="J512" t="s">
        <v>39</v>
      </c>
      <c r="K512">
        <v>9583.2099999999991</v>
      </c>
    </row>
    <row r="513" spans="1:11" x14ac:dyDescent="0.25">
      <c r="A513" t="s">
        <v>1041</v>
      </c>
      <c r="B513" s="1">
        <v>45873</v>
      </c>
      <c r="C513" t="s">
        <v>1042</v>
      </c>
      <c r="D513" t="s">
        <v>20</v>
      </c>
      <c r="E513" t="s">
        <v>3988</v>
      </c>
      <c r="F513" t="s">
        <v>4300</v>
      </c>
      <c r="G513">
        <v>1</v>
      </c>
      <c r="H513">
        <v>306.8</v>
      </c>
      <c r="I513">
        <v>0</v>
      </c>
      <c r="J513" t="s">
        <v>39</v>
      </c>
      <c r="K513">
        <v>306.8</v>
      </c>
    </row>
    <row r="514" spans="1:11" x14ac:dyDescent="0.25">
      <c r="A514" t="s">
        <v>1043</v>
      </c>
      <c r="B514" s="1">
        <v>45665</v>
      </c>
      <c r="C514" t="s">
        <v>1044</v>
      </c>
      <c r="D514" t="s">
        <v>13</v>
      </c>
      <c r="E514" t="s">
        <v>3988</v>
      </c>
      <c r="F514" t="s">
        <v>4375</v>
      </c>
      <c r="G514">
        <v>3</v>
      </c>
      <c r="H514">
        <v>506.66</v>
      </c>
      <c r="I514">
        <v>5</v>
      </c>
      <c r="J514" t="s">
        <v>21</v>
      </c>
      <c r="K514">
        <v>1443.98</v>
      </c>
    </row>
    <row r="515" spans="1:11" x14ac:dyDescent="0.25">
      <c r="A515" t="s">
        <v>1045</v>
      </c>
      <c r="B515" s="1">
        <v>45230</v>
      </c>
      <c r="C515" t="s">
        <v>1046</v>
      </c>
      <c r="D515" t="s">
        <v>36</v>
      </c>
      <c r="E515" t="s">
        <v>29</v>
      </c>
      <c r="F515" t="s">
        <v>4232</v>
      </c>
      <c r="G515">
        <v>9</v>
      </c>
      <c r="H515">
        <v>1584.16</v>
      </c>
      <c r="I515">
        <v>20</v>
      </c>
      <c r="J515" t="s">
        <v>17</v>
      </c>
      <c r="K515">
        <v>11405.95</v>
      </c>
    </row>
    <row r="516" spans="1:11" x14ac:dyDescent="0.25">
      <c r="A516" t="s">
        <v>1047</v>
      </c>
      <c r="B516" s="1">
        <v>45879</v>
      </c>
      <c r="C516" t="s">
        <v>1048</v>
      </c>
      <c r="D516" t="s">
        <v>13</v>
      </c>
      <c r="E516" t="s">
        <v>3988</v>
      </c>
      <c r="F516" t="s">
        <v>4376</v>
      </c>
      <c r="G516">
        <v>1</v>
      </c>
      <c r="H516">
        <v>1942.99</v>
      </c>
      <c r="I516">
        <v>15</v>
      </c>
      <c r="J516" t="s">
        <v>21</v>
      </c>
      <c r="K516">
        <v>1651.54</v>
      </c>
    </row>
    <row r="517" spans="1:11" x14ac:dyDescent="0.25">
      <c r="A517" t="s">
        <v>1049</v>
      </c>
      <c r="B517" s="1">
        <v>45832</v>
      </c>
      <c r="C517" t="s">
        <v>567</v>
      </c>
      <c r="D517" t="s">
        <v>13</v>
      </c>
      <c r="E517" t="s">
        <v>29</v>
      </c>
      <c r="F517" t="s">
        <v>4312</v>
      </c>
      <c r="G517">
        <v>9</v>
      </c>
      <c r="H517">
        <v>562.22</v>
      </c>
      <c r="I517">
        <v>20</v>
      </c>
      <c r="J517" t="s">
        <v>39</v>
      </c>
      <c r="K517">
        <v>4047.98</v>
      </c>
    </row>
    <row r="518" spans="1:11" x14ac:dyDescent="0.25">
      <c r="A518" t="s">
        <v>1050</v>
      </c>
      <c r="B518" s="1">
        <v>45254</v>
      </c>
      <c r="C518" t="s">
        <v>1051</v>
      </c>
      <c r="D518" t="s">
        <v>20</v>
      </c>
      <c r="E518" t="s">
        <v>3988</v>
      </c>
      <c r="F518" t="s">
        <v>4053</v>
      </c>
      <c r="G518">
        <v>8</v>
      </c>
      <c r="H518">
        <v>579.55999999999995</v>
      </c>
      <c r="I518">
        <v>10</v>
      </c>
      <c r="J518" t="s">
        <v>14</v>
      </c>
      <c r="K518">
        <v>4172.83</v>
      </c>
    </row>
    <row r="519" spans="1:11" x14ac:dyDescent="0.25">
      <c r="A519" t="s">
        <v>1052</v>
      </c>
      <c r="B519" s="1">
        <v>45355</v>
      </c>
      <c r="C519" t="s">
        <v>1053</v>
      </c>
      <c r="D519" t="s">
        <v>24</v>
      </c>
      <c r="E519" t="s">
        <v>3988</v>
      </c>
      <c r="F519" t="s">
        <v>4377</v>
      </c>
      <c r="G519">
        <v>1</v>
      </c>
      <c r="H519">
        <v>972.15</v>
      </c>
      <c r="I519">
        <v>0</v>
      </c>
      <c r="J519" t="s">
        <v>14</v>
      </c>
      <c r="K519">
        <v>972.15</v>
      </c>
    </row>
    <row r="520" spans="1:11" x14ac:dyDescent="0.25">
      <c r="A520" t="s">
        <v>1054</v>
      </c>
      <c r="B520" s="1">
        <v>45239</v>
      </c>
      <c r="C520" t="s">
        <v>1055</v>
      </c>
      <c r="D520" t="s">
        <v>13</v>
      </c>
      <c r="E520" t="s">
        <v>29</v>
      </c>
      <c r="F520" t="s">
        <v>4378</v>
      </c>
      <c r="G520">
        <v>6</v>
      </c>
      <c r="H520">
        <v>1968.49</v>
      </c>
      <c r="I520">
        <v>10</v>
      </c>
      <c r="J520" t="s">
        <v>14</v>
      </c>
      <c r="K520">
        <v>10629.85</v>
      </c>
    </row>
    <row r="521" spans="1:11" x14ac:dyDescent="0.25">
      <c r="A521" t="s">
        <v>1056</v>
      </c>
      <c r="B521" s="1">
        <v>45841</v>
      </c>
      <c r="C521" t="s">
        <v>1057</v>
      </c>
      <c r="D521" t="s">
        <v>13</v>
      </c>
      <c r="E521" t="s">
        <v>3988</v>
      </c>
      <c r="F521" t="s">
        <v>4132</v>
      </c>
      <c r="G521">
        <v>5</v>
      </c>
      <c r="H521">
        <v>574.47</v>
      </c>
      <c r="I521">
        <v>15</v>
      </c>
      <c r="J521" t="s">
        <v>17</v>
      </c>
      <c r="K521">
        <v>2441.5</v>
      </c>
    </row>
    <row r="522" spans="1:11" x14ac:dyDescent="0.25">
      <c r="A522" t="s">
        <v>1058</v>
      </c>
      <c r="B522" s="1">
        <v>45233</v>
      </c>
      <c r="C522" t="s">
        <v>1059</v>
      </c>
      <c r="D522" t="s">
        <v>13</v>
      </c>
      <c r="E522" t="s">
        <v>3272</v>
      </c>
      <c r="F522" t="s">
        <v>4182</v>
      </c>
      <c r="G522">
        <v>6</v>
      </c>
      <c r="H522">
        <v>843.6</v>
      </c>
      <c r="I522">
        <v>10</v>
      </c>
      <c r="J522" t="s">
        <v>17</v>
      </c>
      <c r="K522">
        <v>4555.4399999999996</v>
      </c>
    </row>
    <row r="523" spans="1:11" x14ac:dyDescent="0.25">
      <c r="A523" t="s">
        <v>1060</v>
      </c>
      <c r="B523" s="1">
        <v>45726</v>
      </c>
      <c r="C523" t="s">
        <v>1061</v>
      </c>
      <c r="D523" t="s">
        <v>24</v>
      </c>
      <c r="E523" t="s">
        <v>3988</v>
      </c>
      <c r="F523" t="s">
        <v>4379</v>
      </c>
      <c r="G523">
        <v>5</v>
      </c>
      <c r="H523">
        <v>1788.39</v>
      </c>
      <c r="I523">
        <v>20</v>
      </c>
      <c r="J523" t="s">
        <v>39</v>
      </c>
      <c r="K523">
        <v>7153.56</v>
      </c>
    </row>
    <row r="524" spans="1:11" x14ac:dyDescent="0.25">
      <c r="A524" t="s">
        <v>1062</v>
      </c>
      <c r="B524" s="1">
        <v>45579</v>
      </c>
      <c r="C524" t="s">
        <v>1063</v>
      </c>
      <c r="D524" t="s">
        <v>24</v>
      </c>
      <c r="E524" t="s">
        <v>3272</v>
      </c>
      <c r="F524" t="s">
        <v>4380</v>
      </c>
      <c r="G524">
        <v>6</v>
      </c>
      <c r="H524">
        <v>55.7</v>
      </c>
      <c r="I524">
        <v>10</v>
      </c>
      <c r="J524" t="s">
        <v>17</v>
      </c>
      <c r="K524">
        <v>300.77999999999997</v>
      </c>
    </row>
    <row r="525" spans="1:11" x14ac:dyDescent="0.25">
      <c r="A525" t="s">
        <v>1064</v>
      </c>
      <c r="B525" s="1">
        <v>45270</v>
      </c>
      <c r="C525" t="s">
        <v>1065</v>
      </c>
      <c r="D525" t="s">
        <v>13</v>
      </c>
      <c r="E525" t="s">
        <v>3988</v>
      </c>
      <c r="F525" t="s">
        <v>4381</v>
      </c>
      <c r="G525">
        <v>5</v>
      </c>
      <c r="H525">
        <v>127.54</v>
      </c>
      <c r="I525">
        <v>15</v>
      </c>
      <c r="J525" t="s">
        <v>39</v>
      </c>
      <c r="K525">
        <v>542.04999999999995</v>
      </c>
    </row>
    <row r="526" spans="1:11" x14ac:dyDescent="0.25">
      <c r="A526" t="s">
        <v>1066</v>
      </c>
      <c r="B526" s="1">
        <v>45361</v>
      </c>
      <c r="C526" t="s">
        <v>1067</v>
      </c>
      <c r="D526" t="s">
        <v>24</v>
      </c>
      <c r="E526" t="s">
        <v>29</v>
      </c>
      <c r="F526" t="s">
        <v>4382</v>
      </c>
      <c r="G526">
        <v>5</v>
      </c>
      <c r="H526">
        <v>1227.94</v>
      </c>
      <c r="I526">
        <v>15</v>
      </c>
      <c r="J526" t="s">
        <v>39</v>
      </c>
      <c r="K526">
        <v>5218.75</v>
      </c>
    </row>
    <row r="527" spans="1:11" x14ac:dyDescent="0.25">
      <c r="A527" t="s">
        <v>1068</v>
      </c>
      <c r="B527" s="1">
        <v>45368</v>
      </c>
      <c r="C527" t="s">
        <v>1069</v>
      </c>
      <c r="D527" t="s">
        <v>24</v>
      </c>
      <c r="E527" t="s">
        <v>3988</v>
      </c>
      <c r="F527" t="s">
        <v>4383</v>
      </c>
      <c r="G527">
        <v>4</v>
      </c>
      <c r="H527">
        <v>1819.39</v>
      </c>
      <c r="I527">
        <v>15</v>
      </c>
      <c r="J527" t="s">
        <v>21</v>
      </c>
      <c r="K527">
        <v>6185.93</v>
      </c>
    </row>
    <row r="528" spans="1:11" x14ac:dyDescent="0.25">
      <c r="A528" t="s">
        <v>1070</v>
      </c>
      <c r="B528" s="1">
        <v>45619</v>
      </c>
      <c r="C528" t="s">
        <v>1071</v>
      </c>
      <c r="D528" t="s">
        <v>24</v>
      </c>
      <c r="E528" t="s">
        <v>3988</v>
      </c>
      <c r="F528" t="s">
        <v>4384</v>
      </c>
      <c r="G528">
        <v>3</v>
      </c>
      <c r="H528">
        <v>515.77</v>
      </c>
      <c r="I528">
        <v>20</v>
      </c>
      <c r="J528" t="s">
        <v>14</v>
      </c>
      <c r="K528">
        <v>1237.8499999999999</v>
      </c>
    </row>
    <row r="529" spans="1:11" x14ac:dyDescent="0.25">
      <c r="A529" t="s">
        <v>1072</v>
      </c>
      <c r="B529" s="1">
        <v>45313</v>
      </c>
      <c r="C529" t="s">
        <v>1073</v>
      </c>
      <c r="D529" t="s">
        <v>36</v>
      </c>
      <c r="E529" t="s">
        <v>3272</v>
      </c>
      <c r="F529" t="s">
        <v>4385</v>
      </c>
      <c r="G529">
        <v>3</v>
      </c>
      <c r="H529">
        <v>965.8</v>
      </c>
      <c r="I529">
        <v>15</v>
      </c>
      <c r="J529" t="s">
        <v>14</v>
      </c>
      <c r="K529">
        <v>2462.79</v>
      </c>
    </row>
    <row r="530" spans="1:11" x14ac:dyDescent="0.25">
      <c r="A530" t="s">
        <v>1074</v>
      </c>
      <c r="B530" s="1">
        <v>45707</v>
      </c>
      <c r="C530" t="s">
        <v>1075</v>
      </c>
      <c r="D530" t="s">
        <v>13</v>
      </c>
      <c r="E530" t="s">
        <v>29</v>
      </c>
      <c r="F530" t="s">
        <v>4090</v>
      </c>
      <c r="G530">
        <v>4</v>
      </c>
      <c r="H530">
        <v>928.41</v>
      </c>
      <c r="I530">
        <v>0</v>
      </c>
      <c r="J530" t="s">
        <v>39</v>
      </c>
      <c r="K530">
        <v>3713.64</v>
      </c>
    </row>
    <row r="531" spans="1:11" x14ac:dyDescent="0.25">
      <c r="A531" t="s">
        <v>1076</v>
      </c>
      <c r="B531" s="1">
        <v>45416</v>
      </c>
      <c r="C531" t="s">
        <v>1077</v>
      </c>
      <c r="D531" t="s">
        <v>24</v>
      </c>
      <c r="E531" t="s">
        <v>3988</v>
      </c>
      <c r="F531" t="s">
        <v>4386</v>
      </c>
      <c r="G531">
        <v>9</v>
      </c>
      <c r="H531">
        <v>972.29</v>
      </c>
      <c r="I531">
        <v>15</v>
      </c>
      <c r="J531" t="s">
        <v>17</v>
      </c>
      <c r="K531">
        <v>7438.02</v>
      </c>
    </row>
    <row r="532" spans="1:11" x14ac:dyDescent="0.25">
      <c r="A532" t="s">
        <v>1078</v>
      </c>
      <c r="B532" s="1">
        <v>45308</v>
      </c>
      <c r="C532" t="s">
        <v>1079</v>
      </c>
      <c r="D532" t="s">
        <v>36</v>
      </c>
      <c r="E532" t="s">
        <v>29</v>
      </c>
      <c r="F532" t="s">
        <v>4387</v>
      </c>
      <c r="G532">
        <v>2</v>
      </c>
      <c r="H532">
        <v>1263.9100000000001</v>
      </c>
      <c r="I532">
        <v>10</v>
      </c>
      <c r="J532" t="s">
        <v>39</v>
      </c>
      <c r="K532">
        <v>2275.04</v>
      </c>
    </row>
    <row r="533" spans="1:11" x14ac:dyDescent="0.25">
      <c r="A533" t="s">
        <v>1080</v>
      </c>
      <c r="B533" s="1">
        <v>45683</v>
      </c>
      <c r="C533" t="s">
        <v>1081</v>
      </c>
      <c r="D533" t="s">
        <v>20</v>
      </c>
      <c r="E533" t="s">
        <v>29</v>
      </c>
      <c r="F533" t="s">
        <v>4261</v>
      </c>
      <c r="G533">
        <v>9</v>
      </c>
      <c r="H533">
        <v>966</v>
      </c>
      <c r="I533">
        <v>10</v>
      </c>
      <c r="J533" t="s">
        <v>14</v>
      </c>
      <c r="K533">
        <v>7824.6</v>
      </c>
    </row>
    <row r="534" spans="1:11" x14ac:dyDescent="0.25">
      <c r="A534" t="s">
        <v>1082</v>
      </c>
      <c r="B534" s="1">
        <v>45642</v>
      </c>
      <c r="C534" t="s">
        <v>1083</v>
      </c>
      <c r="D534" t="s">
        <v>20</v>
      </c>
      <c r="E534" t="s">
        <v>3988</v>
      </c>
      <c r="F534" t="s">
        <v>4388</v>
      </c>
      <c r="G534">
        <v>1</v>
      </c>
      <c r="H534">
        <v>922.56</v>
      </c>
      <c r="I534">
        <v>10</v>
      </c>
      <c r="J534" t="s">
        <v>21</v>
      </c>
      <c r="K534">
        <v>830.3</v>
      </c>
    </row>
    <row r="535" spans="1:11" x14ac:dyDescent="0.25">
      <c r="A535" t="s">
        <v>1084</v>
      </c>
      <c r="B535" s="1">
        <v>45812</v>
      </c>
      <c r="C535" t="s">
        <v>1085</v>
      </c>
      <c r="D535" t="s">
        <v>24</v>
      </c>
      <c r="E535" t="s">
        <v>3988</v>
      </c>
      <c r="F535" t="s">
        <v>4220</v>
      </c>
      <c r="G535">
        <v>1</v>
      </c>
      <c r="H535">
        <v>974.86</v>
      </c>
      <c r="I535">
        <v>20</v>
      </c>
      <c r="J535" t="s">
        <v>14</v>
      </c>
      <c r="K535">
        <v>779.89</v>
      </c>
    </row>
    <row r="536" spans="1:11" x14ac:dyDescent="0.25">
      <c r="A536" t="s">
        <v>1086</v>
      </c>
      <c r="B536" s="1">
        <v>45355</v>
      </c>
      <c r="C536" t="s">
        <v>1087</v>
      </c>
      <c r="D536" t="s">
        <v>13</v>
      </c>
      <c r="E536" t="s">
        <v>3988</v>
      </c>
      <c r="F536" t="s">
        <v>4388</v>
      </c>
      <c r="G536">
        <v>5</v>
      </c>
      <c r="H536">
        <v>1202.19</v>
      </c>
      <c r="I536">
        <v>10</v>
      </c>
      <c r="J536" t="s">
        <v>39</v>
      </c>
      <c r="K536">
        <v>5409.86</v>
      </c>
    </row>
    <row r="537" spans="1:11" x14ac:dyDescent="0.25">
      <c r="A537" t="s">
        <v>1088</v>
      </c>
      <c r="B537" s="1">
        <v>45542</v>
      </c>
      <c r="C537" t="s">
        <v>1089</v>
      </c>
      <c r="D537" t="s">
        <v>24</v>
      </c>
      <c r="E537" t="s">
        <v>3272</v>
      </c>
      <c r="F537" t="s">
        <v>4389</v>
      </c>
      <c r="G537">
        <v>6</v>
      </c>
      <c r="H537">
        <v>1097.1600000000001</v>
      </c>
      <c r="I537">
        <v>20</v>
      </c>
      <c r="J537" t="s">
        <v>39</v>
      </c>
      <c r="K537">
        <v>5266.37</v>
      </c>
    </row>
    <row r="538" spans="1:11" x14ac:dyDescent="0.25">
      <c r="A538" t="s">
        <v>1090</v>
      </c>
      <c r="B538" s="1">
        <v>45529</v>
      </c>
      <c r="C538" t="s">
        <v>1091</v>
      </c>
      <c r="D538" t="s">
        <v>20</v>
      </c>
      <c r="E538" t="s">
        <v>3988</v>
      </c>
      <c r="F538" t="s">
        <v>4220</v>
      </c>
      <c r="G538">
        <v>6</v>
      </c>
      <c r="H538">
        <v>1715.57</v>
      </c>
      <c r="I538">
        <v>20</v>
      </c>
      <c r="J538" t="s">
        <v>14</v>
      </c>
      <c r="K538">
        <v>8234.74</v>
      </c>
    </row>
    <row r="539" spans="1:11" x14ac:dyDescent="0.25">
      <c r="A539" t="s">
        <v>1092</v>
      </c>
      <c r="B539" s="1">
        <v>45345</v>
      </c>
      <c r="C539" t="s">
        <v>1093</v>
      </c>
      <c r="D539" t="s">
        <v>13</v>
      </c>
      <c r="E539" t="s">
        <v>3988</v>
      </c>
      <c r="F539" t="s">
        <v>4390</v>
      </c>
      <c r="G539">
        <v>3</v>
      </c>
      <c r="H539">
        <v>146.52000000000001</v>
      </c>
      <c r="I539">
        <v>15</v>
      </c>
      <c r="J539" t="s">
        <v>14</v>
      </c>
      <c r="K539">
        <v>373.63</v>
      </c>
    </row>
    <row r="540" spans="1:11" x14ac:dyDescent="0.25">
      <c r="A540" t="s">
        <v>1094</v>
      </c>
      <c r="B540" s="1">
        <v>45853</v>
      </c>
      <c r="C540" t="s">
        <v>1095</v>
      </c>
      <c r="D540" t="s">
        <v>13</v>
      </c>
      <c r="E540" t="s">
        <v>3988</v>
      </c>
      <c r="F540" t="s">
        <v>4391</v>
      </c>
      <c r="G540">
        <v>7</v>
      </c>
      <c r="H540">
        <v>1674.97</v>
      </c>
      <c r="I540">
        <v>0</v>
      </c>
      <c r="J540" t="s">
        <v>17</v>
      </c>
      <c r="K540">
        <v>11724.79</v>
      </c>
    </row>
    <row r="541" spans="1:11" x14ac:dyDescent="0.25">
      <c r="A541" t="s">
        <v>1096</v>
      </c>
      <c r="B541" s="1">
        <v>45855</v>
      </c>
      <c r="C541" t="s">
        <v>1097</v>
      </c>
      <c r="D541" t="s">
        <v>20</v>
      </c>
      <c r="E541" t="s">
        <v>3988</v>
      </c>
      <c r="F541" t="s">
        <v>4392</v>
      </c>
      <c r="G541">
        <v>9</v>
      </c>
      <c r="H541">
        <v>1695.65</v>
      </c>
      <c r="I541">
        <v>15</v>
      </c>
      <c r="J541" t="s">
        <v>21</v>
      </c>
      <c r="K541">
        <v>12971.72</v>
      </c>
    </row>
    <row r="542" spans="1:11" x14ac:dyDescent="0.25">
      <c r="A542" t="s">
        <v>1098</v>
      </c>
      <c r="B542" s="1">
        <v>45807</v>
      </c>
      <c r="C542" t="s">
        <v>1099</v>
      </c>
      <c r="D542" t="s">
        <v>36</v>
      </c>
      <c r="E542" t="s">
        <v>3272</v>
      </c>
      <c r="F542" t="s">
        <v>4393</v>
      </c>
      <c r="G542">
        <v>8</v>
      </c>
      <c r="H542">
        <v>605.57000000000005</v>
      </c>
      <c r="I542">
        <v>15</v>
      </c>
      <c r="J542" t="s">
        <v>14</v>
      </c>
      <c r="K542">
        <v>4117.88</v>
      </c>
    </row>
    <row r="543" spans="1:11" x14ac:dyDescent="0.25">
      <c r="A543" t="s">
        <v>1100</v>
      </c>
      <c r="B543" s="1">
        <v>45189</v>
      </c>
      <c r="C543" t="s">
        <v>1101</v>
      </c>
      <c r="D543" t="s">
        <v>36</v>
      </c>
      <c r="E543" t="s">
        <v>3988</v>
      </c>
      <c r="F543" t="s">
        <v>4209</v>
      </c>
      <c r="G543">
        <v>6</v>
      </c>
      <c r="H543">
        <v>952.56</v>
      </c>
      <c r="I543">
        <v>20</v>
      </c>
      <c r="J543" t="s">
        <v>21</v>
      </c>
      <c r="K543">
        <v>4572.29</v>
      </c>
    </row>
    <row r="544" spans="1:11" x14ac:dyDescent="0.25">
      <c r="A544" t="s">
        <v>1102</v>
      </c>
      <c r="B544" s="1">
        <v>45221</v>
      </c>
      <c r="C544" t="s">
        <v>1103</v>
      </c>
      <c r="D544" t="s">
        <v>24</v>
      </c>
      <c r="E544" t="s">
        <v>29</v>
      </c>
      <c r="F544" t="s">
        <v>4165</v>
      </c>
      <c r="G544">
        <v>8</v>
      </c>
      <c r="H544">
        <v>905.15</v>
      </c>
      <c r="I544">
        <v>20</v>
      </c>
      <c r="J544" t="s">
        <v>21</v>
      </c>
      <c r="K544">
        <v>5792.96</v>
      </c>
    </row>
    <row r="545" spans="1:11" x14ac:dyDescent="0.25">
      <c r="A545" t="s">
        <v>1104</v>
      </c>
      <c r="B545" s="1">
        <v>45642</v>
      </c>
      <c r="C545" t="s">
        <v>1105</v>
      </c>
      <c r="D545" t="s">
        <v>13</v>
      </c>
      <c r="E545" t="s">
        <v>3988</v>
      </c>
      <c r="F545" t="s">
        <v>4209</v>
      </c>
      <c r="G545">
        <v>5</v>
      </c>
      <c r="H545">
        <v>476.09</v>
      </c>
      <c r="I545">
        <v>10</v>
      </c>
      <c r="J545" t="s">
        <v>17</v>
      </c>
      <c r="K545">
        <v>2142.4</v>
      </c>
    </row>
    <row r="546" spans="1:11" x14ac:dyDescent="0.25">
      <c r="A546" t="s">
        <v>1106</v>
      </c>
      <c r="B546" s="1">
        <v>45479</v>
      </c>
      <c r="C546" t="s">
        <v>1107</v>
      </c>
      <c r="D546" t="s">
        <v>24</v>
      </c>
      <c r="E546" t="s">
        <v>29</v>
      </c>
      <c r="F546" t="s">
        <v>4382</v>
      </c>
      <c r="G546">
        <v>8</v>
      </c>
      <c r="H546">
        <v>823.75</v>
      </c>
      <c r="I546">
        <v>10</v>
      </c>
      <c r="J546" t="s">
        <v>39</v>
      </c>
      <c r="K546">
        <v>5931</v>
      </c>
    </row>
    <row r="547" spans="1:11" x14ac:dyDescent="0.25">
      <c r="A547" t="s">
        <v>1108</v>
      </c>
      <c r="B547" s="1">
        <v>45794</v>
      </c>
      <c r="C547" t="s">
        <v>1109</v>
      </c>
      <c r="D547" t="s">
        <v>13</v>
      </c>
      <c r="E547" t="s">
        <v>29</v>
      </c>
      <c r="F547" t="s">
        <v>4394</v>
      </c>
      <c r="G547">
        <v>4</v>
      </c>
      <c r="H547">
        <v>136.56</v>
      </c>
      <c r="I547">
        <v>15</v>
      </c>
      <c r="J547" t="s">
        <v>21</v>
      </c>
      <c r="K547">
        <v>464.3</v>
      </c>
    </row>
    <row r="548" spans="1:11" x14ac:dyDescent="0.25">
      <c r="A548" t="s">
        <v>1110</v>
      </c>
      <c r="B548" s="1">
        <v>45364</v>
      </c>
      <c r="C548" t="s">
        <v>1111</v>
      </c>
      <c r="D548" t="s">
        <v>20</v>
      </c>
      <c r="E548" t="s">
        <v>29</v>
      </c>
      <c r="F548" t="s">
        <v>4200</v>
      </c>
      <c r="G548">
        <v>8</v>
      </c>
      <c r="H548">
        <v>591.75</v>
      </c>
      <c r="I548">
        <v>5</v>
      </c>
      <c r="J548" t="s">
        <v>21</v>
      </c>
      <c r="K548">
        <v>4497.3</v>
      </c>
    </row>
    <row r="549" spans="1:11" x14ac:dyDescent="0.25">
      <c r="A549" t="s">
        <v>1112</v>
      </c>
      <c r="B549" s="1">
        <v>45184</v>
      </c>
      <c r="C549" t="s">
        <v>1113</v>
      </c>
      <c r="D549" t="s">
        <v>13</v>
      </c>
      <c r="E549" t="s">
        <v>3988</v>
      </c>
      <c r="F549" t="s">
        <v>4395</v>
      </c>
      <c r="G549">
        <v>2</v>
      </c>
      <c r="H549">
        <v>1642.53</v>
      </c>
      <c r="I549">
        <v>5</v>
      </c>
      <c r="J549" t="s">
        <v>21</v>
      </c>
      <c r="K549">
        <v>3120.81</v>
      </c>
    </row>
    <row r="550" spans="1:11" x14ac:dyDescent="0.25">
      <c r="A550" t="s">
        <v>1114</v>
      </c>
      <c r="B550" s="1">
        <v>45152</v>
      </c>
      <c r="C550" t="s">
        <v>1115</v>
      </c>
      <c r="D550" t="s">
        <v>13</v>
      </c>
      <c r="E550" t="s">
        <v>3988</v>
      </c>
      <c r="F550" t="s">
        <v>4396</v>
      </c>
      <c r="G550">
        <v>5</v>
      </c>
      <c r="H550">
        <v>604.9</v>
      </c>
      <c r="I550">
        <v>10</v>
      </c>
      <c r="J550" t="s">
        <v>21</v>
      </c>
      <c r="K550">
        <v>2722.05</v>
      </c>
    </row>
    <row r="551" spans="1:11" x14ac:dyDescent="0.25">
      <c r="A551" t="s">
        <v>1116</v>
      </c>
      <c r="B551" s="1">
        <v>45409</v>
      </c>
      <c r="C551" t="s">
        <v>1117</v>
      </c>
      <c r="D551" t="s">
        <v>20</v>
      </c>
      <c r="E551" t="s">
        <v>3272</v>
      </c>
      <c r="F551" t="s">
        <v>4397</v>
      </c>
      <c r="G551">
        <v>9</v>
      </c>
      <c r="H551">
        <v>1645.5</v>
      </c>
      <c r="I551">
        <v>5</v>
      </c>
      <c r="J551" t="s">
        <v>39</v>
      </c>
      <c r="K551">
        <v>14069.02</v>
      </c>
    </row>
    <row r="552" spans="1:11" x14ac:dyDescent="0.25">
      <c r="A552" t="s">
        <v>1118</v>
      </c>
      <c r="B552" s="1">
        <v>45748</v>
      </c>
      <c r="C552" t="s">
        <v>1119</v>
      </c>
      <c r="D552" t="s">
        <v>36</v>
      </c>
      <c r="E552" t="s">
        <v>3988</v>
      </c>
      <c r="F552" t="s">
        <v>4170</v>
      </c>
      <c r="G552">
        <v>4</v>
      </c>
      <c r="H552">
        <v>1086.6199999999999</v>
      </c>
      <c r="I552">
        <v>10</v>
      </c>
      <c r="J552" t="s">
        <v>17</v>
      </c>
      <c r="K552">
        <v>3911.83</v>
      </c>
    </row>
    <row r="553" spans="1:11" x14ac:dyDescent="0.25">
      <c r="A553" t="s">
        <v>1120</v>
      </c>
      <c r="B553" s="1">
        <v>45251</v>
      </c>
      <c r="C553" t="s">
        <v>1121</v>
      </c>
      <c r="D553" t="s">
        <v>20</v>
      </c>
      <c r="E553" t="s">
        <v>29</v>
      </c>
      <c r="F553" t="s">
        <v>4398</v>
      </c>
      <c r="G553">
        <v>6</v>
      </c>
      <c r="H553">
        <v>1765.73</v>
      </c>
      <c r="I553">
        <v>20</v>
      </c>
      <c r="J553" t="s">
        <v>21</v>
      </c>
      <c r="K553">
        <v>8475.5</v>
      </c>
    </row>
    <row r="554" spans="1:11" x14ac:dyDescent="0.25">
      <c r="A554" t="s">
        <v>1122</v>
      </c>
      <c r="B554" s="1">
        <v>45644</v>
      </c>
      <c r="C554" t="s">
        <v>1123</v>
      </c>
      <c r="D554" t="s">
        <v>13</v>
      </c>
      <c r="E554" t="s">
        <v>3988</v>
      </c>
      <c r="F554" t="s">
        <v>4375</v>
      </c>
      <c r="G554">
        <v>1</v>
      </c>
      <c r="H554">
        <v>1170.82</v>
      </c>
      <c r="I554">
        <v>15</v>
      </c>
      <c r="J554" t="s">
        <v>14</v>
      </c>
      <c r="K554">
        <v>995.2</v>
      </c>
    </row>
    <row r="555" spans="1:11" x14ac:dyDescent="0.25">
      <c r="A555" t="s">
        <v>1124</v>
      </c>
      <c r="B555" s="1">
        <v>45353</v>
      </c>
      <c r="C555" t="s">
        <v>1125</v>
      </c>
      <c r="D555" t="s">
        <v>20</v>
      </c>
      <c r="E555" t="s">
        <v>3988</v>
      </c>
      <c r="F555" t="s">
        <v>4399</v>
      </c>
      <c r="G555">
        <v>9</v>
      </c>
      <c r="H555">
        <v>107.85</v>
      </c>
      <c r="I555">
        <v>0</v>
      </c>
      <c r="J555" t="s">
        <v>39</v>
      </c>
      <c r="K555">
        <v>970.65</v>
      </c>
    </row>
    <row r="556" spans="1:11" x14ac:dyDescent="0.25">
      <c r="A556" t="s">
        <v>1126</v>
      </c>
      <c r="B556" s="1">
        <v>45275</v>
      </c>
      <c r="C556" t="s">
        <v>1127</v>
      </c>
      <c r="D556" t="s">
        <v>13</v>
      </c>
      <c r="E556" t="s">
        <v>3272</v>
      </c>
      <c r="F556" t="s">
        <v>4400</v>
      </c>
      <c r="G556">
        <v>1</v>
      </c>
      <c r="H556">
        <v>1367.07</v>
      </c>
      <c r="I556">
        <v>15</v>
      </c>
      <c r="J556" t="s">
        <v>17</v>
      </c>
      <c r="K556">
        <v>1162.01</v>
      </c>
    </row>
    <row r="557" spans="1:11" x14ac:dyDescent="0.25">
      <c r="A557" t="s">
        <v>1128</v>
      </c>
      <c r="B557" s="1">
        <v>45725</v>
      </c>
      <c r="C557" t="s">
        <v>1129</v>
      </c>
      <c r="D557" t="s">
        <v>36</v>
      </c>
      <c r="E557" t="s">
        <v>29</v>
      </c>
      <c r="F557" t="s">
        <v>4401</v>
      </c>
      <c r="G557">
        <v>5</v>
      </c>
      <c r="H557">
        <v>137.46</v>
      </c>
      <c r="I557">
        <v>10</v>
      </c>
      <c r="J557" t="s">
        <v>14</v>
      </c>
      <c r="K557">
        <v>618.57000000000005</v>
      </c>
    </row>
    <row r="558" spans="1:11" x14ac:dyDescent="0.25">
      <c r="A558" t="s">
        <v>1130</v>
      </c>
      <c r="B558" s="1">
        <v>45493</v>
      </c>
      <c r="C558" t="s">
        <v>1131</v>
      </c>
      <c r="D558" t="s">
        <v>36</v>
      </c>
      <c r="E558" t="s">
        <v>3988</v>
      </c>
      <c r="F558" t="s">
        <v>4095</v>
      </c>
      <c r="G558">
        <v>4</v>
      </c>
      <c r="H558">
        <v>928.66</v>
      </c>
      <c r="I558">
        <v>10</v>
      </c>
      <c r="J558" t="s">
        <v>14</v>
      </c>
      <c r="K558">
        <v>3343.18</v>
      </c>
    </row>
    <row r="559" spans="1:11" x14ac:dyDescent="0.25">
      <c r="A559" t="s">
        <v>1132</v>
      </c>
      <c r="B559" s="1">
        <v>45578</v>
      </c>
      <c r="C559" t="s">
        <v>1133</v>
      </c>
      <c r="D559" t="s">
        <v>13</v>
      </c>
      <c r="E559" t="s">
        <v>3988</v>
      </c>
      <c r="F559" t="s">
        <v>4402</v>
      </c>
      <c r="G559">
        <v>3</v>
      </c>
      <c r="H559">
        <v>1862.38</v>
      </c>
      <c r="I559">
        <v>15</v>
      </c>
      <c r="J559" t="s">
        <v>14</v>
      </c>
      <c r="K559">
        <v>4749.07</v>
      </c>
    </row>
    <row r="560" spans="1:11" x14ac:dyDescent="0.25">
      <c r="A560" t="s">
        <v>1134</v>
      </c>
      <c r="B560" s="1">
        <v>45698</v>
      </c>
      <c r="C560" t="s">
        <v>1135</v>
      </c>
      <c r="D560" t="s">
        <v>36</v>
      </c>
      <c r="E560" t="s">
        <v>3988</v>
      </c>
      <c r="F560" t="s">
        <v>4403</v>
      </c>
      <c r="G560">
        <v>6</v>
      </c>
      <c r="H560">
        <v>372.15</v>
      </c>
      <c r="I560">
        <v>10</v>
      </c>
      <c r="J560" t="s">
        <v>21</v>
      </c>
      <c r="K560">
        <v>2009.61</v>
      </c>
    </row>
    <row r="561" spans="1:11" x14ac:dyDescent="0.25">
      <c r="A561" t="s">
        <v>1136</v>
      </c>
      <c r="B561" s="1">
        <v>45482</v>
      </c>
      <c r="C561" t="s">
        <v>1137</v>
      </c>
      <c r="D561" t="s">
        <v>20</v>
      </c>
      <c r="E561" t="s">
        <v>29</v>
      </c>
      <c r="F561" t="s">
        <v>4404</v>
      </c>
      <c r="G561">
        <v>2</v>
      </c>
      <c r="H561">
        <v>810.25</v>
      </c>
      <c r="I561">
        <v>5</v>
      </c>
      <c r="J561" t="s">
        <v>21</v>
      </c>
      <c r="K561">
        <v>1539.48</v>
      </c>
    </row>
    <row r="562" spans="1:11" x14ac:dyDescent="0.25">
      <c r="A562" t="s">
        <v>1138</v>
      </c>
      <c r="B562" s="1">
        <v>45585</v>
      </c>
      <c r="C562" t="s">
        <v>1139</v>
      </c>
      <c r="D562" t="s">
        <v>36</v>
      </c>
      <c r="E562" t="s">
        <v>3272</v>
      </c>
      <c r="F562" t="s">
        <v>4148</v>
      </c>
      <c r="G562">
        <v>3</v>
      </c>
      <c r="H562">
        <v>1473.23</v>
      </c>
      <c r="I562">
        <v>5</v>
      </c>
      <c r="J562" t="s">
        <v>14</v>
      </c>
      <c r="K562">
        <v>4198.71</v>
      </c>
    </row>
    <row r="563" spans="1:11" x14ac:dyDescent="0.25">
      <c r="A563" t="s">
        <v>1140</v>
      </c>
      <c r="B563" s="1">
        <v>45157</v>
      </c>
      <c r="C563" t="s">
        <v>1141</v>
      </c>
      <c r="D563" t="s">
        <v>24</v>
      </c>
      <c r="E563" t="s">
        <v>29</v>
      </c>
      <c r="F563" t="s">
        <v>4265</v>
      </c>
      <c r="G563">
        <v>5</v>
      </c>
      <c r="H563">
        <v>1770.4</v>
      </c>
      <c r="I563">
        <v>10</v>
      </c>
      <c r="J563" t="s">
        <v>17</v>
      </c>
      <c r="K563">
        <v>7966.8</v>
      </c>
    </row>
    <row r="564" spans="1:11" x14ac:dyDescent="0.25">
      <c r="A564" t="s">
        <v>1142</v>
      </c>
      <c r="B564" s="1">
        <v>45236</v>
      </c>
      <c r="C564" t="s">
        <v>1143</v>
      </c>
      <c r="D564" t="s">
        <v>36</v>
      </c>
      <c r="E564" t="s">
        <v>3272</v>
      </c>
      <c r="F564" t="s">
        <v>4405</v>
      </c>
      <c r="G564">
        <v>9</v>
      </c>
      <c r="H564">
        <v>1358.34</v>
      </c>
      <c r="I564">
        <v>10</v>
      </c>
      <c r="J564" t="s">
        <v>21</v>
      </c>
      <c r="K564">
        <v>11002.55</v>
      </c>
    </row>
    <row r="565" spans="1:11" x14ac:dyDescent="0.25">
      <c r="A565" t="s">
        <v>1144</v>
      </c>
      <c r="B565" s="1">
        <v>45208</v>
      </c>
      <c r="C565" t="s">
        <v>1145</v>
      </c>
      <c r="D565" t="s">
        <v>24</v>
      </c>
      <c r="E565" t="s">
        <v>3988</v>
      </c>
      <c r="F565" t="s">
        <v>4406</v>
      </c>
      <c r="G565">
        <v>2</v>
      </c>
      <c r="H565">
        <v>553.44000000000005</v>
      </c>
      <c r="I565">
        <v>5</v>
      </c>
      <c r="J565" t="s">
        <v>17</v>
      </c>
      <c r="K565">
        <v>1051.54</v>
      </c>
    </row>
    <row r="566" spans="1:11" x14ac:dyDescent="0.25">
      <c r="A566" t="s">
        <v>1146</v>
      </c>
      <c r="B566" s="1">
        <v>45835</v>
      </c>
      <c r="C566" t="s">
        <v>1147</v>
      </c>
      <c r="D566" t="s">
        <v>20</v>
      </c>
      <c r="E566" t="s">
        <v>3988</v>
      </c>
      <c r="F566" t="s">
        <v>4407</v>
      </c>
      <c r="G566">
        <v>8</v>
      </c>
      <c r="H566">
        <v>1365.49</v>
      </c>
      <c r="I566">
        <v>10</v>
      </c>
      <c r="J566" t="s">
        <v>21</v>
      </c>
      <c r="K566">
        <v>9831.5300000000007</v>
      </c>
    </row>
    <row r="567" spans="1:11" x14ac:dyDescent="0.25">
      <c r="A567" t="s">
        <v>1148</v>
      </c>
      <c r="B567" s="1">
        <v>45686</v>
      </c>
      <c r="C567" t="s">
        <v>1149</v>
      </c>
      <c r="D567" t="s">
        <v>36</v>
      </c>
      <c r="E567" t="s">
        <v>3988</v>
      </c>
      <c r="F567" t="s">
        <v>4408</v>
      </c>
      <c r="G567">
        <v>2</v>
      </c>
      <c r="H567">
        <v>628.62</v>
      </c>
      <c r="I567">
        <v>10</v>
      </c>
      <c r="J567" t="s">
        <v>21</v>
      </c>
      <c r="K567">
        <v>1131.52</v>
      </c>
    </row>
    <row r="568" spans="1:11" x14ac:dyDescent="0.25">
      <c r="A568" t="s">
        <v>1150</v>
      </c>
      <c r="B568" s="1">
        <v>45852</v>
      </c>
      <c r="C568" t="s">
        <v>1151</v>
      </c>
      <c r="D568" t="s">
        <v>36</v>
      </c>
      <c r="E568" t="s">
        <v>3988</v>
      </c>
      <c r="F568" t="s">
        <v>4409</v>
      </c>
      <c r="G568">
        <v>5</v>
      </c>
      <c r="H568">
        <v>1450.94</v>
      </c>
      <c r="I568">
        <v>15</v>
      </c>
      <c r="J568" t="s">
        <v>21</v>
      </c>
      <c r="K568">
        <v>6166.5</v>
      </c>
    </row>
    <row r="569" spans="1:11" x14ac:dyDescent="0.25">
      <c r="A569" t="s">
        <v>1152</v>
      </c>
      <c r="B569" s="1">
        <v>45265</v>
      </c>
      <c r="C569" t="s">
        <v>1153</v>
      </c>
      <c r="D569" t="s">
        <v>36</v>
      </c>
      <c r="E569" t="s">
        <v>3988</v>
      </c>
      <c r="F569" t="s">
        <v>4410</v>
      </c>
      <c r="G569">
        <v>7</v>
      </c>
      <c r="H569">
        <v>1910.36</v>
      </c>
      <c r="I569">
        <v>0</v>
      </c>
      <c r="J569" t="s">
        <v>17</v>
      </c>
      <c r="K569">
        <v>13372.52</v>
      </c>
    </row>
    <row r="570" spans="1:11" x14ac:dyDescent="0.25">
      <c r="A570" t="s">
        <v>1154</v>
      </c>
      <c r="B570" s="1">
        <v>45573</v>
      </c>
      <c r="C570" t="s">
        <v>1155</v>
      </c>
      <c r="D570" t="s">
        <v>20</v>
      </c>
      <c r="E570" t="s">
        <v>3272</v>
      </c>
      <c r="F570" t="s">
        <v>4411</v>
      </c>
      <c r="G570">
        <v>8</v>
      </c>
      <c r="H570">
        <v>1456.72</v>
      </c>
      <c r="I570">
        <v>5</v>
      </c>
      <c r="J570" t="s">
        <v>21</v>
      </c>
      <c r="K570">
        <v>11071.07</v>
      </c>
    </row>
    <row r="571" spans="1:11" x14ac:dyDescent="0.25">
      <c r="A571" t="s">
        <v>1156</v>
      </c>
      <c r="B571" s="1">
        <v>45177</v>
      </c>
      <c r="C571" t="s">
        <v>1157</v>
      </c>
      <c r="D571" t="s">
        <v>20</v>
      </c>
      <c r="E571" t="s">
        <v>3988</v>
      </c>
      <c r="F571" t="s">
        <v>4241</v>
      </c>
      <c r="G571">
        <v>1</v>
      </c>
      <c r="H571">
        <v>1732.62</v>
      </c>
      <c r="I571">
        <v>15</v>
      </c>
      <c r="J571" t="s">
        <v>17</v>
      </c>
      <c r="K571">
        <v>1472.73</v>
      </c>
    </row>
    <row r="572" spans="1:11" x14ac:dyDescent="0.25">
      <c r="A572" t="s">
        <v>1158</v>
      </c>
      <c r="B572" s="1">
        <v>45798</v>
      </c>
      <c r="C572" t="s">
        <v>1159</v>
      </c>
      <c r="D572" t="s">
        <v>24</v>
      </c>
      <c r="E572" t="s">
        <v>3988</v>
      </c>
      <c r="F572" t="s">
        <v>4008</v>
      </c>
      <c r="G572">
        <v>6</v>
      </c>
      <c r="H572">
        <v>54.1</v>
      </c>
      <c r="I572">
        <v>0</v>
      </c>
      <c r="J572" t="s">
        <v>21</v>
      </c>
      <c r="K572">
        <v>324.60000000000002</v>
      </c>
    </row>
    <row r="573" spans="1:11" x14ac:dyDescent="0.25">
      <c r="A573" t="s">
        <v>1160</v>
      </c>
      <c r="B573" s="1">
        <v>45436</v>
      </c>
      <c r="C573" t="s">
        <v>1161</v>
      </c>
      <c r="D573" t="s">
        <v>13</v>
      </c>
      <c r="E573" t="s">
        <v>3988</v>
      </c>
      <c r="F573" t="s">
        <v>4412</v>
      </c>
      <c r="G573">
        <v>1</v>
      </c>
      <c r="H573">
        <v>1449.27</v>
      </c>
      <c r="I573">
        <v>10</v>
      </c>
      <c r="J573" t="s">
        <v>39</v>
      </c>
      <c r="K573">
        <v>1304.3399999999999</v>
      </c>
    </row>
    <row r="574" spans="1:11" x14ac:dyDescent="0.25">
      <c r="A574" t="s">
        <v>1162</v>
      </c>
      <c r="B574" s="1">
        <v>45602</v>
      </c>
      <c r="C574" t="s">
        <v>1163</v>
      </c>
      <c r="D574" t="s">
        <v>20</v>
      </c>
      <c r="E574" t="s">
        <v>3988</v>
      </c>
      <c r="F574" t="s">
        <v>4195</v>
      </c>
      <c r="G574">
        <v>2</v>
      </c>
      <c r="H574">
        <v>1667.7</v>
      </c>
      <c r="I574">
        <v>10</v>
      </c>
      <c r="J574" t="s">
        <v>21</v>
      </c>
      <c r="K574">
        <v>3001.86</v>
      </c>
    </row>
    <row r="575" spans="1:11" x14ac:dyDescent="0.25">
      <c r="A575" t="s">
        <v>1164</v>
      </c>
      <c r="B575" s="1">
        <v>45579</v>
      </c>
      <c r="C575" t="s">
        <v>1165</v>
      </c>
      <c r="D575" t="s">
        <v>36</v>
      </c>
      <c r="E575" t="s">
        <v>3272</v>
      </c>
      <c r="F575" t="s">
        <v>4413</v>
      </c>
      <c r="G575">
        <v>1</v>
      </c>
      <c r="H575">
        <v>129.09</v>
      </c>
      <c r="I575">
        <v>15</v>
      </c>
      <c r="J575" t="s">
        <v>14</v>
      </c>
      <c r="K575">
        <v>109.73</v>
      </c>
    </row>
    <row r="576" spans="1:11" x14ac:dyDescent="0.25">
      <c r="A576" t="s">
        <v>1166</v>
      </c>
      <c r="B576" s="1">
        <v>45265</v>
      </c>
      <c r="C576" t="s">
        <v>1167</v>
      </c>
      <c r="D576" t="s">
        <v>24</v>
      </c>
      <c r="E576" t="s">
        <v>3272</v>
      </c>
      <c r="F576" t="s">
        <v>4414</v>
      </c>
      <c r="G576">
        <v>5</v>
      </c>
      <c r="H576">
        <v>1749.62</v>
      </c>
      <c r="I576">
        <v>10</v>
      </c>
      <c r="J576" t="s">
        <v>17</v>
      </c>
      <c r="K576">
        <v>7873.29</v>
      </c>
    </row>
    <row r="577" spans="1:11" x14ac:dyDescent="0.25">
      <c r="A577" t="s">
        <v>1168</v>
      </c>
      <c r="B577" s="1">
        <v>45483</v>
      </c>
      <c r="C577" t="s">
        <v>1169</v>
      </c>
      <c r="D577" t="s">
        <v>36</v>
      </c>
      <c r="E577" t="s">
        <v>3988</v>
      </c>
      <c r="F577" t="s">
        <v>4004</v>
      </c>
      <c r="G577">
        <v>9</v>
      </c>
      <c r="H577">
        <v>550.54999999999995</v>
      </c>
      <c r="I577">
        <v>20</v>
      </c>
      <c r="J577" t="s">
        <v>39</v>
      </c>
      <c r="K577">
        <v>3963.96</v>
      </c>
    </row>
    <row r="578" spans="1:11" x14ac:dyDescent="0.25">
      <c r="A578" t="s">
        <v>1170</v>
      </c>
      <c r="B578" s="1">
        <v>45248</v>
      </c>
      <c r="C578" t="s">
        <v>1171</v>
      </c>
      <c r="D578" t="s">
        <v>36</v>
      </c>
      <c r="E578" t="s">
        <v>3272</v>
      </c>
      <c r="F578" t="s">
        <v>4415</v>
      </c>
      <c r="G578">
        <v>6</v>
      </c>
      <c r="H578">
        <v>1347.32</v>
      </c>
      <c r="I578">
        <v>15</v>
      </c>
      <c r="J578" t="s">
        <v>17</v>
      </c>
      <c r="K578">
        <v>6871.33</v>
      </c>
    </row>
    <row r="579" spans="1:11" x14ac:dyDescent="0.25">
      <c r="A579" t="s">
        <v>1172</v>
      </c>
      <c r="B579" s="1">
        <v>45182</v>
      </c>
      <c r="C579" t="s">
        <v>1173</v>
      </c>
      <c r="D579" t="s">
        <v>20</v>
      </c>
      <c r="E579" t="s">
        <v>3272</v>
      </c>
      <c r="F579" t="s">
        <v>4416</v>
      </c>
      <c r="G579">
        <v>1</v>
      </c>
      <c r="H579">
        <v>1610.69</v>
      </c>
      <c r="I579">
        <v>0</v>
      </c>
      <c r="J579" t="s">
        <v>21</v>
      </c>
      <c r="K579">
        <v>1610.69</v>
      </c>
    </row>
    <row r="580" spans="1:11" x14ac:dyDescent="0.25">
      <c r="A580" t="s">
        <v>1174</v>
      </c>
      <c r="B580" s="1">
        <v>45389</v>
      </c>
      <c r="C580" t="s">
        <v>1175</v>
      </c>
      <c r="D580" t="s">
        <v>13</v>
      </c>
      <c r="E580" t="s">
        <v>3988</v>
      </c>
      <c r="F580" t="s">
        <v>4417</v>
      </c>
      <c r="G580">
        <v>1</v>
      </c>
      <c r="H580">
        <v>1342.2</v>
      </c>
      <c r="I580">
        <v>15</v>
      </c>
      <c r="J580" t="s">
        <v>14</v>
      </c>
      <c r="K580">
        <v>1140.8699999999999</v>
      </c>
    </row>
    <row r="581" spans="1:11" x14ac:dyDescent="0.25">
      <c r="A581" t="s">
        <v>1176</v>
      </c>
      <c r="B581" s="1">
        <v>45433</v>
      </c>
      <c r="C581" t="s">
        <v>1177</v>
      </c>
      <c r="D581" t="s">
        <v>36</v>
      </c>
      <c r="E581" t="s">
        <v>3272</v>
      </c>
      <c r="F581" t="s">
        <v>4418</v>
      </c>
      <c r="G581">
        <v>2</v>
      </c>
      <c r="H581">
        <v>229.96</v>
      </c>
      <c r="I581">
        <v>5</v>
      </c>
      <c r="J581" t="s">
        <v>14</v>
      </c>
      <c r="K581">
        <v>436.92</v>
      </c>
    </row>
    <row r="582" spans="1:11" x14ac:dyDescent="0.25">
      <c r="A582" t="s">
        <v>1178</v>
      </c>
      <c r="B582" s="1">
        <v>45848</v>
      </c>
      <c r="C582" t="s">
        <v>1179</v>
      </c>
      <c r="D582" t="s">
        <v>20</v>
      </c>
      <c r="E582" t="s">
        <v>3272</v>
      </c>
      <c r="F582" t="s">
        <v>4419</v>
      </c>
      <c r="G582">
        <v>9</v>
      </c>
      <c r="H582">
        <v>1212.83</v>
      </c>
      <c r="I582">
        <v>15</v>
      </c>
      <c r="J582" t="s">
        <v>14</v>
      </c>
      <c r="K582">
        <v>9278.15</v>
      </c>
    </row>
    <row r="583" spans="1:11" x14ac:dyDescent="0.25">
      <c r="A583" t="s">
        <v>1180</v>
      </c>
      <c r="B583" s="1">
        <v>45874</v>
      </c>
      <c r="C583" t="s">
        <v>1181</v>
      </c>
      <c r="D583" t="s">
        <v>24</v>
      </c>
      <c r="E583" t="s">
        <v>3272</v>
      </c>
      <c r="F583" t="s">
        <v>4420</v>
      </c>
      <c r="G583">
        <v>3</v>
      </c>
      <c r="H583">
        <v>1121.69</v>
      </c>
      <c r="I583">
        <v>10</v>
      </c>
      <c r="J583" t="s">
        <v>21</v>
      </c>
      <c r="K583">
        <v>3028.56</v>
      </c>
    </row>
    <row r="584" spans="1:11" x14ac:dyDescent="0.25">
      <c r="A584" t="s">
        <v>1182</v>
      </c>
      <c r="B584" s="1">
        <v>45768</v>
      </c>
      <c r="C584" t="s">
        <v>1183</v>
      </c>
      <c r="D584" t="s">
        <v>36</v>
      </c>
      <c r="E584" t="s">
        <v>3988</v>
      </c>
      <c r="F584" t="s">
        <v>4375</v>
      </c>
      <c r="G584">
        <v>1</v>
      </c>
      <c r="H584">
        <v>1805.63</v>
      </c>
      <c r="I584">
        <v>10</v>
      </c>
      <c r="J584" t="s">
        <v>21</v>
      </c>
      <c r="K584">
        <v>1625.07</v>
      </c>
    </row>
    <row r="585" spans="1:11" x14ac:dyDescent="0.25">
      <c r="A585" t="s">
        <v>1184</v>
      </c>
      <c r="B585" s="1">
        <v>45818</v>
      </c>
      <c r="C585" t="s">
        <v>1185</v>
      </c>
      <c r="D585" t="s">
        <v>24</v>
      </c>
      <c r="E585" t="s">
        <v>3272</v>
      </c>
      <c r="F585" t="s">
        <v>4421</v>
      </c>
      <c r="G585">
        <v>5</v>
      </c>
      <c r="H585">
        <v>838.27</v>
      </c>
      <c r="I585">
        <v>20</v>
      </c>
      <c r="J585" t="s">
        <v>14</v>
      </c>
      <c r="K585">
        <v>3353.08</v>
      </c>
    </row>
    <row r="586" spans="1:11" x14ac:dyDescent="0.25">
      <c r="A586" t="s">
        <v>1186</v>
      </c>
      <c r="B586" s="1">
        <v>45180</v>
      </c>
      <c r="C586" t="s">
        <v>1187</v>
      </c>
      <c r="D586" t="s">
        <v>20</v>
      </c>
      <c r="E586" t="s">
        <v>3988</v>
      </c>
      <c r="F586" t="s">
        <v>4422</v>
      </c>
      <c r="G586">
        <v>7</v>
      </c>
      <c r="H586">
        <v>676.11</v>
      </c>
      <c r="I586">
        <v>20</v>
      </c>
      <c r="J586" t="s">
        <v>21</v>
      </c>
      <c r="K586">
        <v>3786.22</v>
      </c>
    </row>
    <row r="587" spans="1:11" x14ac:dyDescent="0.25">
      <c r="A587" t="s">
        <v>1188</v>
      </c>
      <c r="B587" s="1">
        <v>45848</v>
      </c>
      <c r="C587" t="s">
        <v>1189</v>
      </c>
      <c r="D587" t="s">
        <v>20</v>
      </c>
      <c r="E587" t="s">
        <v>3988</v>
      </c>
      <c r="F587" t="s">
        <v>4201</v>
      </c>
      <c r="G587">
        <v>6</v>
      </c>
      <c r="H587">
        <v>1512.21</v>
      </c>
      <c r="I587">
        <v>20</v>
      </c>
      <c r="J587" t="s">
        <v>21</v>
      </c>
      <c r="K587">
        <v>7258.61</v>
      </c>
    </row>
    <row r="588" spans="1:11" x14ac:dyDescent="0.25">
      <c r="A588" t="s">
        <v>1190</v>
      </c>
      <c r="B588" s="1">
        <v>45427</v>
      </c>
      <c r="C588" t="s">
        <v>1191</v>
      </c>
      <c r="D588" t="s">
        <v>20</v>
      </c>
      <c r="E588" t="s">
        <v>29</v>
      </c>
      <c r="F588" t="s">
        <v>4423</v>
      </c>
      <c r="G588">
        <v>1</v>
      </c>
      <c r="H588">
        <v>854.72</v>
      </c>
      <c r="I588">
        <v>0</v>
      </c>
      <c r="J588" t="s">
        <v>39</v>
      </c>
      <c r="K588">
        <v>854.72</v>
      </c>
    </row>
    <row r="589" spans="1:11" x14ac:dyDescent="0.25">
      <c r="A589" t="s">
        <v>1192</v>
      </c>
      <c r="B589" s="1">
        <v>45313</v>
      </c>
      <c r="C589" t="s">
        <v>1193</v>
      </c>
      <c r="D589" t="s">
        <v>20</v>
      </c>
      <c r="E589" t="s">
        <v>29</v>
      </c>
      <c r="F589" t="s">
        <v>4424</v>
      </c>
      <c r="G589">
        <v>5</v>
      </c>
      <c r="H589">
        <v>1309.8900000000001</v>
      </c>
      <c r="I589">
        <v>20</v>
      </c>
      <c r="J589" t="s">
        <v>21</v>
      </c>
      <c r="K589">
        <v>5239.5600000000004</v>
      </c>
    </row>
    <row r="590" spans="1:11" x14ac:dyDescent="0.25">
      <c r="A590" t="s">
        <v>1194</v>
      </c>
      <c r="B590" s="1">
        <v>45679</v>
      </c>
      <c r="C590" t="s">
        <v>1195</v>
      </c>
      <c r="D590" t="s">
        <v>20</v>
      </c>
      <c r="E590" t="s">
        <v>3988</v>
      </c>
      <c r="F590" t="s">
        <v>4425</v>
      </c>
      <c r="G590">
        <v>5</v>
      </c>
      <c r="H590">
        <v>1310.58</v>
      </c>
      <c r="I590">
        <v>0</v>
      </c>
      <c r="J590" t="s">
        <v>39</v>
      </c>
      <c r="K590">
        <v>6552.9</v>
      </c>
    </row>
    <row r="591" spans="1:11" x14ac:dyDescent="0.25">
      <c r="A591" t="s">
        <v>1196</v>
      </c>
      <c r="B591" s="1">
        <v>45343</v>
      </c>
      <c r="C591" t="s">
        <v>1197</v>
      </c>
      <c r="D591" t="s">
        <v>13</v>
      </c>
      <c r="E591" t="s">
        <v>3988</v>
      </c>
      <c r="F591" t="s">
        <v>4425</v>
      </c>
      <c r="G591">
        <v>6</v>
      </c>
      <c r="H591">
        <v>1781.68</v>
      </c>
      <c r="I591">
        <v>20</v>
      </c>
      <c r="J591" t="s">
        <v>14</v>
      </c>
      <c r="K591">
        <v>8552.06</v>
      </c>
    </row>
    <row r="592" spans="1:11" x14ac:dyDescent="0.25">
      <c r="A592" t="s">
        <v>1198</v>
      </c>
      <c r="B592" s="1">
        <v>45668</v>
      </c>
      <c r="C592" t="s">
        <v>1199</v>
      </c>
      <c r="D592" t="s">
        <v>24</v>
      </c>
      <c r="E592" t="s">
        <v>3988</v>
      </c>
      <c r="F592" t="s">
        <v>4426</v>
      </c>
      <c r="G592">
        <v>3</v>
      </c>
      <c r="H592">
        <v>1217.45</v>
      </c>
      <c r="I592">
        <v>0</v>
      </c>
      <c r="J592" t="s">
        <v>17</v>
      </c>
      <c r="K592">
        <v>3652.35</v>
      </c>
    </row>
    <row r="593" spans="1:11" x14ac:dyDescent="0.25">
      <c r="A593" t="s">
        <v>1200</v>
      </c>
      <c r="B593" s="1">
        <v>45229</v>
      </c>
      <c r="C593" t="s">
        <v>1201</v>
      </c>
      <c r="D593" t="s">
        <v>13</v>
      </c>
      <c r="E593" t="s">
        <v>3988</v>
      </c>
      <c r="F593" t="s">
        <v>4427</v>
      </c>
      <c r="G593">
        <v>5</v>
      </c>
      <c r="H593">
        <v>1029.2</v>
      </c>
      <c r="I593">
        <v>15</v>
      </c>
      <c r="J593" t="s">
        <v>21</v>
      </c>
      <c r="K593">
        <v>4374.1000000000004</v>
      </c>
    </row>
    <row r="594" spans="1:11" x14ac:dyDescent="0.25">
      <c r="A594" t="s">
        <v>1202</v>
      </c>
      <c r="B594" s="1">
        <v>45424</v>
      </c>
      <c r="C594" t="s">
        <v>1203</v>
      </c>
      <c r="D594" t="s">
        <v>24</v>
      </c>
      <c r="E594" t="s">
        <v>3272</v>
      </c>
      <c r="F594" t="s">
        <v>4428</v>
      </c>
      <c r="G594">
        <v>7</v>
      </c>
      <c r="H594">
        <v>320.8</v>
      </c>
      <c r="I594">
        <v>15</v>
      </c>
      <c r="J594" t="s">
        <v>14</v>
      </c>
      <c r="K594">
        <v>1908.76</v>
      </c>
    </row>
    <row r="595" spans="1:11" x14ac:dyDescent="0.25">
      <c r="A595" t="s">
        <v>1204</v>
      </c>
      <c r="B595" s="1">
        <v>45755</v>
      </c>
      <c r="C595" t="s">
        <v>1205</v>
      </c>
      <c r="D595" t="s">
        <v>36</v>
      </c>
      <c r="E595" t="s">
        <v>29</v>
      </c>
      <c r="F595" t="s">
        <v>4429</v>
      </c>
      <c r="G595">
        <v>5</v>
      </c>
      <c r="H595">
        <v>275.69</v>
      </c>
      <c r="I595">
        <v>10</v>
      </c>
      <c r="J595" t="s">
        <v>14</v>
      </c>
      <c r="K595">
        <v>1240.5999999999999</v>
      </c>
    </row>
    <row r="596" spans="1:11" x14ac:dyDescent="0.25">
      <c r="A596" t="s">
        <v>1206</v>
      </c>
      <c r="B596" s="1">
        <v>45584</v>
      </c>
      <c r="C596" t="s">
        <v>1207</v>
      </c>
      <c r="D596" t="s">
        <v>36</v>
      </c>
      <c r="E596" t="s">
        <v>3988</v>
      </c>
      <c r="F596" t="s">
        <v>4070</v>
      </c>
      <c r="G596">
        <v>5</v>
      </c>
      <c r="H596">
        <v>350.93</v>
      </c>
      <c r="I596">
        <v>0</v>
      </c>
      <c r="J596" t="s">
        <v>21</v>
      </c>
      <c r="K596">
        <v>1754.65</v>
      </c>
    </row>
    <row r="597" spans="1:11" x14ac:dyDescent="0.25">
      <c r="A597" t="s">
        <v>1208</v>
      </c>
      <c r="B597" s="1">
        <v>45836</v>
      </c>
      <c r="C597" t="s">
        <v>1209</v>
      </c>
      <c r="D597" t="s">
        <v>24</v>
      </c>
      <c r="E597" t="s">
        <v>29</v>
      </c>
      <c r="F597" t="s">
        <v>4429</v>
      </c>
      <c r="G597">
        <v>5</v>
      </c>
      <c r="H597">
        <v>385.1</v>
      </c>
      <c r="I597">
        <v>5</v>
      </c>
      <c r="J597" t="s">
        <v>17</v>
      </c>
      <c r="K597">
        <v>1829.22</v>
      </c>
    </row>
    <row r="598" spans="1:11" x14ac:dyDescent="0.25">
      <c r="A598" t="s">
        <v>1210</v>
      </c>
      <c r="B598" s="1">
        <v>45829</v>
      </c>
      <c r="C598" t="s">
        <v>1211</v>
      </c>
      <c r="D598" t="s">
        <v>36</v>
      </c>
      <c r="E598" t="s">
        <v>3988</v>
      </c>
      <c r="F598" t="s">
        <v>4430</v>
      </c>
      <c r="G598">
        <v>3</v>
      </c>
      <c r="H598">
        <v>1293.8599999999999</v>
      </c>
      <c r="I598">
        <v>10</v>
      </c>
      <c r="J598" t="s">
        <v>17</v>
      </c>
      <c r="K598">
        <v>3493.42</v>
      </c>
    </row>
    <row r="599" spans="1:11" x14ac:dyDescent="0.25">
      <c r="A599" t="s">
        <v>1212</v>
      </c>
      <c r="B599" s="1">
        <v>45465</v>
      </c>
      <c r="C599" t="s">
        <v>1213</v>
      </c>
      <c r="D599" t="s">
        <v>36</v>
      </c>
      <c r="E599" t="s">
        <v>29</v>
      </c>
      <c r="F599" t="s">
        <v>4431</v>
      </c>
      <c r="G599">
        <v>1</v>
      </c>
      <c r="H599">
        <v>1494.91</v>
      </c>
      <c r="I599">
        <v>15</v>
      </c>
      <c r="J599" t="s">
        <v>21</v>
      </c>
      <c r="K599">
        <v>1270.67</v>
      </c>
    </row>
    <row r="600" spans="1:11" x14ac:dyDescent="0.25">
      <c r="A600" t="s">
        <v>1214</v>
      </c>
      <c r="B600" s="1">
        <v>45632</v>
      </c>
      <c r="C600" t="s">
        <v>1215</v>
      </c>
      <c r="D600" t="s">
        <v>36</v>
      </c>
      <c r="E600" t="s">
        <v>3988</v>
      </c>
      <c r="F600" t="s">
        <v>4227</v>
      </c>
      <c r="G600">
        <v>5</v>
      </c>
      <c r="H600">
        <v>1083.48</v>
      </c>
      <c r="I600">
        <v>0</v>
      </c>
      <c r="J600" t="s">
        <v>14</v>
      </c>
      <c r="K600">
        <v>5417.4</v>
      </c>
    </row>
    <row r="601" spans="1:11" x14ac:dyDescent="0.25">
      <c r="A601" t="s">
        <v>1216</v>
      </c>
      <c r="B601" s="1">
        <v>45732</v>
      </c>
      <c r="C601" t="s">
        <v>1217</v>
      </c>
      <c r="D601" t="s">
        <v>13</v>
      </c>
      <c r="E601" t="s">
        <v>3988</v>
      </c>
      <c r="F601" t="s">
        <v>4432</v>
      </c>
      <c r="G601">
        <v>9</v>
      </c>
      <c r="H601">
        <v>1666.58</v>
      </c>
      <c r="I601">
        <v>20</v>
      </c>
      <c r="J601" t="s">
        <v>21</v>
      </c>
      <c r="K601">
        <v>11999.38</v>
      </c>
    </row>
    <row r="602" spans="1:11" x14ac:dyDescent="0.25">
      <c r="A602" t="s">
        <v>1218</v>
      </c>
      <c r="B602" s="1">
        <v>45270</v>
      </c>
      <c r="C602" t="s">
        <v>1219</v>
      </c>
      <c r="D602" t="s">
        <v>13</v>
      </c>
      <c r="E602" t="s">
        <v>3988</v>
      </c>
      <c r="F602" t="s">
        <v>4433</v>
      </c>
      <c r="G602">
        <v>1</v>
      </c>
      <c r="H602">
        <v>1982.96</v>
      </c>
      <c r="I602">
        <v>5</v>
      </c>
      <c r="J602" t="s">
        <v>17</v>
      </c>
      <c r="K602">
        <v>1883.81</v>
      </c>
    </row>
    <row r="603" spans="1:11" x14ac:dyDescent="0.25">
      <c r="A603" t="s">
        <v>1220</v>
      </c>
      <c r="B603" s="1">
        <v>45869</v>
      </c>
      <c r="C603" t="s">
        <v>1221</v>
      </c>
      <c r="D603" t="s">
        <v>20</v>
      </c>
      <c r="E603" t="s">
        <v>29</v>
      </c>
      <c r="F603" t="s">
        <v>4434</v>
      </c>
      <c r="G603">
        <v>3</v>
      </c>
      <c r="H603">
        <v>1649.02</v>
      </c>
      <c r="I603">
        <v>15</v>
      </c>
      <c r="J603" t="s">
        <v>21</v>
      </c>
      <c r="K603">
        <v>4205</v>
      </c>
    </row>
    <row r="604" spans="1:11" x14ac:dyDescent="0.25">
      <c r="A604" t="s">
        <v>1222</v>
      </c>
      <c r="B604" s="1">
        <v>45872</v>
      </c>
      <c r="C604" t="s">
        <v>1223</v>
      </c>
      <c r="D604" t="s">
        <v>24</v>
      </c>
      <c r="E604" t="s">
        <v>29</v>
      </c>
      <c r="F604" t="s">
        <v>4167</v>
      </c>
      <c r="G604">
        <v>4</v>
      </c>
      <c r="H604">
        <v>1405.02</v>
      </c>
      <c r="I604">
        <v>10</v>
      </c>
      <c r="J604" t="s">
        <v>14</v>
      </c>
      <c r="K604">
        <v>5058.07</v>
      </c>
    </row>
    <row r="605" spans="1:11" x14ac:dyDescent="0.25">
      <c r="A605" t="s">
        <v>1224</v>
      </c>
      <c r="B605" s="1">
        <v>45333</v>
      </c>
      <c r="C605" t="s">
        <v>1225</v>
      </c>
      <c r="D605" t="s">
        <v>36</v>
      </c>
      <c r="E605" t="s">
        <v>3988</v>
      </c>
      <c r="F605" t="s">
        <v>4247</v>
      </c>
      <c r="G605">
        <v>1</v>
      </c>
      <c r="H605">
        <v>1088.3599999999999</v>
      </c>
      <c r="I605">
        <v>0</v>
      </c>
      <c r="J605" t="s">
        <v>17</v>
      </c>
      <c r="K605">
        <v>1088.3599999999999</v>
      </c>
    </row>
    <row r="606" spans="1:11" x14ac:dyDescent="0.25">
      <c r="A606" t="s">
        <v>1226</v>
      </c>
      <c r="B606" s="1">
        <v>45821</v>
      </c>
      <c r="C606" t="s">
        <v>1227</v>
      </c>
      <c r="D606" t="s">
        <v>24</v>
      </c>
      <c r="E606" t="s">
        <v>3272</v>
      </c>
      <c r="F606" t="s">
        <v>4145</v>
      </c>
      <c r="G606">
        <v>1</v>
      </c>
      <c r="H606">
        <v>925.26</v>
      </c>
      <c r="I606">
        <v>5</v>
      </c>
      <c r="J606" t="s">
        <v>17</v>
      </c>
      <c r="K606">
        <v>879</v>
      </c>
    </row>
    <row r="607" spans="1:11" x14ac:dyDescent="0.25">
      <c r="A607" t="s">
        <v>1228</v>
      </c>
      <c r="B607" s="1">
        <v>45276</v>
      </c>
      <c r="C607" t="s">
        <v>1229</v>
      </c>
      <c r="D607" t="s">
        <v>20</v>
      </c>
      <c r="E607" t="s">
        <v>3988</v>
      </c>
      <c r="F607" t="s">
        <v>4375</v>
      </c>
      <c r="G607">
        <v>8</v>
      </c>
      <c r="H607">
        <v>214.57</v>
      </c>
      <c r="I607">
        <v>0</v>
      </c>
      <c r="J607" t="s">
        <v>17</v>
      </c>
      <c r="K607">
        <v>1716.56</v>
      </c>
    </row>
    <row r="608" spans="1:11" x14ac:dyDescent="0.25">
      <c r="A608" t="s">
        <v>1230</v>
      </c>
      <c r="B608" s="1">
        <v>45771</v>
      </c>
      <c r="C608" t="s">
        <v>1231</v>
      </c>
      <c r="D608" t="s">
        <v>20</v>
      </c>
      <c r="E608" t="s">
        <v>3988</v>
      </c>
      <c r="F608" t="s">
        <v>4211</v>
      </c>
      <c r="G608">
        <v>2</v>
      </c>
      <c r="H608">
        <v>828.77</v>
      </c>
      <c r="I608">
        <v>20</v>
      </c>
      <c r="J608" t="s">
        <v>14</v>
      </c>
      <c r="K608">
        <v>1326.03</v>
      </c>
    </row>
    <row r="609" spans="1:11" x14ac:dyDescent="0.25">
      <c r="A609" t="s">
        <v>1232</v>
      </c>
      <c r="B609" s="1">
        <v>45779</v>
      </c>
      <c r="C609" t="s">
        <v>1233</v>
      </c>
      <c r="D609" t="s">
        <v>36</v>
      </c>
      <c r="E609" t="s">
        <v>3272</v>
      </c>
      <c r="F609" t="s">
        <v>4435</v>
      </c>
      <c r="G609">
        <v>8</v>
      </c>
      <c r="H609">
        <v>1824.76</v>
      </c>
      <c r="I609">
        <v>10</v>
      </c>
      <c r="J609" t="s">
        <v>21</v>
      </c>
      <c r="K609">
        <v>13138.27</v>
      </c>
    </row>
    <row r="610" spans="1:11" x14ac:dyDescent="0.25">
      <c r="A610" t="s">
        <v>1234</v>
      </c>
      <c r="B610" s="1">
        <v>45287</v>
      </c>
      <c r="C610" t="s">
        <v>1235</v>
      </c>
      <c r="D610" t="s">
        <v>20</v>
      </c>
      <c r="E610" t="s">
        <v>3988</v>
      </c>
      <c r="F610" t="s">
        <v>4323</v>
      </c>
      <c r="G610">
        <v>7</v>
      </c>
      <c r="H610">
        <v>1625.64</v>
      </c>
      <c r="I610">
        <v>0</v>
      </c>
      <c r="J610" t="s">
        <v>17</v>
      </c>
      <c r="K610">
        <v>11379.48</v>
      </c>
    </row>
    <row r="611" spans="1:11" x14ac:dyDescent="0.25">
      <c r="A611" t="s">
        <v>1236</v>
      </c>
      <c r="B611" s="1">
        <v>45834</v>
      </c>
      <c r="C611" t="s">
        <v>1237</v>
      </c>
      <c r="D611" t="s">
        <v>36</v>
      </c>
      <c r="E611" t="s">
        <v>3988</v>
      </c>
      <c r="F611" t="s">
        <v>4436</v>
      </c>
      <c r="G611">
        <v>2</v>
      </c>
      <c r="H611">
        <v>471.3</v>
      </c>
      <c r="I611">
        <v>15</v>
      </c>
      <c r="J611" t="s">
        <v>14</v>
      </c>
      <c r="K611">
        <v>801.21</v>
      </c>
    </row>
    <row r="612" spans="1:11" x14ac:dyDescent="0.25">
      <c r="A612" t="s">
        <v>1238</v>
      </c>
      <c r="B612" s="1">
        <v>45470</v>
      </c>
      <c r="C612" t="s">
        <v>1239</v>
      </c>
      <c r="D612" t="s">
        <v>20</v>
      </c>
      <c r="E612" t="s">
        <v>3988</v>
      </c>
      <c r="F612" t="s">
        <v>4437</v>
      </c>
      <c r="G612">
        <v>6</v>
      </c>
      <c r="H612">
        <v>959.89</v>
      </c>
      <c r="I612">
        <v>10</v>
      </c>
      <c r="J612" t="s">
        <v>14</v>
      </c>
      <c r="K612">
        <v>5183.41</v>
      </c>
    </row>
    <row r="613" spans="1:11" x14ac:dyDescent="0.25">
      <c r="A613" t="s">
        <v>1240</v>
      </c>
      <c r="B613" s="1">
        <v>45169</v>
      </c>
      <c r="C613" t="s">
        <v>1241</v>
      </c>
      <c r="D613" t="s">
        <v>20</v>
      </c>
      <c r="E613" t="s">
        <v>3988</v>
      </c>
      <c r="F613" t="s">
        <v>4166</v>
      </c>
      <c r="G613">
        <v>6</v>
      </c>
      <c r="H613">
        <v>1642.61</v>
      </c>
      <c r="I613">
        <v>15</v>
      </c>
      <c r="J613" t="s">
        <v>39</v>
      </c>
      <c r="K613">
        <v>8377.31</v>
      </c>
    </row>
    <row r="614" spans="1:11" x14ac:dyDescent="0.25">
      <c r="A614" t="s">
        <v>1242</v>
      </c>
      <c r="B614" s="1">
        <v>45289</v>
      </c>
      <c r="C614" t="s">
        <v>1243</v>
      </c>
      <c r="D614" t="s">
        <v>36</v>
      </c>
      <c r="E614" t="s">
        <v>3988</v>
      </c>
      <c r="F614" t="s">
        <v>4166</v>
      </c>
      <c r="G614">
        <v>3</v>
      </c>
      <c r="H614">
        <v>181.4</v>
      </c>
      <c r="I614">
        <v>0</v>
      </c>
      <c r="J614" t="s">
        <v>17</v>
      </c>
      <c r="K614">
        <v>544.20000000000005</v>
      </c>
    </row>
    <row r="615" spans="1:11" x14ac:dyDescent="0.25">
      <c r="A615" t="s">
        <v>1244</v>
      </c>
      <c r="B615" s="1">
        <v>45722</v>
      </c>
      <c r="C615" t="s">
        <v>1245</v>
      </c>
      <c r="D615" t="s">
        <v>20</v>
      </c>
      <c r="E615" t="s">
        <v>3988</v>
      </c>
      <c r="F615" t="s">
        <v>4321</v>
      </c>
      <c r="G615">
        <v>2</v>
      </c>
      <c r="H615">
        <v>805.42</v>
      </c>
      <c r="I615">
        <v>10</v>
      </c>
      <c r="J615" t="s">
        <v>14</v>
      </c>
      <c r="K615">
        <v>1449.76</v>
      </c>
    </row>
    <row r="616" spans="1:11" x14ac:dyDescent="0.25">
      <c r="A616" t="s">
        <v>1246</v>
      </c>
      <c r="B616" s="1">
        <v>45868</v>
      </c>
      <c r="C616" t="s">
        <v>1247</v>
      </c>
      <c r="D616" t="s">
        <v>20</v>
      </c>
      <c r="E616" t="s">
        <v>3988</v>
      </c>
      <c r="F616" t="s">
        <v>4438</v>
      </c>
      <c r="G616">
        <v>1</v>
      </c>
      <c r="H616">
        <v>1711.09</v>
      </c>
      <c r="I616">
        <v>15</v>
      </c>
      <c r="J616" t="s">
        <v>21</v>
      </c>
      <c r="K616">
        <v>1454.43</v>
      </c>
    </row>
    <row r="617" spans="1:11" x14ac:dyDescent="0.25">
      <c r="A617" t="s">
        <v>1248</v>
      </c>
      <c r="B617" s="1">
        <v>45408</v>
      </c>
      <c r="C617" t="s">
        <v>1249</v>
      </c>
      <c r="D617" t="s">
        <v>20</v>
      </c>
      <c r="E617" t="s">
        <v>29</v>
      </c>
      <c r="F617" t="s">
        <v>4439</v>
      </c>
      <c r="G617">
        <v>6</v>
      </c>
      <c r="H617">
        <v>837.6</v>
      </c>
      <c r="I617">
        <v>20</v>
      </c>
      <c r="J617" t="s">
        <v>14</v>
      </c>
      <c r="K617">
        <v>4020.48</v>
      </c>
    </row>
    <row r="618" spans="1:11" x14ac:dyDescent="0.25">
      <c r="A618" t="s">
        <v>1250</v>
      </c>
      <c r="B618" s="1">
        <v>45757</v>
      </c>
      <c r="C618" t="s">
        <v>1251</v>
      </c>
      <c r="D618" t="s">
        <v>24</v>
      </c>
      <c r="E618" t="s">
        <v>3988</v>
      </c>
      <c r="F618" t="s">
        <v>4438</v>
      </c>
      <c r="G618">
        <v>5</v>
      </c>
      <c r="H618">
        <v>201.35</v>
      </c>
      <c r="I618">
        <v>20</v>
      </c>
      <c r="J618" t="s">
        <v>14</v>
      </c>
      <c r="K618">
        <v>805.4</v>
      </c>
    </row>
    <row r="619" spans="1:11" x14ac:dyDescent="0.25">
      <c r="A619" t="s">
        <v>1252</v>
      </c>
      <c r="B619" s="1">
        <v>45872</v>
      </c>
      <c r="C619" t="s">
        <v>1253</v>
      </c>
      <c r="D619" t="s">
        <v>13</v>
      </c>
      <c r="E619" t="s">
        <v>3988</v>
      </c>
      <c r="F619" t="s">
        <v>4386</v>
      </c>
      <c r="G619">
        <v>9</v>
      </c>
      <c r="H619">
        <v>1107.94</v>
      </c>
      <c r="I619">
        <v>0</v>
      </c>
      <c r="J619" t="s">
        <v>39</v>
      </c>
      <c r="K619">
        <v>9971.4599999999991</v>
      </c>
    </row>
    <row r="620" spans="1:11" x14ac:dyDescent="0.25">
      <c r="A620" t="s">
        <v>1254</v>
      </c>
      <c r="B620" s="1">
        <v>45469</v>
      </c>
      <c r="C620" t="s">
        <v>1255</v>
      </c>
      <c r="D620" t="s">
        <v>24</v>
      </c>
      <c r="E620" t="s">
        <v>3988</v>
      </c>
      <c r="F620" t="s">
        <v>4321</v>
      </c>
      <c r="G620">
        <v>1</v>
      </c>
      <c r="H620">
        <v>1730.4</v>
      </c>
      <c r="I620">
        <v>10</v>
      </c>
      <c r="J620" t="s">
        <v>17</v>
      </c>
      <c r="K620">
        <v>1557.36</v>
      </c>
    </row>
    <row r="621" spans="1:11" x14ac:dyDescent="0.25">
      <c r="A621" t="s">
        <v>1256</v>
      </c>
      <c r="B621" s="1">
        <v>45773</v>
      </c>
      <c r="C621" t="s">
        <v>1257</v>
      </c>
      <c r="D621" t="s">
        <v>20</v>
      </c>
      <c r="E621" t="s">
        <v>3272</v>
      </c>
      <c r="F621" t="s">
        <v>4217</v>
      </c>
      <c r="G621">
        <v>7</v>
      </c>
      <c r="H621">
        <v>1201.06</v>
      </c>
      <c r="I621">
        <v>5</v>
      </c>
      <c r="J621" t="s">
        <v>14</v>
      </c>
      <c r="K621">
        <v>7987.05</v>
      </c>
    </row>
    <row r="622" spans="1:11" x14ac:dyDescent="0.25">
      <c r="A622" t="s">
        <v>1258</v>
      </c>
      <c r="B622" s="1">
        <v>45670</v>
      </c>
      <c r="C622" t="s">
        <v>1259</v>
      </c>
      <c r="D622" t="s">
        <v>13</v>
      </c>
      <c r="E622" t="s">
        <v>29</v>
      </c>
      <c r="F622" t="s">
        <v>4440</v>
      </c>
      <c r="G622">
        <v>5</v>
      </c>
      <c r="H622">
        <v>491.24</v>
      </c>
      <c r="I622">
        <v>10</v>
      </c>
      <c r="J622" t="s">
        <v>21</v>
      </c>
      <c r="K622">
        <v>2210.58</v>
      </c>
    </row>
    <row r="623" spans="1:11" x14ac:dyDescent="0.25">
      <c r="A623" t="s">
        <v>1260</v>
      </c>
      <c r="B623" s="1">
        <v>45821</v>
      </c>
      <c r="C623" t="s">
        <v>1261</v>
      </c>
      <c r="D623" t="s">
        <v>24</v>
      </c>
      <c r="E623" t="s">
        <v>29</v>
      </c>
      <c r="F623" t="s">
        <v>4065</v>
      </c>
      <c r="G623">
        <v>5</v>
      </c>
      <c r="H623">
        <v>799.27</v>
      </c>
      <c r="I623">
        <v>20</v>
      </c>
      <c r="J623" t="s">
        <v>39</v>
      </c>
      <c r="K623">
        <v>3197.08</v>
      </c>
    </row>
    <row r="624" spans="1:11" x14ac:dyDescent="0.25">
      <c r="A624" t="s">
        <v>1262</v>
      </c>
      <c r="B624" s="1">
        <v>45720</v>
      </c>
      <c r="C624" t="s">
        <v>1263</v>
      </c>
      <c r="D624" t="s">
        <v>24</v>
      </c>
      <c r="E624" t="s">
        <v>3272</v>
      </c>
      <c r="F624" t="s">
        <v>4441</v>
      </c>
      <c r="G624">
        <v>2</v>
      </c>
      <c r="H624">
        <v>927.74</v>
      </c>
      <c r="I624">
        <v>15</v>
      </c>
      <c r="J624" t="s">
        <v>14</v>
      </c>
      <c r="K624">
        <v>1577.16</v>
      </c>
    </row>
    <row r="625" spans="1:11" x14ac:dyDescent="0.25">
      <c r="A625" t="s">
        <v>1264</v>
      </c>
      <c r="B625" s="1">
        <v>45779</v>
      </c>
      <c r="C625" t="s">
        <v>1265</v>
      </c>
      <c r="D625" t="s">
        <v>24</v>
      </c>
      <c r="E625" t="s">
        <v>3988</v>
      </c>
      <c r="F625" t="s">
        <v>4280</v>
      </c>
      <c r="G625">
        <v>3</v>
      </c>
      <c r="H625">
        <v>1179.57</v>
      </c>
      <c r="I625">
        <v>5</v>
      </c>
      <c r="J625" t="s">
        <v>21</v>
      </c>
      <c r="K625">
        <v>3361.77</v>
      </c>
    </row>
    <row r="626" spans="1:11" x14ac:dyDescent="0.25">
      <c r="A626" t="s">
        <v>1266</v>
      </c>
      <c r="B626" s="1">
        <v>45342</v>
      </c>
      <c r="C626" t="s">
        <v>1267</v>
      </c>
      <c r="D626" t="s">
        <v>36</v>
      </c>
      <c r="E626" t="s">
        <v>3272</v>
      </c>
      <c r="F626" t="s">
        <v>4245</v>
      </c>
      <c r="G626">
        <v>7</v>
      </c>
      <c r="H626">
        <v>1530.73</v>
      </c>
      <c r="I626">
        <v>0</v>
      </c>
      <c r="J626" t="s">
        <v>17</v>
      </c>
      <c r="K626">
        <v>10715.11</v>
      </c>
    </row>
    <row r="627" spans="1:11" x14ac:dyDescent="0.25">
      <c r="A627" t="s">
        <v>1268</v>
      </c>
      <c r="B627" s="1">
        <v>45357</v>
      </c>
      <c r="C627" t="s">
        <v>1269</v>
      </c>
      <c r="D627" t="s">
        <v>20</v>
      </c>
      <c r="E627" t="s">
        <v>3988</v>
      </c>
      <c r="F627" t="s">
        <v>4336</v>
      </c>
      <c r="G627">
        <v>6</v>
      </c>
      <c r="H627">
        <v>242.8</v>
      </c>
      <c r="I627">
        <v>5</v>
      </c>
      <c r="J627" t="s">
        <v>39</v>
      </c>
      <c r="K627">
        <v>1383.96</v>
      </c>
    </row>
    <row r="628" spans="1:11" x14ac:dyDescent="0.25">
      <c r="A628" t="s">
        <v>1270</v>
      </c>
      <c r="B628" s="1">
        <v>45273</v>
      </c>
      <c r="C628" t="s">
        <v>1271</v>
      </c>
      <c r="D628" t="s">
        <v>20</v>
      </c>
      <c r="E628" t="s">
        <v>3988</v>
      </c>
      <c r="F628" t="s">
        <v>4442</v>
      </c>
      <c r="G628">
        <v>2</v>
      </c>
      <c r="H628">
        <v>1784.82</v>
      </c>
      <c r="I628">
        <v>0</v>
      </c>
      <c r="J628" t="s">
        <v>14</v>
      </c>
      <c r="K628">
        <v>3569.64</v>
      </c>
    </row>
    <row r="629" spans="1:11" x14ac:dyDescent="0.25">
      <c r="A629" t="s">
        <v>1272</v>
      </c>
      <c r="B629" s="1">
        <v>45761</v>
      </c>
      <c r="C629" t="s">
        <v>1273</v>
      </c>
      <c r="D629" t="s">
        <v>13</v>
      </c>
      <c r="E629" t="s">
        <v>3272</v>
      </c>
      <c r="F629" t="s">
        <v>4443</v>
      </c>
      <c r="G629">
        <v>6</v>
      </c>
      <c r="H629">
        <v>74</v>
      </c>
      <c r="I629">
        <v>5</v>
      </c>
      <c r="J629" t="s">
        <v>39</v>
      </c>
      <c r="K629">
        <v>421.8</v>
      </c>
    </row>
    <row r="630" spans="1:11" x14ac:dyDescent="0.25">
      <c r="A630" t="s">
        <v>1274</v>
      </c>
      <c r="B630" s="1">
        <v>45694</v>
      </c>
      <c r="C630" t="s">
        <v>1275</v>
      </c>
      <c r="D630" t="s">
        <v>24</v>
      </c>
      <c r="E630" t="s">
        <v>3988</v>
      </c>
      <c r="F630" t="s">
        <v>4444</v>
      </c>
      <c r="G630">
        <v>2</v>
      </c>
      <c r="H630">
        <v>771.6</v>
      </c>
      <c r="I630">
        <v>0</v>
      </c>
      <c r="J630" t="s">
        <v>21</v>
      </c>
      <c r="K630">
        <v>1543.2</v>
      </c>
    </row>
    <row r="631" spans="1:11" x14ac:dyDescent="0.25">
      <c r="A631" t="s">
        <v>1276</v>
      </c>
      <c r="B631" s="1">
        <v>45233</v>
      </c>
      <c r="C631" t="s">
        <v>1277</v>
      </c>
      <c r="D631" t="s">
        <v>20</v>
      </c>
      <c r="E631" t="s">
        <v>3272</v>
      </c>
      <c r="F631" t="s">
        <v>4045</v>
      </c>
      <c r="G631">
        <v>2</v>
      </c>
      <c r="H631">
        <v>103.47</v>
      </c>
      <c r="I631">
        <v>0</v>
      </c>
      <c r="J631" t="s">
        <v>17</v>
      </c>
      <c r="K631">
        <v>206.94</v>
      </c>
    </row>
    <row r="632" spans="1:11" x14ac:dyDescent="0.25">
      <c r="A632" t="s">
        <v>1278</v>
      </c>
      <c r="B632" s="1">
        <v>45447</v>
      </c>
      <c r="C632" t="s">
        <v>1279</v>
      </c>
      <c r="D632" t="s">
        <v>24</v>
      </c>
      <c r="E632" t="s">
        <v>29</v>
      </c>
      <c r="F632" t="s">
        <v>4267</v>
      </c>
      <c r="G632">
        <v>2</v>
      </c>
      <c r="H632">
        <v>816.3</v>
      </c>
      <c r="I632">
        <v>5</v>
      </c>
      <c r="J632" t="s">
        <v>17</v>
      </c>
      <c r="K632">
        <v>1550.97</v>
      </c>
    </row>
    <row r="633" spans="1:11" x14ac:dyDescent="0.25">
      <c r="A633" t="s">
        <v>1280</v>
      </c>
      <c r="B633" s="1">
        <v>45827</v>
      </c>
      <c r="C633" t="s">
        <v>1281</v>
      </c>
      <c r="D633" t="s">
        <v>20</v>
      </c>
      <c r="E633" t="s">
        <v>3988</v>
      </c>
      <c r="F633" t="s">
        <v>4329</v>
      </c>
      <c r="G633">
        <v>3</v>
      </c>
      <c r="H633">
        <v>1075.33</v>
      </c>
      <c r="I633">
        <v>5</v>
      </c>
      <c r="J633" t="s">
        <v>17</v>
      </c>
      <c r="K633">
        <v>3064.69</v>
      </c>
    </row>
    <row r="634" spans="1:11" x14ac:dyDescent="0.25">
      <c r="A634" t="s">
        <v>1282</v>
      </c>
      <c r="B634" s="1">
        <v>45180</v>
      </c>
      <c r="C634" t="s">
        <v>1283</v>
      </c>
      <c r="D634" t="s">
        <v>24</v>
      </c>
      <c r="E634" t="s">
        <v>3988</v>
      </c>
      <c r="F634" t="s">
        <v>4445</v>
      </c>
      <c r="G634">
        <v>2</v>
      </c>
      <c r="H634">
        <v>1047.78</v>
      </c>
      <c r="I634">
        <v>0</v>
      </c>
      <c r="J634" t="s">
        <v>17</v>
      </c>
      <c r="K634">
        <v>2095.56</v>
      </c>
    </row>
    <row r="635" spans="1:11" x14ac:dyDescent="0.25">
      <c r="A635" t="s">
        <v>1284</v>
      </c>
      <c r="B635" s="1">
        <v>45816</v>
      </c>
      <c r="C635" t="s">
        <v>1285</v>
      </c>
      <c r="D635" t="s">
        <v>20</v>
      </c>
      <c r="E635" t="s">
        <v>3988</v>
      </c>
      <c r="F635" t="s">
        <v>4446</v>
      </c>
      <c r="G635">
        <v>4</v>
      </c>
      <c r="H635">
        <v>372.98</v>
      </c>
      <c r="I635">
        <v>20</v>
      </c>
      <c r="J635" t="s">
        <v>14</v>
      </c>
      <c r="K635">
        <v>1193.54</v>
      </c>
    </row>
    <row r="636" spans="1:11" x14ac:dyDescent="0.25">
      <c r="A636" t="s">
        <v>1286</v>
      </c>
      <c r="B636" s="1">
        <v>45515</v>
      </c>
      <c r="C636" t="s">
        <v>1287</v>
      </c>
      <c r="D636" t="s">
        <v>13</v>
      </c>
      <c r="E636" t="s">
        <v>3988</v>
      </c>
      <c r="F636" t="s">
        <v>4334</v>
      </c>
      <c r="G636">
        <v>9</v>
      </c>
      <c r="H636">
        <v>1309.19</v>
      </c>
      <c r="I636">
        <v>5</v>
      </c>
      <c r="J636" t="s">
        <v>21</v>
      </c>
      <c r="K636">
        <v>11193.57</v>
      </c>
    </row>
    <row r="637" spans="1:11" x14ac:dyDescent="0.25">
      <c r="A637" t="s">
        <v>1288</v>
      </c>
      <c r="B637" s="1">
        <v>45322</v>
      </c>
      <c r="C637" t="s">
        <v>1289</v>
      </c>
      <c r="D637" t="s">
        <v>24</v>
      </c>
      <c r="E637" t="s">
        <v>3272</v>
      </c>
      <c r="F637" t="s">
        <v>4447</v>
      </c>
      <c r="G637">
        <v>6</v>
      </c>
      <c r="H637">
        <v>137.32</v>
      </c>
      <c r="I637">
        <v>10</v>
      </c>
      <c r="J637" t="s">
        <v>39</v>
      </c>
      <c r="K637">
        <v>741.53</v>
      </c>
    </row>
    <row r="638" spans="1:11" x14ac:dyDescent="0.25">
      <c r="A638" t="s">
        <v>1290</v>
      </c>
      <c r="B638" s="1">
        <v>45305</v>
      </c>
      <c r="C638" t="s">
        <v>1291</v>
      </c>
      <c r="D638" t="s">
        <v>20</v>
      </c>
      <c r="E638" t="s">
        <v>3988</v>
      </c>
      <c r="F638" t="s">
        <v>4448</v>
      </c>
      <c r="G638">
        <v>1</v>
      </c>
      <c r="H638">
        <v>1535.72</v>
      </c>
      <c r="I638">
        <v>15</v>
      </c>
      <c r="J638" t="s">
        <v>14</v>
      </c>
      <c r="K638">
        <v>1305.3599999999999</v>
      </c>
    </row>
    <row r="639" spans="1:11" x14ac:dyDescent="0.25">
      <c r="A639" t="s">
        <v>1292</v>
      </c>
      <c r="B639" s="1">
        <v>45784</v>
      </c>
      <c r="C639" t="s">
        <v>1293</v>
      </c>
      <c r="D639" t="s">
        <v>13</v>
      </c>
      <c r="E639" t="s">
        <v>3988</v>
      </c>
      <c r="F639" t="s">
        <v>4449</v>
      </c>
      <c r="G639">
        <v>8</v>
      </c>
      <c r="H639">
        <v>1895.96</v>
      </c>
      <c r="I639">
        <v>0</v>
      </c>
      <c r="J639" t="s">
        <v>39</v>
      </c>
      <c r="K639">
        <v>15167.68</v>
      </c>
    </row>
    <row r="640" spans="1:11" x14ac:dyDescent="0.25">
      <c r="A640" t="s">
        <v>1294</v>
      </c>
      <c r="B640" s="1">
        <v>45863</v>
      </c>
      <c r="C640" t="s">
        <v>1295</v>
      </c>
      <c r="D640" t="s">
        <v>13</v>
      </c>
      <c r="E640" t="s">
        <v>3272</v>
      </c>
      <c r="F640" t="s">
        <v>4450</v>
      </c>
      <c r="G640">
        <v>7</v>
      </c>
      <c r="H640">
        <v>712.55</v>
      </c>
      <c r="I640">
        <v>0</v>
      </c>
      <c r="J640" t="s">
        <v>17</v>
      </c>
      <c r="K640">
        <v>4987.8500000000004</v>
      </c>
    </row>
    <row r="641" spans="1:11" x14ac:dyDescent="0.25">
      <c r="A641" t="s">
        <v>1296</v>
      </c>
      <c r="B641" s="1">
        <v>45507</v>
      </c>
      <c r="C641" t="s">
        <v>1297</v>
      </c>
      <c r="D641" t="s">
        <v>20</v>
      </c>
      <c r="E641" t="s">
        <v>3988</v>
      </c>
      <c r="F641" t="s">
        <v>4059</v>
      </c>
      <c r="G641">
        <v>3</v>
      </c>
      <c r="H641">
        <v>1058.6199999999999</v>
      </c>
      <c r="I641">
        <v>15</v>
      </c>
      <c r="J641" t="s">
        <v>21</v>
      </c>
      <c r="K641">
        <v>2699.48</v>
      </c>
    </row>
    <row r="642" spans="1:11" x14ac:dyDescent="0.25">
      <c r="A642" t="s">
        <v>1298</v>
      </c>
      <c r="B642" s="1">
        <v>45421</v>
      </c>
      <c r="C642" t="s">
        <v>1299</v>
      </c>
      <c r="D642" t="s">
        <v>24</v>
      </c>
      <c r="E642" t="s">
        <v>3988</v>
      </c>
      <c r="F642" t="s">
        <v>4449</v>
      </c>
      <c r="G642">
        <v>1</v>
      </c>
      <c r="H642">
        <v>788.88</v>
      </c>
      <c r="I642">
        <v>20</v>
      </c>
      <c r="J642" t="s">
        <v>14</v>
      </c>
      <c r="K642">
        <v>631.1</v>
      </c>
    </row>
    <row r="643" spans="1:11" x14ac:dyDescent="0.25">
      <c r="A643" t="s">
        <v>1300</v>
      </c>
      <c r="B643" s="1">
        <v>45387</v>
      </c>
      <c r="C643" t="s">
        <v>1301</v>
      </c>
      <c r="D643" t="s">
        <v>36</v>
      </c>
      <c r="E643" t="s">
        <v>3988</v>
      </c>
      <c r="F643" t="s">
        <v>4221</v>
      </c>
      <c r="G643">
        <v>5</v>
      </c>
      <c r="H643">
        <v>63.09</v>
      </c>
      <c r="I643">
        <v>15</v>
      </c>
      <c r="J643" t="s">
        <v>39</v>
      </c>
      <c r="K643">
        <v>268.13</v>
      </c>
    </row>
    <row r="644" spans="1:11" x14ac:dyDescent="0.25">
      <c r="A644" t="s">
        <v>1302</v>
      </c>
      <c r="B644" s="1">
        <v>45787</v>
      </c>
      <c r="C644" t="s">
        <v>1303</v>
      </c>
      <c r="D644" t="s">
        <v>13</v>
      </c>
      <c r="E644" t="s">
        <v>3988</v>
      </c>
      <c r="F644" t="s">
        <v>4334</v>
      </c>
      <c r="G644">
        <v>4</v>
      </c>
      <c r="H644">
        <v>802.46</v>
      </c>
      <c r="I644">
        <v>5</v>
      </c>
      <c r="J644" t="s">
        <v>39</v>
      </c>
      <c r="K644">
        <v>3049.35</v>
      </c>
    </row>
    <row r="645" spans="1:11" x14ac:dyDescent="0.25">
      <c r="A645" t="s">
        <v>1304</v>
      </c>
      <c r="B645" s="1">
        <v>45767</v>
      </c>
      <c r="C645" t="s">
        <v>1305</v>
      </c>
      <c r="D645" t="s">
        <v>13</v>
      </c>
      <c r="E645" t="s">
        <v>3272</v>
      </c>
      <c r="F645" t="s">
        <v>4447</v>
      </c>
      <c r="G645">
        <v>8</v>
      </c>
      <c r="H645">
        <v>1593.85</v>
      </c>
      <c r="I645">
        <v>15</v>
      </c>
      <c r="J645" t="s">
        <v>14</v>
      </c>
      <c r="K645">
        <v>10838.18</v>
      </c>
    </row>
    <row r="646" spans="1:11" x14ac:dyDescent="0.25">
      <c r="A646" t="s">
        <v>1306</v>
      </c>
      <c r="B646" s="1">
        <v>45826</v>
      </c>
      <c r="C646" t="s">
        <v>1307</v>
      </c>
      <c r="D646" t="s">
        <v>20</v>
      </c>
      <c r="E646" t="s">
        <v>3272</v>
      </c>
      <c r="F646" t="s">
        <v>4450</v>
      </c>
      <c r="G646">
        <v>1</v>
      </c>
      <c r="H646">
        <v>1212.18</v>
      </c>
      <c r="I646">
        <v>0</v>
      </c>
      <c r="J646" t="s">
        <v>39</v>
      </c>
      <c r="K646">
        <v>1212.18</v>
      </c>
    </row>
    <row r="647" spans="1:11" x14ac:dyDescent="0.25">
      <c r="A647" t="s">
        <v>1308</v>
      </c>
      <c r="B647" s="1">
        <v>45326</v>
      </c>
      <c r="C647" t="s">
        <v>1309</v>
      </c>
      <c r="D647" t="s">
        <v>36</v>
      </c>
      <c r="E647" t="s">
        <v>3988</v>
      </c>
      <c r="F647" t="s">
        <v>4059</v>
      </c>
      <c r="G647">
        <v>1</v>
      </c>
      <c r="H647">
        <v>247.46</v>
      </c>
      <c r="I647">
        <v>15</v>
      </c>
      <c r="J647" t="s">
        <v>39</v>
      </c>
      <c r="K647">
        <v>210.34</v>
      </c>
    </row>
    <row r="648" spans="1:11" x14ac:dyDescent="0.25">
      <c r="A648" t="s">
        <v>1310</v>
      </c>
      <c r="B648" s="1">
        <v>45323</v>
      </c>
      <c r="C648" t="s">
        <v>1311</v>
      </c>
      <c r="D648" t="s">
        <v>36</v>
      </c>
      <c r="E648" t="s">
        <v>3272</v>
      </c>
      <c r="F648" t="s">
        <v>4451</v>
      </c>
      <c r="G648">
        <v>4</v>
      </c>
      <c r="H648">
        <v>1701.92</v>
      </c>
      <c r="I648">
        <v>10</v>
      </c>
      <c r="J648" t="s">
        <v>14</v>
      </c>
      <c r="K648">
        <v>6126.91</v>
      </c>
    </row>
    <row r="649" spans="1:11" x14ac:dyDescent="0.25">
      <c r="A649" t="s">
        <v>1312</v>
      </c>
      <c r="B649" s="1">
        <v>45168</v>
      </c>
      <c r="C649" t="s">
        <v>1313</v>
      </c>
      <c r="D649" t="s">
        <v>36</v>
      </c>
      <c r="E649" t="s">
        <v>29</v>
      </c>
      <c r="F649" t="s">
        <v>4061</v>
      </c>
      <c r="G649">
        <v>8</v>
      </c>
      <c r="H649">
        <v>1085.6199999999999</v>
      </c>
      <c r="I649">
        <v>5</v>
      </c>
      <c r="J649" t="s">
        <v>21</v>
      </c>
      <c r="K649">
        <v>8250.7099999999991</v>
      </c>
    </row>
    <row r="650" spans="1:11" x14ac:dyDescent="0.25">
      <c r="A650" t="s">
        <v>1314</v>
      </c>
      <c r="B650" s="1">
        <v>45662</v>
      </c>
      <c r="C650" t="s">
        <v>1315</v>
      </c>
      <c r="D650" t="s">
        <v>20</v>
      </c>
      <c r="E650" t="s">
        <v>3988</v>
      </c>
      <c r="F650" t="s">
        <v>4452</v>
      </c>
      <c r="G650">
        <v>5</v>
      </c>
      <c r="H650">
        <v>1691.36</v>
      </c>
      <c r="I650">
        <v>15</v>
      </c>
      <c r="J650" t="s">
        <v>14</v>
      </c>
      <c r="K650">
        <v>7188.28</v>
      </c>
    </row>
    <row r="651" spans="1:11" x14ac:dyDescent="0.25">
      <c r="A651" t="s">
        <v>1316</v>
      </c>
      <c r="B651" s="1">
        <v>45300</v>
      </c>
      <c r="C651" t="s">
        <v>1317</v>
      </c>
      <c r="D651" t="s">
        <v>24</v>
      </c>
      <c r="E651" t="s">
        <v>3988</v>
      </c>
      <c r="F651" t="s">
        <v>4075</v>
      </c>
      <c r="G651">
        <v>2</v>
      </c>
      <c r="H651">
        <v>1181.43</v>
      </c>
      <c r="I651">
        <v>0</v>
      </c>
      <c r="J651" t="s">
        <v>14</v>
      </c>
      <c r="K651">
        <v>2362.86</v>
      </c>
    </row>
    <row r="652" spans="1:11" x14ac:dyDescent="0.25">
      <c r="A652" t="s">
        <v>1318</v>
      </c>
      <c r="B652" s="1">
        <v>45459</v>
      </c>
      <c r="C652" t="s">
        <v>1319</v>
      </c>
      <c r="D652" t="s">
        <v>13</v>
      </c>
      <c r="E652" t="s">
        <v>29</v>
      </c>
      <c r="F652" t="s">
        <v>4159</v>
      </c>
      <c r="G652">
        <v>6</v>
      </c>
      <c r="H652">
        <v>1141.3900000000001</v>
      </c>
      <c r="I652">
        <v>5</v>
      </c>
      <c r="J652" t="s">
        <v>21</v>
      </c>
      <c r="K652">
        <v>6505.92</v>
      </c>
    </row>
    <row r="653" spans="1:11" x14ac:dyDescent="0.25">
      <c r="A653" t="s">
        <v>1320</v>
      </c>
      <c r="B653" s="1">
        <v>45404</v>
      </c>
      <c r="C653" t="s">
        <v>1321</v>
      </c>
      <c r="D653" t="s">
        <v>20</v>
      </c>
      <c r="E653" t="s">
        <v>3988</v>
      </c>
      <c r="F653" t="s">
        <v>4453</v>
      </c>
      <c r="G653">
        <v>5</v>
      </c>
      <c r="H653">
        <v>255.26</v>
      </c>
      <c r="I653">
        <v>0</v>
      </c>
      <c r="J653" t="s">
        <v>39</v>
      </c>
      <c r="K653">
        <v>1276.3</v>
      </c>
    </row>
    <row r="654" spans="1:11" x14ac:dyDescent="0.25">
      <c r="A654" t="s">
        <v>1322</v>
      </c>
      <c r="B654" s="1">
        <v>45366</v>
      </c>
      <c r="C654" t="s">
        <v>765</v>
      </c>
      <c r="D654" t="s">
        <v>36</v>
      </c>
      <c r="E654" t="s">
        <v>3988</v>
      </c>
      <c r="F654" t="s">
        <v>4235</v>
      </c>
      <c r="G654">
        <v>2</v>
      </c>
      <c r="H654">
        <v>376.35</v>
      </c>
      <c r="I654">
        <v>20</v>
      </c>
      <c r="J654" t="s">
        <v>14</v>
      </c>
      <c r="K654">
        <v>602.16</v>
      </c>
    </row>
    <row r="655" spans="1:11" x14ac:dyDescent="0.25">
      <c r="A655" t="s">
        <v>1323</v>
      </c>
      <c r="B655" s="1">
        <v>45821</v>
      </c>
      <c r="C655" t="s">
        <v>1324</v>
      </c>
      <c r="D655" t="s">
        <v>13</v>
      </c>
      <c r="E655" t="s">
        <v>3272</v>
      </c>
      <c r="F655" t="s">
        <v>4057</v>
      </c>
      <c r="G655">
        <v>3</v>
      </c>
      <c r="H655">
        <v>1945.45</v>
      </c>
      <c r="I655">
        <v>10</v>
      </c>
      <c r="J655" t="s">
        <v>39</v>
      </c>
      <c r="K655">
        <v>5252.72</v>
      </c>
    </row>
    <row r="656" spans="1:11" x14ac:dyDescent="0.25">
      <c r="A656" t="s">
        <v>1325</v>
      </c>
      <c r="B656" s="1">
        <v>45203</v>
      </c>
      <c r="C656" t="s">
        <v>1326</v>
      </c>
      <c r="D656" t="s">
        <v>13</v>
      </c>
      <c r="E656" t="s">
        <v>29</v>
      </c>
      <c r="F656" t="s">
        <v>4090</v>
      </c>
      <c r="G656">
        <v>9</v>
      </c>
      <c r="H656">
        <v>495.55</v>
      </c>
      <c r="I656">
        <v>20</v>
      </c>
      <c r="J656" t="s">
        <v>39</v>
      </c>
      <c r="K656">
        <v>3567.96</v>
      </c>
    </row>
    <row r="657" spans="1:11" x14ac:dyDescent="0.25">
      <c r="A657" t="s">
        <v>1327</v>
      </c>
      <c r="B657" s="1">
        <v>45750</v>
      </c>
      <c r="C657" t="s">
        <v>1328</v>
      </c>
      <c r="D657" t="s">
        <v>36</v>
      </c>
      <c r="E657" t="s">
        <v>3988</v>
      </c>
      <c r="F657" t="s">
        <v>4454</v>
      </c>
      <c r="G657">
        <v>7</v>
      </c>
      <c r="H657">
        <v>1956.03</v>
      </c>
      <c r="I657">
        <v>10</v>
      </c>
      <c r="J657" t="s">
        <v>39</v>
      </c>
      <c r="K657">
        <v>12322.99</v>
      </c>
    </row>
    <row r="658" spans="1:11" x14ac:dyDescent="0.25">
      <c r="A658" t="s">
        <v>1329</v>
      </c>
      <c r="B658" s="1">
        <v>45366</v>
      </c>
      <c r="C658" t="s">
        <v>1330</v>
      </c>
      <c r="D658" t="s">
        <v>36</v>
      </c>
      <c r="E658" t="s">
        <v>3272</v>
      </c>
      <c r="F658" t="s">
        <v>4455</v>
      </c>
      <c r="G658">
        <v>7</v>
      </c>
      <c r="H658">
        <v>1087.23</v>
      </c>
      <c r="I658">
        <v>15</v>
      </c>
      <c r="J658" t="s">
        <v>14</v>
      </c>
      <c r="K658">
        <v>6469.02</v>
      </c>
    </row>
    <row r="659" spans="1:11" x14ac:dyDescent="0.25">
      <c r="A659" t="s">
        <v>1331</v>
      </c>
      <c r="B659" s="1">
        <v>45422</v>
      </c>
      <c r="C659" t="s">
        <v>1332</v>
      </c>
      <c r="D659" t="s">
        <v>13</v>
      </c>
      <c r="E659" t="s">
        <v>3988</v>
      </c>
      <c r="F659" t="s">
        <v>4242</v>
      </c>
      <c r="G659">
        <v>6</v>
      </c>
      <c r="H659">
        <v>314.79000000000002</v>
      </c>
      <c r="I659">
        <v>5</v>
      </c>
      <c r="J659" t="s">
        <v>21</v>
      </c>
      <c r="K659">
        <v>1794.3</v>
      </c>
    </row>
    <row r="660" spans="1:11" x14ac:dyDescent="0.25">
      <c r="A660" t="s">
        <v>1333</v>
      </c>
      <c r="B660" s="1">
        <v>45648</v>
      </c>
      <c r="C660" t="s">
        <v>1334</v>
      </c>
      <c r="D660" t="s">
        <v>13</v>
      </c>
      <c r="E660" t="s">
        <v>29</v>
      </c>
      <c r="F660" t="s">
        <v>4456</v>
      </c>
      <c r="G660">
        <v>8</v>
      </c>
      <c r="H660">
        <v>243.64</v>
      </c>
      <c r="I660">
        <v>15</v>
      </c>
      <c r="J660" t="s">
        <v>17</v>
      </c>
      <c r="K660">
        <v>1656.75</v>
      </c>
    </row>
    <row r="661" spans="1:11" x14ac:dyDescent="0.25">
      <c r="A661" t="s">
        <v>1335</v>
      </c>
      <c r="B661" s="1">
        <v>45545</v>
      </c>
      <c r="C661" t="s">
        <v>1336</v>
      </c>
      <c r="D661" t="s">
        <v>24</v>
      </c>
      <c r="E661" t="s">
        <v>3272</v>
      </c>
      <c r="F661" t="s">
        <v>4457</v>
      </c>
      <c r="G661">
        <v>4</v>
      </c>
      <c r="H661">
        <v>457.28</v>
      </c>
      <c r="I661">
        <v>10</v>
      </c>
      <c r="J661" t="s">
        <v>21</v>
      </c>
      <c r="K661">
        <v>1646.21</v>
      </c>
    </row>
    <row r="662" spans="1:11" x14ac:dyDescent="0.25">
      <c r="A662" t="s">
        <v>1337</v>
      </c>
      <c r="B662" s="1">
        <v>45460</v>
      </c>
      <c r="C662" t="s">
        <v>1338</v>
      </c>
      <c r="D662" t="s">
        <v>24</v>
      </c>
      <c r="E662" t="s">
        <v>29</v>
      </c>
      <c r="F662" t="s">
        <v>4359</v>
      </c>
      <c r="G662">
        <v>8</v>
      </c>
      <c r="H662">
        <v>1854.99</v>
      </c>
      <c r="I662">
        <v>10</v>
      </c>
      <c r="J662" t="s">
        <v>14</v>
      </c>
      <c r="K662">
        <v>13355.93</v>
      </c>
    </row>
    <row r="663" spans="1:11" x14ac:dyDescent="0.25">
      <c r="A663" t="s">
        <v>1339</v>
      </c>
      <c r="B663" s="1">
        <v>45677</v>
      </c>
      <c r="C663" t="s">
        <v>1340</v>
      </c>
      <c r="D663" t="s">
        <v>20</v>
      </c>
      <c r="E663" t="s">
        <v>3988</v>
      </c>
      <c r="F663" t="s">
        <v>4004</v>
      </c>
      <c r="G663">
        <v>4</v>
      </c>
      <c r="H663">
        <v>857.59</v>
      </c>
      <c r="I663">
        <v>10</v>
      </c>
      <c r="J663" t="s">
        <v>21</v>
      </c>
      <c r="K663">
        <v>3087.32</v>
      </c>
    </row>
    <row r="664" spans="1:11" x14ac:dyDescent="0.25">
      <c r="A664" t="s">
        <v>1341</v>
      </c>
      <c r="B664" s="1">
        <v>45805</v>
      </c>
      <c r="C664" t="s">
        <v>1342</v>
      </c>
      <c r="D664" t="s">
        <v>13</v>
      </c>
      <c r="E664" t="s">
        <v>3272</v>
      </c>
      <c r="F664" t="s">
        <v>4458</v>
      </c>
      <c r="G664">
        <v>8</v>
      </c>
      <c r="H664">
        <v>821.1</v>
      </c>
      <c r="I664">
        <v>0</v>
      </c>
      <c r="J664" t="s">
        <v>17</v>
      </c>
      <c r="K664">
        <v>6568.8</v>
      </c>
    </row>
    <row r="665" spans="1:11" x14ac:dyDescent="0.25">
      <c r="A665" t="s">
        <v>1343</v>
      </c>
      <c r="B665" s="1">
        <v>45566</v>
      </c>
      <c r="C665" t="s">
        <v>1344</v>
      </c>
      <c r="D665" t="s">
        <v>24</v>
      </c>
      <c r="E665" t="s">
        <v>3272</v>
      </c>
      <c r="F665" t="s">
        <v>4459</v>
      </c>
      <c r="G665">
        <v>9</v>
      </c>
      <c r="H665">
        <v>660.75</v>
      </c>
      <c r="I665">
        <v>5</v>
      </c>
      <c r="J665" t="s">
        <v>21</v>
      </c>
      <c r="K665">
        <v>5649.41</v>
      </c>
    </row>
    <row r="666" spans="1:11" x14ac:dyDescent="0.25">
      <c r="A666" t="s">
        <v>1345</v>
      </c>
      <c r="B666" s="1">
        <v>45407</v>
      </c>
      <c r="C666" t="s">
        <v>1346</v>
      </c>
      <c r="D666" t="s">
        <v>13</v>
      </c>
      <c r="E666" t="s">
        <v>3988</v>
      </c>
      <c r="F666" t="s">
        <v>4460</v>
      </c>
      <c r="G666">
        <v>3</v>
      </c>
      <c r="H666">
        <v>336.77</v>
      </c>
      <c r="I666">
        <v>15</v>
      </c>
      <c r="J666" t="s">
        <v>14</v>
      </c>
      <c r="K666">
        <v>858.76</v>
      </c>
    </row>
    <row r="667" spans="1:11" x14ac:dyDescent="0.25">
      <c r="A667" t="s">
        <v>1347</v>
      </c>
      <c r="B667" s="1">
        <v>45879</v>
      </c>
      <c r="C667" t="s">
        <v>1348</v>
      </c>
      <c r="D667" t="s">
        <v>36</v>
      </c>
      <c r="E667" t="s">
        <v>3272</v>
      </c>
      <c r="F667" t="s">
        <v>4461</v>
      </c>
      <c r="G667">
        <v>3</v>
      </c>
      <c r="H667">
        <v>1001.31</v>
      </c>
      <c r="I667">
        <v>15</v>
      </c>
      <c r="J667" t="s">
        <v>39</v>
      </c>
      <c r="K667">
        <v>2553.34</v>
      </c>
    </row>
    <row r="668" spans="1:11" x14ac:dyDescent="0.25">
      <c r="A668" t="s">
        <v>1349</v>
      </c>
      <c r="B668" s="1">
        <v>45171</v>
      </c>
      <c r="C668" t="s">
        <v>1350</v>
      </c>
      <c r="D668" t="s">
        <v>24</v>
      </c>
      <c r="E668" t="s">
        <v>3988</v>
      </c>
      <c r="F668" t="s">
        <v>4089</v>
      </c>
      <c r="G668">
        <v>2</v>
      </c>
      <c r="H668">
        <v>303.58999999999997</v>
      </c>
      <c r="I668">
        <v>20</v>
      </c>
      <c r="J668" t="s">
        <v>17</v>
      </c>
      <c r="K668">
        <v>485.74</v>
      </c>
    </row>
    <row r="669" spans="1:11" x14ac:dyDescent="0.25">
      <c r="A669" t="s">
        <v>1351</v>
      </c>
      <c r="B669" s="1">
        <v>45239</v>
      </c>
      <c r="C669" t="s">
        <v>1352</v>
      </c>
      <c r="D669" t="s">
        <v>36</v>
      </c>
      <c r="E669" t="s">
        <v>29</v>
      </c>
      <c r="F669" t="s">
        <v>4307</v>
      </c>
      <c r="G669">
        <v>3</v>
      </c>
      <c r="H669">
        <v>1679.19</v>
      </c>
      <c r="I669">
        <v>10</v>
      </c>
      <c r="J669" t="s">
        <v>21</v>
      </c>
      <c r="K669">
        <v>4533.8100000000004</v>
      </c>
    </row>
    <row r="670" spans="1:11" x14ac:dyDescent="0.25">
      <c r="A670" t="s">
        <v>1353</v>
      </c>
      <c r="B670" s="1">
        <v>45831</v>
      </c>
      <c r="C670" t="s">
        <v>1354</v>
      </c>
      <c r="D670" t="s">
        <v>36</v>
      </c>
      <c r="E670" t="s">
        <v>29</v>
      </c>
      <c r="F670" t="s">
        <v>4462</v>
      </c>
      <c r="G670">
        <v>3</v>
      </c>
      <c r="H670">
        <v>772.27</v>
      </c>
      <c r="I670">
        <v>10</v>
      </c>
      <c r="J670" t="s">
        <v>14</v>
      </c>
      <c r="K670">
        <v>2085.13</v>
      </c>
    </row>
    <row r="671" spans="1:11" x14ac:dyDescent="0.25">
      <c r="A671" t="s">
        <v>1355</v>
      </c>
      <c r="B671" s="1">
        <v>45352</v>
      </c>
      <c r="C671" t="s">
        <v>1356</v>
      </c>
      <c r="D671" t="s">
        <v>36</v>
      </c>
      <c r="E671" t="s">
        <v>3988</v>
      </c>
      <c r="F671" t="s">
        <v>4001</v>
      </c>
      <c r="G671">
        <v>5</v>
      </c>
      <c r="H671">
        <v>780.87</v>
      </c>
      <c r="I671">
        <v>10</v>
      </c>
      <c r="J671" t="s">
        <v>17</v>
      </c>
      <c r="K671">
        <v>3513.92</v>
      </c>
    </row>
    <row r="672" spans="1:11" x14ac:dyDescent="0.25">
      <c r="A672" t="s">
        <v>1357</v>
      </c>
      <c r="B672" s="1">
        <v>45288</v>
      </c>
      <c r="C672" t="s">
        <v>1358</v>
      </c>
      <c r="D672" t="s">
        <v>20</v>
      </c>
      <c r="E672" t="s">
        <v>29</v>
      </c>
      <c r="F672" t="s">
        <v>4307</v>
      </c>
      <c r="G672">
        <v>5</v>
      </c>
      <c r="H672">
        <v>974.31</v>
      </c>
      <c r="I672">
        <v>15</v>
      </c>
      <c r="J672" t="s">
        <v>17</v>
      </c>
      <c r="K672">
        <v>4140.82</v>
      </c>
    </row>
    <row r="673" spans="1:11" x14ac:dyDescent="0.25">
      <c r="A673" t="s">
        <v>1359</v>
      </c>
      <c r="B673" s="1">
        <v>45600</v>
      </c>
      <c r="C673" t="s">
        <v>1360</v>
      </c>
      <c r="D673" t="s">
        <v>36</v>
      </c>
      <c r="E673" t="s">
        <v>29</v>
      </c>
      <c r="F673" t="s">
        <v>4462</v>
      </c>
      <c r="G673">
        <v>2</v>
      </c>
      <c r="H673">
        <v>916.05</v>
      </c>
      <c r="I673">
        <v>20</v>
      </c>
      <c r="J673" t="s">
        <v>21</v>
      </c>
      <c r="K673">
        <v>1465.68</v>
      </c>
    </row>
    <row r="674" spans="1:11" x14ac:dyDescent="0.25">
      <c r="A674" t="s">
        <v>1361</v>
      </c>
      <c r="B674" s="1">
        <v>45356</v>
      </c>
      <c r="C674" t="s">
        <v>1362</v>
      </c>
      <c r="D674" t="s">
        <v>20</v>
      </c>
      <c r="E674" t="s">
        <v>3988</v>
      </c>
      <c r="F674" t="s">
        <v>4463</v>
      </c>
      <c r="G674">
        <v>6</v>
      </c>
      <c r="H674">
        <v>1989.97</v>
      </c>
      <c r="I674">
        <v>0</v>
      </c>
      <c r="J674" t="s">
        <v>14</v>
      </c>
      <c r="K674">
        <v>11939.82</v>
      </c>
    </row>
    <row r="675" spans="1:11" x14ac:dyDescent="0.25">
      <c r="A675" t="s">
        <v>1363</v>
      </c>
      <c r="B675" s="1">
        <v>45179</v>
      </c>
      <c r="C675" t="s">
        <v>1364</v>
      </c>
      <c r="D675" t="s">
        <v>13</v>
      </c>
      <c r="E675" t="s">
        <v>3988</v>
      </c>
      <c r="F675" t="s">
        <v>4464</v>
      </c>
      <c r="G675">
        <v>5</v>
      </c>
      <c r="H675">
        <v>1113.49</v>
      </c>
      <c r="I675">
        <v>5</v>
      </c>
      <c r="J675" t="s">
        <v>14</v>
      </c>
      <c r="K675">
        <v>5289.08</v>
      </c>
    </row>
    <row r="676" spans="1:11" x14ac:dyDescent="0.25">
      <c r="A676" t="s">
        <v>1365</v>
      </c>
      <c r="B676" s="1">
        <v>45234</v>
      </c>
      <c r="C676" t="s">
        <v>1366</v>
      </c>
      <c r="D676" t="s">
        <v>13</v>
      </c>
      <c r="E676" t="s">
        <v>3988</v>
      </c>
      <c r="F676" t="s">
        <v>4373</v>
      </c>
      <c r="G676">
        <v>6</v>
      </c>
      <c r="H676">
        <v>221.99</v>
      </c>
      <c r="I676">
        <v>0</v>
      </c>
      <c r="J676" t="s">
        <v>17</v>
      </c>
      <c r="K676">
        <v>1331.94</v>
      </c>
    </row>
    <row r="677" spans="1:11" x14ac:dyDescent="0.25">
      <c r="A677" t="s">
        <v>1367</v>
      </c>
      <c r="B677" s="1">
        <v>45613</v>
      </c>
      <c r="C677" t="s">
        <v>1368</v>
      </c>
      <c r="D677" t="s">
        <v>24</v>
      </c>
      <c r="E677" t="s">
        <v>3272</v>
      </c>
      <c r="F677" t="s">
        <v>4097</v>
      </c>
      <c r="G677">
        <v>1</v>
      </c>
      <c r="H677">
        <v>1233.4100000000001</v>
      </c>
      <c r="I677">
        <v>15</v>
      </c>
      <c r="J677" t="s">
        <v>17</v>
      </c>
      <c r="K677">
        <v>1048.4000000000001</v>
      </c>
    </row>
    <row r="678" spans="1:11" x14ac:dyDescent="0.25">
      <c r="A678" t="s">
        <v>1369</v>
      </c>
      <c r="B678" s="1">
        <v>45487</v>
      </c>
      <c r="C678" t="s">
        <v>1370</v>
      </c>
      <c r="D678" t="s">
        <v>24</v>
      </c>
      <c r="E678" t="s">
        <v>3988</v>
      </c>
      <c r="F678" t="s">
        <v>4001</v>
      </c>
      <c r="G678">
        <v>5</v>
      </c>
      <c r="H678">
        <v>345.59</v>
      </c>
      <c r="I678">
        <v>10</v>
      </c>
      <c r="J678" t="s">
        <v>39</v>
      </c>
      <c r="K678">
        <v>1555.16</v>
      </c>
    </row>
    <row r="679" spans="1:11" x14ac:dyDescent="0.25">
      <c r="A679" t="s">
        <v>1371</v>
      </c>
      <c r="B679" s="1">
        <v>45418</v>
      </c>
      <c r="C679" t="s">
        <v>1372</v>
      </c>
      <c r="D679" t="s">
        <v>20</v>
      </c>
      <c r="E679" t="s">
        <v>3988</v>
      </c>
      <c r="F679" t="s">
        <v>4373</v>
      </c>
      <c r="G679">
        <v>9</v>
      </c>
      <c r="H679">
        <v>110.33</v>
      </c>
      <c r="I679">
        <v>5</v>
      </c>
      <c r="J679" t="s">
        <v>21</v>
      </c>
      <c r="K679">
        <v>943.32</v>
      </c>
    </row>
    <row r="680" spans="1:11" x14ac:dyDescent="0.25">
      <c r="A680" t="s">
        <v>1373</v>
      </c>
      <c r="B680" s="1">
        <v>45715</v>
      </c>
      <c r="C680" t="s">
        <v>1374</v>
      </c>
      <c r="D680" t="s">
        <v>13</v>
      </c>
      <c r="E680" t="s">
        <v>29</v>
      </c>
      <c r="F680" t="s">
        <v>4465</v>
      </c>
      <c r="G680">
        <v>2</v>
      </c>
      <c r="H680">
        <v>1942.95</v>
      </c>
      <c r="I680">
        <v>15</v>
      </c>
      <c r="J680" t="s">
        <v>39</v>
      </c>
      <c r="K680">
        <v>3303.02</v>
      </c>
    </row>
    <row r="681" spans="1:11" x14ac:dyDescent="0.25">
      <c r="A681" t="s">
        <v>1375</v>
      </c>
      <c r="B681" s="1">
        <v>45760</v>
      </c>
      <c r="C681" t="s">
        <v>1376</v>
      </c>
      <c r="D681" t="s">
        <v>24</v>
      </c>
      <c r="E681" t="s">
        <v>3988</v>
      </c>
      <c r="F681" t="s">
        <v>4437</v>
      </c>
      <c r="G681">
        <v>1</v>
      </c>
      <c r="H681">
        <v>1558.4</v>
      </c>
      <c r="I681">
        <v>15</v>
      </c>
      <c r="J681" t="s">
        <v>17</v>
      </c>
      <c r="K681">
        <v>1324.64</v>
      </c>
    </row>
    <row r="682" spans="1:11" x14ac:dyDescent="0.25">
      <c r="A682" t="s">
        <v>1377</v>
      </c>
      <c r="B682" s="1">
        <v>45393</v>
      </c>
      <c r="C682" t="s">
        <v>1378</v>
      </c>
      <c r="D682" t="s">
        <v>24</v>
      </c>
      <c r="E682" t="s">
        <v>3988</v>
      </c>
      <c r="F682" t="s">
        <v>4463</v>
      </c>
      <c r="G682">
        <v>9</v>
      </c>
      <c r="H682">
        <v>1961.21</v>
      </c>
      <c r="I682">
        <v>15</v>
      </c>
      <c r="J682" t="s">
        <v>17</v>
      </c>
      <c r="K682">
        <v>15003.26</v>
      </c>
    </row>
    <row r="683" spans="1:11" x14ac:dyDescent="0.25">
      <c r="A683" t="s">
        <v>1379</v>
      </c>
      <c r="B683" s="1">
        <v>45488</v>
      </c>
      <c r="C683" t="s">
        <v>1380</v>
      </c>
      <c r="D683" t="s">
        <v>24</v>
      </c>
      <c r="E683" t="s">
        <v>3988</v>
      </c>
      <c r="F683" t="s">
        <v>4464</v>
      </c>
      <c r="G683">
        <v>9</v>
      </c>
      <c r="H683">
        <v>981.86</v>
      </c>
      <c r="I683">
        <v>5</v>
      </c>
      <c r="J683" t="s">
        <v>14</v>
      </c>
      <c r="K683">
        <v>8394.9</v>
      </c>
    </row>
    <row r="684" spans="1:11" x14ac:dyDescent="0.25">
      <c r="A684" t="s">
        <v>1381</v>
      </c>
      <c r="B684" s="1">
        <v>45620</v>
      </c>
      <c r="C684" t="s">
        <v>1382</v>
      </c>
      <c r="D684" t="s">
        <v>13</v>
      </c>
      <c r="E684" t="s">
        <v>3272</v>
      </c>
      <c r="F684" t="s">
        <v>4097</v>
      </c>
      <c r="G684">
        <v>9</v>
      </c>
      <c r="H684">
        <v>1087.9000000000001</v>
      </c>
      <c r="I684">
        <v>5</v>
      </c>
      <c r="J684" t="s">
        <v>14</v>
      </c>
      <c r="K684">
        <v>9301.5400000000009</v>
      </c>
    </row>
    <row r="685" spans="1:11" x14ac:dyDescent="0.25">
      <c r="A685" t="s">
        <v>1383</v>
      </c>
      <c r="B685" s="1">
        <v>45547</v>
      </c>
      <c r="C685" t="s">
        <v>1384</v>
      </c>
      <c r="D685" t="s">
        <v>24</v>
      </c>
      <c r="E685" t="s">
        <v>3988</v>
      </c>
      <c r="F685" t="s">
        <v>4466</v>
      </c>
      <c r="G685">
        <v>6</v>
      </c>
      <c r="H685">
        <v>378.26</v>
      </c>
      <c r="I685">
        <v>20</v>
      </c>
      <c r="J685" t="s">
        <v>39</v>
      </c>
      <c r="K685">
        <v>1815.65</v>
      </c>
    </row>
    <row r="686" spans="1:11" x14ac:dyDescent="0.25">
      <c r="A686" t="s">
        <v>1385</v>
      </c>
      <c r="B686" s="1">
        <v>45239</v>
      </c>
      <c r="C686" t="s">
        <v>537</v>
      </c>
      <c r="D686" t="s">
        <v>13</v>
      </c>
      <c r="E686" t="s">
        <v>3988</v>
      </c>
      <c r="F686" t="s">
        <v>4467</v>
      </c>
      <c r="G686">
        <v>8</v>
      </c>
      <c r="H686">
        <v>531.47</v>
      </c>
      <c r="I686">
        <v>20</v>
      </c>
      <c r="J686" t="s">
        <v>17</v>
      </c>
      <c r="K686">
        <v>3401.41</v>
      </c>
    </row>
    <row r="687" spans="1:11" x14ac:dyDescent="0.25">
      <c r="A687" t="s">
        <v>1386</v>
      </c>
      <c r="B687" s="1">
        <v>45449</v>
      </c>
      <c r="C687" t="s">
        <v>1387</v>
      </c>
      <c r="D687" t="s">
        <v>36</v>
      </c>
      <c r="E687" t="s">
        <v>3272</v>
      </c>
      <c r="F687" t="s">
        <v>4468</v>
      </c>
      <c r="G687">
        <v>1</v>
      </c>
      <c r="H687">
        <v>1685.17</v>
      </c>
      <c r="I687">
        <v>0</v>
      </c>
      <c r="J687" t="s">
        <v>21</v>
      </c>
      <c r="K687">
        <v>1685.17</v>
      </c>
    </row>
    <row r="688" spans="1:11" x14ac:dyDescent="0.25">
      <c r="A688" t="s">
        <v>1388</v>
      </c>
      <c r="B688" s="1">
        <v>45848</v>
      </c>
      <c r="C688" t="s">
        <v>1389</v>
      </c>
      <c r="D688" t="s">
        <v>36</v>
      </c>
      <c r="E688" t="s">
        <v>3272</v>
      </c>
      <c r="F688" t="s">
        <v>4469</v>
      </c>
      <c r="G688">
        <v>4</v>
      </c>
      <c r="H688">
        <v>744.56</v>
      </c>
      <c r="I688">
        <v>5</v>
      </c>
      <c r="J688" t="s">
        <v>14</v>
      </c>
      <c r="K688">
        <v>2829.33</v>
      </c>
    </row>
    <row r="689" spans="1:11" x14ac:dyDescent="0.25">
      <c r="A689" t="s">
        <v>1390</v>
      </c>
      <c r="B689" s="1">
        <v>45597</v>
      </c>
      <c r="C689" t="s">
        <v>1391</v>
      </c>
      <c r="D689" t="s">
        <v>36</v>
      </c>
      <c r="E689" t="s">
        <v>3988</v>
      </c>
      <c r="F689" t="s">
        <v>4332</v>
      </c>
      <c r="G689">
        <v>1</v>
      </c>
      <c r="H689">
        <v>1662.29</v>
      </c>
      <c r="I689">
        <v>5</v>
      </c>
      <c r="J689" t="s">
        <v>14</v>
      </c>
      <c r="K689">
        <v>1579.18</v>
      </c>
    </row>
    <row r="690" spans="1:11" x14ac:dyDescent="0.25">
      <c r="A690" t="s">
        <v>1392</v>
      </c>
      <c r="B690" s="1">
        <v>45297</v>
      </c>
      <c r="C690" t="s">
        <v>1393</v>
      </c>
      <c r="D690" t="s">
        <v>20</v>
      </c>
      <c r="E690" t="s">
        <v>3988</v>
      </c>
      <c r="F690" t="s">
        <v>4470</v>
      </c>
      <c r="G690">
        <v>8</v>
      </c>
      <c r="H690">
        <v>1432.58</v>
      </c>
      <c r="I690">
        <v>5</v>
      </c>
      <c r="J690" t="s">
        <v>17</v>
      </c>
      <c r="K690">
        <v>10887.61</v>
      </c>
    </row>
    <row r="691" spans="1:11" x14ac:dyDescent="0.25">
      <c r="A691" t="s">
        <v>1394</v>
      </c>
      <c r="B691" s="1">
        <v>45347</v>
      </c>
      <c r="C691" t="s">
        <v>1395</v>
      </c>
      <c r="D691" t="s">
        <v>13</v>
      </c>
      <c r="E691" t="s">
        <v>29</v>
      </c>
      <c r="F691" t="s">
        <v>4192</v>
      </c>
      <c r="G691">
        <v>1</v>
      </c>
      <c r="H691">
        <v>395.48</v>
      </c>
      <c r="I691">
        <v>20</v>
      </c>
      <c r="J691" t="s">
        <v>21</v>
      </c>
      <c r="K691">
        <v>316.38</v>
      </c>
    </row>
    <row r="692" spans="1:11" x14ac:dyDescent="0.25">
      <c r="A692" t="s">
        <v>1396</v>
      </c>
      <c r="B692" s="1">
        <v>45184</v>
      </c>
      <c r="C692" t="s">
        <v>1397</v>
      </c>
      <c r="D692" t="s">
        <v>24</v>
      </c>
      <c r="E692" t="s">
        <v>3988</v>
      </c>
      <c r="F692" t="s">
        <v>4132</v>
      </c>
      <c r="G692">
        <v>3</v>
      </c>
      <c r="H692">
        <v>1039.52</v>
      </c>
      <c r="I692">
        <v>15</v>
      </c>
      <c r="J692" t="s">
        <v>39</v>
      </c>
      <c r="K692">
        <v>2650.78</v>
      </c>
    </row>
    <row r="693" spans="1:11" x14ac:dyDescent="0.25">
      <c r="A693" t="s">
        <v>1398</v>
      </c>
      <c r="B693" s="1">
        <v>45700</v>
      </c>
      <c r="C693" t="s">
        <v>1399</v>
      </c>
      <c r="D693" t="s">
        <v>20</v>
      </c>
      <c r="E693" t="s">
        <v>29</v>
      </c>
      <c r="F693" t="s">
        <v>4192</v>
      </c>
      <c r="G693">
        <v>4</v>
      </c>
      <c r="H693">
        <v>1370.91</v>
      </c>
      <c r="I693">
        <v>10</v>
      </c>
      <c r="J693" t="s">
        <v>21</v>
      </c>
      <c r="K693">
        <v>4935.28</v>
      </c>
    </row>
    <row r="694" spans="1:11" x14ac:dyDescent="0.25">
      <c r="A694" t="s">
        <v>1400</v>
      </c>
      <c r="B694" s="1">
        <v>45488</v>
      </c>
      <c r="C694" t="s">
        <v>1401</v>
      </c>
      <c r="D694" t="s">
        <v>20</v>
      </c>
      <c r="E694" t="s">
        <v>3988</v>
      </c>
      <c r="F694" t="s">
        <v>3990</v>
      </c>
      <c r="G694">
        <v>8</v>
      </c>
      <c r="H694">
        <v>508.32</v>
      </c>
      <c r="I694">
        <v>20</v>
      </c>
      <c r="J694" t="s">
        <v>17</v>
      </c>
      <c r="K694">
        <v>3253.25</v>
      </c>
    </row>
    <row r="695" spans="1:11" x14ac:dyDescent="0.25">
      <c r="A695" t="s">
        <v>1402</v>
      </c>
      <c r="B695" s="1">
        <v>45151</v>
      </c>
      <c r="C695" t="s">
        <v>1403</v>
      </c>
      <c r="D695" t="s">
        <v>36</v>
      </c>
      <c r="E695" t="s">
        <v>3272</v>
      </c>
      <c r="F695" t="s">
        <v>4150</v>
      </c>
      <c r="G695">
        <v>6</v>
      </c>
      <c r="H695">
        <v>1669.84</v>
      </c>
      <c r="I695">
        <v>5</v>
      </c>
      <c r="J695" t="s">
        <v>21</v>
      </c>
      <c r="K695">
        <v>9518.09</v>
      </c>
    </row>
    <row r="696" spans="1:11" x14ac:dyDescent="0.25">
      <c r="A696" t="s">
        <v>1404</v>
      </c>
      <c r="B696" s="1">
        <v>45553</v>
      </c>
      <c r="C696" t="s">
        <v>1405</v>
      </c>
      <c r="D696" t="s">
        <v>13</v>
      </c>
      <c r="E696" t="s">
        <v>3988</v>
      </c>
      <c r="F696" t="s">
        <v>4363</v>
      </c>
      <c r="G696">
        <v>7</v>
      </c>
      <c r="H696">
        <v>1112.4100000000001</v>
      </c>
      <c r="I696">
        <v>20</v>
      </c>
      <c r="J696" t="s">
        <v>21</v>
      </c>
      <c r="K696">
        <v>6229.5</v>
      </c>
    </row>
    <row r="697" spans="1:11" x14ac:dyDescent="0.25">
      <c r="A697" t="s">
        <v>1406</v>
      </c>
      <c r="B697" s="1">
        <v>45868</v>
      </c>
      <c r="C697" t="s">
        <v>1407</v>
      </c>
      <c r="D697" t="s">
        <v>24</v>
      </c>
      <c r="E697" t="s">
        <v>3272</v>
      </c>
      <c r="F697" t="s">
        <v>4150</v>
      </c>
      <c r="G697">
        <v>8</v>
      </c>
      <c r="H697">
        <v>372.22</v>
      </c>
      <c r="I697">
        <v>0</v>
      </c>
      <c r="J697" t="s">
        <v>17</v>
      </c>
      <c r="K697">
        <v>2977.76</v>
      </c>
    </row>
    <row r="698" spans="1:11" x14ac:dyDescent="0.25">
      <c r="A698" t="s">
        <v>1408</v>
      </c>
      <c r="B698" s="1">
        <v>45776</v>
      </c>
      <c r="C698" t="s">
        <v>1409</v>
      </c>
      <c r="D698" t="s">
        <v>20</v>
      </c>
      <c r="E698" t="s">
        <v>3988</v>
      </c>
      <c r="F698" t="s">
        <v>4471</v>
      </c>
      <c r="G698">
        <v>2</v>
      </c>
      <c r="H698">
        <v>1186.82</v>
      </c>
      <c r="I698">
        <v>5</v>
      </c>
      <c r="J698" t="s">
        <v>39</v>
      </c>
      <c r="K698">
        <v>2254.96</v>
      </c>
    </row>
    <row r="699" spans="1:11" x14ac:dyDescent="0.25">
      <c r="A699" t="s">
        <v>1410</v>
      </c>
      <c r="B699" s="1">
        <v>45568</v>
      </c>
      <c r="C699" t="s">
        <v>1411</v>
      </c>
      <c r="D699" t="s">
        <v>24</v>
      </c>
      <c r="E699" t="s">
        <v>3272</v>
      </c>
      <c r="F699" t="s">
        <v>4215</v>
      </c>
      <c r="G699">
        <v>8</v>
      </c>
      <c r="H699">
        <v>1999.44</v>
      </c>
      <c r="I699">
        <v>0</v>
      </c>
      <c r="J699" t="s">
        <v>21</v>
      </c>
      <c r="K699">
        <v>15995.52</v>
      </c>
    </row>
    <row r="700" spans="1:11" x14ac:dyDescent="0.25">
      <c r="A700" t="s">
        <v>1412</v>
      </c>
      <c r="B700" s="1">
        <v>45683</v>
      </c>
      <c r="C700" t="s">
        <v>1413</v>
      </c>
      <c r="D700" t="s">
        <v>36</v>
      </c>
      <c r="E700" t="s">
        <v>3272</v>
      </c>
      <c r="F700" t="s">
        <v>4420</v>
      </c>
      <c r="G700">
        <v>3</v>
      </c>
      <c r="H700">
        <v>343.52</v>
      </c>
      <c r="I700">
        <v>5</v>
      </c>
      <c r="J700" t="s">
        <v>17</v>
      </c>
      <c r="K700">
        <v>979.03</v>
      </c>
    </row>
    <row r="701" spans="1:11" x14ac:dyDescent="0.25">
      <c r="A701" t="s">
        <v>1414</v>
      </c>
      <c r="B701" s="1">
        <v>45708</v>
      </c>
      <c r="C701" t="s">
        <v>1415</v>
      </c>
      <c r="D701" t="s">
        <v>13</v>
      </c>
      <c r="E701" t="s">
        <v>3272</v>
      </c>
      <c r="F701" t="s">
        <v>4294</v>
      </c>
      <c r="G701">
        <v>7</v>
      </c>
      <c r="H701">
        <v>1642.68</v>
      </c>
      <c r="I701">
        <v>20</v>
      </c>
      <c r="J701" t="s">
        <v>21</v>
      </c>
      <c r="K701">
        <v>9199.01</v>
      </c>
    </row>
    <row r="702" spans="1:11" x14ac:dyDescent="0.25">
      <c r="A702" t="s">
        <v>1416</v>
      </c>
      <c r="B702" s="1">
        <v>45880</v>
      </c>
      <c r="C702" t="s">
        <v>1417</v>
      </c>
      <c r="D702" t="s">
        <v>24</v>
      </c>
      <c r="E702" t="s">
        <v>29</v>
      </c>
      <c r="F702" t="s">
        <v>4219</v>
      </c>
      <c r="G702">
        <v>3</v>
      </c>
      <c r="H702">
        <v>454.25</v>
      </c>
      <c r="I702">
        <v>15</v>
      </c>
      <c r="J702" t="s">
        <v>17</v>
      </c>
      <c r="K702">
        <v>1158.3399999999999</v>
      </c>
    </row>
    <row r="703" spans="1:11" x14ac:dyDescent="0.25">
      <c r="A703" t="s">
        <v>1418</v>
      </c>
      <c r="B703" s="1">
        <v>45726</v>
      </c>
      <c r="C703" t="s">
        <v>1419</v>
      </c>
      <c r="D703" t="s">
        <v>24</v>
      </c>
      <c r="E703" t="s">
        <v>29</v>
      </c>
      <c r="F703" t="s">
        <v>4154</v>
      </c>
      <c r="G703">
        <v>7</v>
      </c>
      <c r="H703">
        <v>1575.66</v>
      </c>
      <c r="I703">
        <v>10</v>
      </c>
      <c r="J703" t="s">
        <v>39</v>
      </c>
      <c r="K703">
        <v>9926.66</v>
      </c>
    </row>
    <row r="704" spans="1:11" x14ac:dyDescent="0.25">
      <c r="A704" t="s">
        <v>1420</v>
      </c>
      <c r="B704" s="1">
        <v>45722</v>
      </c>
      <c r="C704" t="s">
        <v>1421</v>
      </c>
      <c r="D704" t="s">
        <v>20</v>
      </c>
      <c r="E704" t="s">
        <v>3272</v>
      </c>
      <c r="F704" t="s">
        <v>4472</v>
      </c>
      <c r="G704">
        <v>2</v>
      </c>
      <c r="H704">
        <v>1482.43</v>
      </c>
      <c r="I704">
        <v>0</v>
      </c>
      <c r="J704" t="s">
        <v>14</v>
      </c>
      <c r="K704">
        <v>2964.86</v>
      </c>
    </row>
    <row r="705" spans="1:11" x14ac:dyDescent="0.25">
      <c r="A705" t="s">
        <v>1422</v>
      </c>
      <c r="B705" s="1">
        <v>45670</v>
      </c>
      <c r="C705" t="s">
        <v>1423</v>
      </c>
      <c r="D705" t="s">
        <v>24</v>
      </c>
      <c r="E705" t="s">
        <v>3272</v>
      </c>
      <c r="F705" t="s">
        <v>4473</v>
      </c>
      <c r="G705">
        <v>6</v>
      </c>
      <c r="H705">
        <v>635.95000000000005</v>
      </c>
      <c r="I705">
        <v>20</v>
      </c>
      <c r="J705" t="s">
        <v>39</v>
      </c>
      <c r="K705">
        <v>3052.56</v>
      </c>
    </row>
    <row r="706" spans="1:11" x14ac:dyDescent="0.25">
      <c r="A706" t="s">
        <v>1424</v>
      </c>
      <c r="B706" s="1">
        <v>45303</v>
      </c>
      <c r="C706" t="s">
        <v>1425</v>
      </c>
      <c r="D706" t="s">
        <v>13</v>
      </c>
      <c r="E706" t="s">
        <v>29</v>
      </c>
      <c r="F706" t="s">
        <v>4061</v>
      </c>
      <c r="G706">
        <v>3</v>
      </c>
      <c r="H706">
        <v>685.36</v>
      </c>
      <c r="I706">
        <v>15</v>
      </c>
      <c r="J706" t="s">
        <v>14</v>
      </c>
      <c r="K706">
        <v>1747.67</v>
      </c>
    </row>
    <row r="707" spans="1:11" x14ac:dyDescent="0.25">
      <c r="A707" t="s">
        <v>1426</v>
      </c>
      <c r="B707" s="1">
        <v>45432</v>
      </c>
      <c r="C707" t="s">
        <v>1427</v>
      </c>
      <c r="D707" t="s">
        <v>13</v>
      </c>
      <c r="E707" t="s">
        <v>3988</v>
      </c>
      <c r="F707" t="s">
        <v>4474</v>
      </c>
      <c r="G707">
        <v>3</v>
      </c>
      <c r="H707">
        <v>1595.42</v>
      </c>
      <c r="I707">
        <v>20</v>
      </c>
      <c r="J707" t="s">
        <v>14</v>
      </c>
      <c r="K707">
        <v>3829.01</v>
      </c>
    </row>
    <row r="708" spans="1:11" x14ac:dyDescent="0.25">
      <c r="A708" t="s">
        <v>1428</v>
      </c>
      <c r="B708" s="1">
        <v>45484</v>
      </c>
      <c r="C708" t="s">
        <v>1429</v>
      </c>
      <c r="D708" t="s">
        <v>24</v>
      </c>
      <c r="E708" t="s">
        <v>3272</v>
      </c>
      <c r="F708" t="s">
        <v>4475</v>
      </c>
      <c r="G708">
        <v>9</v>
      </c>
      <c r="H708">
        <v>949.82</v>
      </c>
      <c r="I708">
        <v>0</v>
      </c>
      <c r="J708" t="s">
        <v>21</v>
      </c>
      <c r="K708">
        <v>8548.3799999999992</v>
      </c>
    </row>
    <row r="709" spans="1:11" x14ac:dyDescent="0.25">
      <c r="A709" t="s">
        <v>1430</v>
      </c>
      <c r="B709" s="1">
        <v>45204</v>
      </c>
      <c r="C709" t="s">
        <v>1431</v>
      </c>
      <c r="D709" t="s">
        <v>20</v>
      </c>
      <c r="E709" t="s">
        <v>3988</v>
      </c>
      <c r="F709" t="s">
        <v>4430</v>
      </c>
      <c r="G709">
        <v>7</v>
      </c>
      <c r="H709">
        <v>1475.1</v>
      </c>
      <c r="I709">
        <v>10</v>
      </c>
      <c r="J709" t="s">
        <v>17</v>
      </c>
      <c r="K709">
        <v>9293.1299999999992</v>
      </c>
    </row>
    <row r="710" spans="1:11" x14ac:dyDescent="0.25">
      <c r="A710" t="s">
        <v>1432</v>
      </c>
      <c r="B710" s="1">
        <v>45665</v>
      </c>
      <c r="C710" t="s">
        <v>1433</v>
      </c>
      <c r="D710" t="s">
        <v>20</v>
      </c>
      <c r="E710" t="s">
        <v>29</v>
      </c>
      <c r="F710" t="s">
        <v>4476</v>
      </c>
      <c r="G710">
        <v>5</v>
      </c>
      <c r="H710">
        <v>338.57</v>
      </c>
      <c r="I710">
        <v>20</v>
      </c>
      <c r="J710" t="s">
        <v>17</v>
      </c>
      <c r="K710">
        <v>1354.28</v>
      </c>
    </row>
    <row r="711" spans="1:11" x14ac:dyDescent="0.25">
      <c r="A711" t="s">
        <v>1434</v>
      </c>
      <c r="B711" s="1">
        <v>45865</v>
      </c>
      <c r="C711" t="s">
        <v>1435</v>
      </c>
      <c r="D711" t="s">
        <v>36</v>
      </c>
      <c r="E711" t="s">
        <v>3272</v>
      </c>
      <c r="F711" t="s">
        <v>4477</v>
      </c>
      <c r="G711">
        <v>7</v>
      </c>
      <c r="H711">
        <v>1712.49</v>
      </c>
      <c r="I711">
        <v>5</v>
      </c>
      <c r="J711" t="s">
        <v>17</v>
      </c>
      <c r="K711">
        <v>11388.06</v>
      </c>
    </row>
    <row r="712" spans="1:11" x14ac:dyDescent="0.25">
      <c r="A712" t="s">
        <v>1436</v>
      </c>
      <c r="B712" s="1">
        <v>45406</v>
      </c>
      <c r="C712" t="s">
        <v>1437</v>
      </c>
      <c r="D712" t="s">
        <v>13</v>
      </c>
      <c r="E712" t="s">
        <v>3988</v>
      </c>
      <c r="F712" t="s">
        <v>4430</v>
      </c>
      <c r="G712">
        <v>9</v>
      </c>
      <c r="H712">
        <v>1436.23</v>
      </c>
      <c r="I712">
        <v>15</v>
      </c>
      <c r="J712" t="s">
        <v>39</v>
      </c>
      <c r="K712">
        <v>10987.16</v>
      </c>
    </row>
    <row r="713" spans="1:11" x14ac:dyDescent="0.25">
      <c r="A713" t="s">
        <v>1438</v>
      </c>
      <c r="B713" s="1">
        <v>45634</v>
      </c>
      <c r="C713" t="s">
        <v>1439</v>
      </c>
      <c r="D713" t="s">
        <v>36</v>
      </c>
      <c r="E713" t="s">
        <v>29</v>
      </c>
      <c r="F713" t="s">
        <v>4476</v>
      </c>
      <c r="G713">
        <v>1</v>
      </c>
      <c r="H713">
        <v>1818.54</v>
      </c>
      <c r="I713">
        <v>20</v>
      </c>
      <c r="J713" t="s">
        <v>39</v>
      </c>
      <c r="K713">
        <v>1454.83</v>
      </c>
    </row>
    <row r="714" spans="1:11" x14ac:dyDescent="0.25">
      <c r="A714" t="s">
        <v>1440</v>
      </c>
      <c r="B714" s="1">
        <v>45393</v>
      </c>
      <c r="C714" t="s">
        <v>1441</v>
      </c>
      <c r="D714" t="s">
        <v>20</v>
      </c>
      <c r="E714" t="s">
        <v>3988</v>
      </c>
      <c r="F714" t="s">
        <v>4478</v>
      </c>
      <c r="G714">
        <v>7</v>
      </c>
      <c r="H714">
        <v>308.13</v>
      </c>
      <c r="I714">
        <v>15</v>
      </c>
      <c r="J714" t="s">
        <v>39</v>
      </c>
      <c r="K714">
        <v>1833.37</v>
      </c>
    </row>
    <row r="715" spans="1:11" x14ac:dyDescent="0.25">
      <c r="A715" t="s">
        <v>1442</v>
      </c>
      <c r="B715" s="1">
        <v>45665</v>
      </c>
      <c r="C715" t="s">
        <v>1443</v>
      </c>
      <c r="D715" t="s">
        <v>36</v>
      </c>
      <c r="E715" t="s">
        <v>29</v>
      </c>
      <c r="F715" t="s">
        <v>4479</v>
      </c>
      <c r="G715">
        <v>6</v>
      </c>
      <c r="H715">
        <v>1206.3800000000001</v>
      </c>
      <c r="I715">
        <v>5</v>
      </c>
      <c r="J715" t="s">
        <v>39</v>
      </c>
      <c r="K715">
        <v>6876.37</v>
      </c>
    </row>
    <row r="716" spans="1:11" x14ac:dyDescent="0.25">
      <c r="A716" t="s">
        <v>1444</v>
      </c>
      <c r="B716" s="1">
        <v>45808</v>
      </c>
      <c r="C716" t="s">
        <v>1445</v>
      </c>
      <c r="D716" t="s">
        <v>20</v>
      </c>
      <c r="E716" t="s">
        <v>3988</v>
      </c>
      <c r="F716" t="s">
        <v>4480</v>
      </c>
      <c r="G716">
        <v>9</v>
      </c>
      <c r="H716">
        <v>1218.29</v>
      </c>
      <c r="I716">
        <v>10</v>
      </c>
      <c r="J716" t="s">
        <v>21</v>
      </c>
      <c r="K716">
        <v>9868.15</v>
      </c>
    </row>
    <row r="717" spans="1:11" x14ac:dyDescent="0.25">
      <c r="A717" t="s">
        <v>1446</v>
      </c>
      <c r="B717" s="1">
        <v>45246</v>
      </c>
      <c r="C717" t="s">
        <v>1447</v>
      </c>
      <c r="D717" t="s">
        <v>36</v>
      </c>
      <c r="E717" t="s">
        <v>3988</v>
      </c>
      <c r="F717" t="s">
        <v>4481</v>
      </c>
      <c r="G717">
        <v>1</v>
      </c>
      <c r="H717">
        <v>739.25</v>
      </c>
      <c r="I717">
        <v>10</v>
      </c>
      <c r="J717" t="s">
        <v>21</v>
      </c>
      <c r="K717">
        <v>665.32</v>
      </c>
    </row>
    <row r="718" spans="1:11" x14ac:dyDescent="0.25">
      <c r="A718" t="s">
        <v>1448</v>
      </c>
      <c r="B718" s="1">
        <v>45709</v>
      </c>
      <c r="C718" t="s">
        <v>1449</v>
      </c>
      <c r="D718" t="s">
        <v>36</v>
      </c>
      <c r="E718" t="s">
        <v>29</v>
      </c>
      <c r="F718" t="s">
        <v>4482</v>
      </c>
      <c r="G718">
        <v>4</v>
      </c>
      <c r="H718">
        <v>944.01</v>
      </c>
      <c r="I718">
        <v>5</v>
      </c>
      <c r="J718" t="s">
        <v>14</v>
      </c>
      <c r="K718">
        <v>3587.24</v>
      </c>
    </row>
    <row r="719" spans="1:11" x14ac:dyDescent="0.25">
      <c r="A719" t="s">
        <v>1450</v>
      </c>
      <c r="B719" s="1">
        <v>45849</v>
      </c>
      <c r="C719" t="s">
        <v>1451</v>
      </c>
      <c r="D719" t="s">
        <v>13</v>
      </c>
      <c r="E719" t="s">
        <v>29</v>
      </c>
      <c r="F719" t="s">
        <v>4483</v>
      </c>
      <c r="G719">
        <v>9</v>
      </c>
      <c r="H719">
        <v>124.06</v>
      </c>
      <c r="I719">
        <v>15</v>
      </c>
      <c r="J719" t="s">
        <v>14</v>
      </c>
      <c r="K719">
        <v>949.06</v>
      </c>
    </row>
    <row r="720" spans="1:11" x14ac:dyDescent="0.25">
      <c r="A720" t="s">
        <v>1452</v>
      </c>
      <c r="B720" s="1">
        <v>45383</v>
      </c>
      <c r="C720" t="s">
        <v>1453</v>
      </c>
      <c r="D720" t="s">
        <v>13</v>
      </c>
      <c r="E720" t="s">
        <v>3988</v>
      </c>
      <c r="F720" t="s">
        <v>4484</v>
      </c>
      <c r="G720">
        <v>4</v>
      </c>
      <c r="H720">
        <v>1504.43</v>
      </c>
      <c r="I720">
        <v>20</v>
      </c>
      <c r="J720" t="s">
        <v>17</v>
      </c>
      <c r="K720">
        <v>4814.18</v>
      </c>
    </row>
    <row r="721" spans="1:11" x14ac:dyDescent="0.25">
      <c r="A721" t="s">
        <v>1454</v>
      </c>
      <c r="B721" s="1">
        <v>45543</v>
      </c>
      <c r="C721" t="s">
        <v>1455</v>
      </c>
      <c r="D721" t="s">
        <v>36</v>
      </c>
      <c r="E721" t="s">
        <v>3988</v>
      </c>
      <c r="F721" t="s">
        <v>4485</v>
      </c>
      <c r="G721">
        <v>3</v>
      </c>
      <c r="H721">
        <v>1121.18</v>
      </c>
      <c r="I721">
        <v>5</v>
      </c>
      <c r="J721" t="s">
        <v>39</v>
      </c>
      <c r="K721">
        <v>3195.36</v>
      </c>
    </row>
    <row r="722" spans="1:11" x14ac:dyDescent="0.25">
      <c r="A722" t="s">
        <v>1456</v>
      </c>
      <c r="B722" s="1">
        <v>45390</v>
      </c>
      <c r="C722" t="s">
        <v>1457</v>
      </c>
      <c r="D722" t="s">
        <v>20</v>
      </c>
      <c r="E722" t="s">
        <v>3988</v>
      </c>
      <c r="F722" t="s">
        <v>4486</v>
      </c>
      <c r="G722">
        <v>9</v>
      </c>
      <c r="H722">
        <v>162.6</v>
      </c>
      <c r="I722">
        <v>0</v>
      </c>
      <c r="J722" t="s">
        <v>21</v>
      </c>
      <c r="K722">
        <v>1463.4</v>
      </c>
    </row>
    <row r="723" spans="1:11" x14ac:dyDescent="0.25">
      <c r="A723" t="s">
        <v>1458</v>
      </c>
      <c r="B723" s="1">
        <v>45667</v>
      </c>
      <c r="C723" t="s">
        <v>1459</v>
      </c>
      <c r="D723" t="s">
        <v>20</v>
      </c>
      <c r="E723" t="s">
        <v>3272</v>
      </c>
      <c r="F723" t="s">
        <v>4487</v>
      </c>
      <c r="G723">
        <v>2</v>
      </c>
      <c r="H723">
        <v>1377.47</v>
      </c>
      <c r="I723">
        <v>15</v>
      </c>
      <c r="J723" t="s">
        <v>14</v>
      </c>
      <c r="K723">
        <v>2341.6999999999998</v>
      </c>
    </row>
    <row r="724" spans="1:11" x14ac:dyDescent="0.25">
      <c r="A724" t="s">
        <v>1460</v>
      </c>
      <c r="B724" s="1">
        <v>45467</v>
      </c>
      <c r="C724" t="s">
        <v>1461</v>
      </c>
      <c r="D724" t="s">
        <v>13</v>
      </c>
      <c r="E724" t="s">
        <v>3988</v>
      </c>
      <c r="F724" t="s">
        <v>4488</v>
      </c>
      <c r="G724">
        <v>4</v>
      </c>
      <c r="H724">
        <v>960.23</v>
      </c>
      <c r="I724">
        <v>10</v>
      </c>
      <c r="J724" t="s">
        <v>17</v>
      </c>
      <c r="K724">
        <v>3456.83</v>
      </c>
    </row>
    <row r="725" spans="1:11" x14ac:dyDescent="0.25">
      <c r="A725" t="s">
        <v>1462</v>
      </c>
      <c r="B725" s="1">
        <v>45403</v>
      </c>
      <c r="C725" t="s">
        <v>1463</v>
      </c>
      <c r="D725" t="s">
        <v>13</v>
      </c>
      <c r="E725" t="s">
        <v>3988</v>
      </c>
      <c r="F725" t="s">
        <v>4489</v>
      </c>
      <c r="G725">
        <v>6</v>
      </c>
      <c r="H725">
        <v>117.2</v>
      </c>
      <c r="I725">
        <v>5</v>
      </c>
      <c r="J725" t="s">
        <v>17</v>
      </c>
      <c r="K725">
        <v>668.04</v>
      </c>
    </row>
    <row r="726" spans="1:11" x14ac:dyDescent="0.25">
      <c r="A726" t="s">
        <v>1464</v>
      </c>
      <c r="B726" s="1">
        <v>45462</v>
      </c>
      <c r="C726" t="s">
        <v>1465</v>
      </c>
      <c r="D726" t="s">
        <v>24</v>
      </c>
      <c r="E726" t="s">
        <v>3272</v>
      </c>
      <c r="F726" t="s">
        <v>4415</v>
      </c>
      <c r="G726">
        <v>2</v>
      </c>
      <c r="H726">
        <v>1940.74</v>
      </c>
      <c r="I726">
        <v>10</v>
      </c>
      <c r="J726" t="s">
        <v>39</v>
      </c>
      <c r="K726">
        <v>3493.33</v>
      </c>
    </row>
    <row r="727" spans="1:11" x14ac:dyDescent="0.25">
      <c r="A727" t="s">
        <v>1466</v>
      </c>
      <c r="B727" s="1">
        <v>45691</v>
      </c>
      <c r="C727" t="s">
        <v>1467</v>
      </c>
      <c r="D727" t="s">
        <v>13</v>
      </c>
      <c r="E727" t="s">
        <v>3988</v>
      </c>
      <c r="F727" t="s">
        <v>4490</v>
      </c>
      <c r="G727">
        <v>8</v>
      </c>
      <c r="H727">
        <v>1900.77</v>
      </c>
      <c r="I727">
        <v>15</v>
      </c>
      <c r="J727" t="s">
        <v>39</v>
      </c>
      <c r="K727">
        <v>12925.24</v>
      </c>
    </row>
    <row r="728" spans="1:11" x14ac:dyDescent="0.25">
      <c r="A728" t="s">
        <v>1468</v>
      </c>
      <c r="B728" s="1">
        <v>45379</v>
      </c>
      <c r="C728" t="s">
        <v>1469</v>
      </c>
      <c r="D728" t="s">
        <v>20</v>
      </c>
      <c r="E728" t="s">
        <v>3272</v>
      </c>
      <c r="F728" t="s">
        <v>4491</v>
      </c>
      <c r="G728">
        <v>8</v>
      </c>
      <c r="H728">
        <v>1050.1600000000001</v>
      </c>
      <c r="I728">
        <v>10</v>
      </c>
      <c r="J728" t="s">
        <v>17</v>
      </c>
      <c r="K728">
        <v>7561.15</v>
      </c>
    </row>
    <row r="729" spans="1:11" x14ac:dyDescent="0.25">
      <c r="A729" t="s">
        <v>1470</v>
      </c>
      <c r="B729" s="1">
        <v>45580</v>
      </c>
      <c r="C729" t="s">
        <v>1471</v>
      </c>
      <c r="D729" t="s">
        <v>13</v>
      </c>
      <c r="E729" t="s">
        <v>29</v>
      </c>
      <c r="F729" t="s">
        <v>4219</v>
      </c>
      <c r="G729">
        <v>1</v>
      </c>
      <c r="H729">
        <v>232.66</v>
      </c>
      <c r="I729">
        <v>5</v>
      </c>
      <c r="J729" t="s">
        <v>39</v>
      </c>
      <c r="K729">
        <v>221.03</v>
      </c>
    </row>
    <row r="730" spans="1:11" x14ac:dyDescent="0.25">
      <c r="A730" t="s">
        <v>1472</v>
      </c>
      <c r="B730" s="1">
        <v>45248</v>
      </c>
      <c r="C730" t="s">
        <v>1473</v>
      </c>
      <c r="D730" t="s">
        <v>24</v>
      </c>
      <c r="E730" t="s">
        <v>3272</v>
      </c>
      <c r="F730" t="s">
        <v>4492</v>
      </c>
      <c r="G730">
        <v>3</v>
      </c>
      <c r="H730">
        <v>1521.51</v>
      </c>
      <c r="I730">
        <v>15</v>
      </c>
      <c r="J730" t="s">
        <v>39</v>
      </c>
      <c r="K730">
        <v>3879.85</v>
      </c>
    </row>
    <row r="731" spans="1:11" x14ac:dyDescent="0.25">
      <c r="A731" t="s">
        <v>1474</v>
      </c>
      <c r="B731" s="1">
        <v>45299</v>
      </c>
      <c r="C731" t="s">
        <v>1475</v>
      </c>
      <c r="D731" t="s">
        <v>36</v>
      </c>
      <c r="E731" t="s">
        <v>3272</v>
      </c>
      <c r="F731" t="s">
        <v>4007</v>
      </c>
      <c r="G731">
        <v>9</v>
      </c>
      <c r="H731">
        <v>1009.27</v>
      </c>
      <c r="I731">
        <v>0</v>
      </c>
      <c r="J731" t="s">
        <v>14</v>
      </c>
      <c r="K731">
        <v>9083.43</v>
      </c>
    </row>
    <row r="732" spans="1:11" x14ac:dyDescent="0.25">
      <c r="A732" t="s">
        <v>1476</v>
      </c>
      <c r="B732" s="1">
        <v>45476</v>
      </c>
      <c r="C732" t="s">
        <v>1477</v>
      </c>
      <c r="D732" t="s">
        <v>36</v>
      </c>
      <c r="E732" t="s">
        <v>29</v>
      </c>
      <c r="F732" t="s">
        <v>4493</v>
      </c>
      <c r="G732">
        <v>5</v>
      </c>
      <c r="H732">
        <v>639.77</v>
      </c>
      <c r="I732">
        <v>5</v>
      </c>
      <c r="J732" t="s">
        <v>14</v>
      </c>
      <c r="K732">
        <v>3038.91</v>
      </c>
    </row>
    <row r="733" spans="1:11" x14ac:dyDescent="0.25">
      <c r="A733" t="s">
        <v>1478</v>
      </c>
      <c r="B733" s="1">
        <v>45666</v>
      </c>
      <c r="C733" t="s">
        <v>1479</v>
      </c>
      <c r="D733" t="s">
        <v>20</v>
      </c>
      <c r="E733" t="s">
        <v>3988</v>
      </c>
      <c r="F733" t="s">
        <v>4494</v>
      </c>
      <c r="G733">
        <v>6</v>
      </c>
      <c r="H733">
        <v>1008.27</v>
      </c>
      <c r="I733">
        <v>20</v>
      </c>
      <c r="J733" t="s">
        <v>14</v>
      </c>
      <c r="K733">
        <v>4839.7</v>
      </c>
    </row>
    <row r="734" spans="1:11" x14ac:dyDescent="0.25">
      <c r="A734" t="s">
        <v>1480</v>
      </c>
      <c r="B734" s="1">
        <v>45880</v>
      </c>
      <c r="C734" t="s">
        <v>1481</v>
      </c>
      <c r="D734" t="s">
        <v>24</v>
      </c>
      <c r="E734" t="s">
        <v>3272</v>
      </c>
      <c r="F734" t="s">
        <v>4122</v>
      </c>
      <c r="G734">
        <v>4</v>
      </c>
      <c r="H734">
        <v>1068.77</v>
      </c>
      <c r="I734">
        <v>5</v>
      </c>
      <c r="J734" t="s">
        <v>21</v>
      </c>
      <c r="K734">
        <v>4061.33</v>
      </c>
    </row>
    <row r="735" spans="1:11" x14ac:dyDescent="0.25">
      <c r="A735" t="s">
        <v>1482</v>
      </c>
      <c r="B735" s="1">
        <v>45444</v>
      </c>
      <c r="C735" t="s">
        <v>1483</v>
      </c>
      <c r="D735" t="s">
        <v>36</v>
      </c>
      <c r="E735" t="s">
        <v>3988</v>
      </c>
      <c r="F735" t="s">
        <v>4494</v>
      </c>
      <c r="G735">
        <v>2</v>
      </c>
      <c r="H735">
        <v>1147.29</v>
      </c>
      <c r="I735">
        <v>15</v>
      </c>
      <c r="J735" t="s">
        <v>39</v>
      </c>
      <c r="K735">
        <v>1950.39</v>
      </c>
    </row>
    <row r="736" spans="1:11" x14ac:dyDescent="0.25">
      <c r="A736" t="s">
        <v>1484</v>
      </c>
      <c r="B736" s="1">
        <v>45676</v>
      </c>
      <c r="C736" t="s">
        <v>1485</v>
      </c>
      <c r="D736" t="s">
        <v>36</v>
      </c>
      <c r="E736" t="s">
        <v>29</v>
      </c>
      <c r="F736" t="s">
        <v>4495</v>
      </c>
      <c r="G736">
        <v>8</v>
      </c>
      <c r="H736">
        <v>910.39</v>
      </c>
      <c r="I736">
        <v>5</v>
      </c>
      <c r="J736" t="s">
        <v>14</v>
      </c>
      <c r="K736">
        <v>6918.96</v>
      </c>
    </row>
    <row r="737" spans="1:11" x14ac:dyDescent="0.25">
      <c r="A737" t="s">
        <v>1486</v>
      </c>
      <c r="B737" s="1">
        <v>45731</v>
      </c>
      <c r="C737" t="s">
        <v>1487</v>
      </c>
      <c r="D737" t="s">
        <v>13</v>
      </c>
      <c r="E737" t="s">
        <v>3272</v>
      </c>
      <c r="F737" t="s">
        <v>4496</v>
      </c>
      <c r="G737">
        <v>6</v>
      </c>
      <c r="H737">
        <v>1231.22</v>
      </c>
      <c r="I737">
        <v>0</v>
      </c>
      <c r="J737" t="s">
        <v>14</v>
      </c>
      <c r="K737">
        <v>7387.32</v>
      </c>
    </row>
    <row r="738" spans="1:11" x14ac:dyDescent="0.25">
      <c r="A738" t="s">
        <v>1488</v>
      </c>
      <c r="B738" s="1">
        <v>45851</v>
      </c>
      <c r="C738" t="s">
        <v>1489</v>
      </c>
      <c r="D738" t="s">
        <v>36</v>
      </c>
      <c r="E738" t="s">
        <v>29</v>
      </c>
      <c r="F738" t="s">
        <v>4495</v>
      </c>
      <c r="G738">
        <v>5</v>
      </c>
      <c r="H738">
        <v>1841.53</v>
      </c>
      <c r="I738">
        <v>0</v>
      </c>
      <c r="J738" t="s">
        <v>17</v>
      </c>
      <c r="K738">
        <v>9207.65</v>
      </c>
    </row>
    <row r="739" spans="1:11" x14ac:dyDescent="0.25">
      <c r="A739" t="s">
        <v>1490</v>
      </c>
      <c r="B739" s="1">
        <v>45285</v>
      </c>
      <c r="C739" t="s">
        <v>1491</v>
      </c>
      <c r="D739" t="s">
        <v>20</v>
      </c>
      <c r="E739" t="s">
        <v>3272</v>
      </c>
      <c r="F739" t="s">
        <v>4496</v>
      </c>
      <c r="G739">
        <v>9</v>
      </c>
      <c r="H739">
        <v>756.42</v>
      </c>
      <c r="I739">
        <v>20</v>
      </c>
      <c r="J739" t="s">
        <v>14</v>
      </c>
      <c r="K739">
        <v>5446.22</v>
      </c>
    </row>
    <row r="740" spans="1:11" x14ac:dyDescent="0.25">
      <c r="A740" t="s">
        <v>1492</v>
      </c>
      <c r="B740" s="1">
        <v>45628</v>
      </c>
      <c r="C740" t="s">
        <v>1493</v>
      </c>
      <c r="D740" t="s">
        <v>36</v>
      </c>
      <c r="E740" t="s">
        <v>3272</v>
      </c>
      <c r="F740" t="s">
        <v>4223</v>
      </c>
      <c r="G740">
        <v>1</v>
      </c>
      <c r="H740">
        <v>1465.15</v>
      </c>
      <c r="I740">
        <v>10</v>
      </c>
      <c r="J740" t="s">
        <v>17</v>
      </c>
      <c r="K740">
        <v>1318.64</v>
      </c>
    </row>
    <row r="741" spans="1:11" x14ac:dyDescent="0.25">
      <c r="A741" t="s">
        <v>1494</v>
      </c>
      <c r="B741" s="1">
        <v>45592</v>
      </c>
      <c r="C741" t="s">
        <v>1495</v>
      </c>
      <c r="D741" t="s">
        <v>20</v>
      </c>
      <c r="E741" t="s">
        <v>3988</v>
      </c>
      <c r="F741" t="s">
        <v>4497</v>
      </c>
      <c r="G741">
        <v>5</v>
      </c>
      <c r="H741">
        <v>1794.18</v>
      </c>
      <c r="I741">
        <v>15</v>
      </c>
      <c r="J741" t="s">
        <v>39</v>
      </c>
      <c r="K741">
        <v>7625.26</v>
      </c>
    </row>
    <row r="742" spans="1:11" x14ac:dyDescent="0.25">
      <c r="A742" t="s">
        <v>1496</v>
      </c>
      <c r="B742" s="1">
        <v>45383</v>
      </c>
      <c r="C742" t="s">
        <v>1497</v>
      </c>
      <c r="D742" t="s">
        <v>20</v>
      </c>
      <c r="E742" t="s">
        <v>3272</v>
      </c>
      <c r="F742" t="s">
        <v>4250</v>
      </c>
      <c r="G742">
        <v>6</v>
      </c>
      <c r="H742">
        <v>939.16</v>
      </c>
      <c r="I742">
        <v>15</v>
      </c>
      <c r="J742" t="s">
        <v>17</v>
      </c>
      <c r="K742">
        <v>4789.72</v>
      </c>
    </row>
    <row r="743" spans="1:11" x14ac:dyDescent="0.25">
      <c r="A743" t="s">
        <v>1498</v>
      </c>
      <c r="B743" s="1">
        <v>45465</v>
      </c>
      <c r="C743" t="s">
        <v>1499</v>
      </c>
      <c r="D743" t="s">
        <v>13</v>
      </c>
      <c r="E743" t="s">
        <v>3272</v>
      </c>
      <c r="F743" t="s">
        <v>4498</v>
      </c>
      <c r="G743">
        <v>5</v>
      </c>
      <c r="H743">
        <v>914.74</v>
      </c>
      <c r="I743">
        <v>10</v>
      </c>
      <c r="J743" t="s">
        <v>14</v>
      </c>
      <c r="K743">
        <v>4116.33</v>
      </c>
    </row>
    <row r="744" spans="1:11" x14ac:dyDescent="0.25">
      <c r="A744" t="s">
        <v>1500</v>
      </c>
      <c r="B744" s="1">
        <v>45575</v>
      </c>
      <c r="C744" t="s">
        <v>351</v>
      </c>
      <c r="D744" t="s">
        <v>24</v>
      </c>
      <c r="E744" t="s">
        <v>3988</v>
      </c>
      <c r="F744" t="s">
        <v>4499</v>
      </c>
      <c r="G744">
        <v>6</v>
      </c>
      <c r="H744">
        <v>1224.1300000000001</v>
      </c>
      <c r="I744">
        <v>0</v>
      </c>
      <c r="J744" t="s">
        <v>21</v>
      </c>
      <c r="K744">
        <v>7344.78</v>
      </c>
    </row>
    <row r="745" spans="1:11" x14ac:dyDescent="0.25">
      <c r="A745" t="s">
        <v>1501</v>
      </c>
      <c r="B745" s="1">
        <v>45797</v>
      </c>
      <c r="C745" t="s">
        <v>1502</v>
      </c>
      <c r="D745" t="s">
        <v>20</v>
      </c>
      <c r="E745" t="s">
        <v>29</v>
      </c>
      <c r="F745" t="s">
        <v>4500</v>
      </c>
      <c r="G745">
        <v>6</v>
      </c>
      <c r="H745">
        <v>1203.24</v>
      </c>
      <c r="I745">
        <v>0</v>
      </c>
      <c r="J745" t="s">
        <v>21</v>
      </c>
      <c r="K745">
        <v>7219.44</v>
      </c>
    </row>
    <row r="746" spans="1:11" x14ac:dyDescent="0.25">
      <c r="A746" t="s">
        <v>1503</v>
      </c>
      <c r="B746" s="1">
        <v>45150</v>
      </c>
      <c r="C746" t="s">
        <v>1504</v>
      </c>
      <c r="D746" t="s">
        <v>36</v>
      </c>
      <c r="E746" t="s">
        <v>3272</v>
      </c>
      <c r="F746" t="s">
        <v>4151</v>
      </c>
      <c r="G746">
        <v>7</v>
      </c>
      <c r="H746">
        <v>1622.85</v>
      </c>
      <c r="I746">
        <v>5</v>
      </c>
      <c r="J746" t="s">
        <v>39</v>
      </c>
      <c r="K746">
        <v>10791.95</v>
      </c>
    </row>
    <row r="747" spans="1:11" x14ac:dyDescent="0.25">
      <c r="A747" t="s">
        <v>1505</v>
      </c>
      <c r="B747" s="1">
        <v>45386</v>
      </c>
      <c r="C747" t="s">
        <v>1506</v>
      </c>
      <c r="D747" t="s">
        <v>36</v>
      </c>
      <c r="E747" t="s">
        <v>3988</v>
      </c>
      <c r="F747" t="s">
        <v>4292</v>
      </c>
      <c r="G747">
        <v>4</v>
      </c>
      <c r="H747">
        <v>979.14</v>
      </c>
      <c r="I747">
        <v>20</v>
      </c>
      <c r="J747" t="s">
        <v>14</v>
      </c>
      <c r="K747">
        <v>3133.25</v>
      </c>
    </row>
    <row r="748" spans="1:11" x14ac:dyDescent="0.25">
      <c r="A748" t="s">
        <v>1507</v>
      </c>
      <c r="B748" s="1">
        <v>45372</v>
      </c>
      <c r="C748" t="s">
        <v>1508</v>
      </c>
      <c r="D748" t="s">
        <v>20</v>
      </c>
      <c r="E748" t="s">
        <v>3272</v>
      </c>
      <c r="F748" t="s">
        <v>4245</v>
      </c>
      <c r="G748">
        <v>8</v>
      </c>
      <c r="H748">
        <v>1992.44</v>
      </c>
      <c r="I748">
        <v>20</v>
      </c>
      <c r="J748" t="s">
        <v>39</v>
      </c>
      <c r="K748">
        <v>12751.62</v>
      </c>
    </row>
    <row r="749" spans="1:11" x14ac:dyDescent="0.25">
      <c r="A749" t="s">
        <v>1509</v>
      </c>
      <c r="B749" s="1">
        <v>45313</v>
      </c>
      <c r="C749" t="s">
        <v>1510</v>
      </c>
      <c r="D749" t="s">
        <v>36</v>
      </c>
      <c r="E749" t="s">
        <v>3988</v>
      </c>
      <c r="F749" t="s">
        <v>4485</v>
      </c>
      <c r="G749">
        <v>7</v>
      </c>
      <c r="H749">
        <v>165.97</v>
      </c>
      <c r="I749">
        <v>20</v>
      </c>
      <c r="J749" t="s">
        <v>17</v>
      </c>
      <c r="K749">
        <v>929.43</v>
      </c>
    </row>
    <row r="750" spans="1:11" x14ac:dyDescent="0.25">
      <c r="A750" t="s">
        <v>1511</v>
      </c>
      <c r="B750" s="1">
        <v>45483</v>
      </c>
      <c r="C750" t="s">
        <v>1512</v>
      </c>
      <c r="D750" t="s">
        <v>13</v>
      </c>
      <c r="E750" t="s">
        <v>3988</v>
      </c>
      <c r="F750" t="s">
        <v>4287</v>
      </c>
      <c r="G750">
        <v>9</v>
      </c>
      <c r="H750">
        <v>56.18</v>
      </c>
      <c r="I750">
        <v>5</v>
      </c>
      <c r="J750" t="s">
        <v>39</v>
      </c>
      <c r="K750">
        <v>480.34</v>
      </c>
    </row>
    <row r="751" spans="1:11" x14ac:dyDescent="0.25">
      <c r="A751" t="s">
        <v>1513</v>
      </c>
      <c r="B751" s="1">
        <v>45760</v>
      </c>
      <c r="C751" t="s">
        <v>1514</v>
      </c>
      <c r="D751" t="s">
        <v>36</v>
      </c>
      <c r="E751" t="s">
        <v>3988</v>
      </c>
      <c r="F751" t="s">
        <v>4501</v>
      </c>
      <c r="G751">
        <v>7</v>
      </c>
      <c r="H751">
        <v>1298.3900000000001</v>
      </c>
      <c r="I751">
        <v>20</v>
      </c>
      <c r="J751" t="s">
        <v>21</v>
      </c>
      <c r="K751">
        <v>7270.98</v>
      </c>
    </row>
    <row r="752" spans="1:11" x14ac:dyDescent="0.25">
      <c r="A752" t="s">
        <v>1515</v>
      </c>
      <c r="B752" s="1">
        <v>45600</v>
      </c>
      <c r="C752" t="s">
        <v>1516</v>
      </c>
      <c r="D752" t="s">
        <v>13</v>
      </c>
      <c r="E752" t="s">
        <v>3988</v>
      </c>
      <c r="F752" t="s">
        <v>4292</v>
      </c>
      <c r="G752">
        <v>3</v>
      </c>
      <c r="H752">
        <v>631.95000000000005</v>
      </c>
      <c r="I752">
        <v>10</v>
      </c>
      <c r="J752" t="s">
        <v>39</v>
      </c>
      <c r="K752">
        <v>1706.26</v>
      </c>
    </row>
    <row r="753" spans="1:11" x14ac:dyDescent="0.25">
      <c r="A753" t="s">
        <v>1517</v>
      </c>
      <c r="B753" s="1">
        <v>45621</v>
      </c>
      <c r="C753" t="s">
        <v>1518</v>
      </c>
      <c r="D753" t="s">
        <v>20</v>
      </c>
      <c r="E753" t="s">
        <v>3272</v>
      </c>
      <c r="F753" t="s">
        <v>4245</v>
      </c>
      <c r="G753">
        <v>3</v>
      </c>
      <c r="H753">
        <v>518.75</v>
      </c>
      <c r="I753">
        <v>5</v>
      </c>
      <c r="J753" t="s">
        <v>17</v>
      </c>
      <c r="K753">
        <v>1478.44</v>
      </c>
    </row>
    <row r="754" spans="1:11" x14ac:dyDescent="0.25">
      <c r="A754" t="s">
        <v>1519</v>
      </c>
      <c r="B754" s="1">
        <v>45658</v>
      </c>
      <c r="C754" t="s">
        <v>1520</v>
      </c>
      <c r="D754" t="s">
        <v>20</v>
      </c>
      <c r="E754" t="s">
        <v>3988</v>
      </c>
      <c r="F754" t="s">
        <v>4485</v>
      </c>
      <c r="G754">
        <v>8</v>
      </c>
      <c r="H754">
        <v>658.2</v>
      </c>
      <c r="I754">
        <v>10</v>
      </c>
      <c r="J754" t="s">
        <v>14</v>
      </c>
      <c r="K754">
        <v>4739.04</v>
      </c>
    </row>
    <row r="755" spans="1:11" x14ac:dyDescent="0.25">
      <c r="A755" t="s">
        <v>1521</v>
      </c>
      <c r="B755" s="1">
        <v>45400</v>
      </c>
      <c r="C755" t="s">
        <v>1522</v>
      </c>
      <c r="D755" t="s">
        <v>20</v>
      </c>
      <c r="E755" t="s">
        <v>3988</v>
      </c>
      <c r="F755" t="s">
        <v>4287</v>
      </c>
      <c r="G755">
        <v>5</v>
      </c>
      <c r="H755">
        <v>549.29</v>
      </c>
      <c r="I755">
        <v>5</v>
      </c>
      <c r="J755" t="s">
        <v>39</v>
      </c>
      <c r="K755">
        <v>2609.13</v>
      </c>
    </row>
    <row r="756" spans="1:11" x14ac:dyDescent="0.25">
      <c r="A756" t="s">
        <v>1523</v>
      </c>
      <c r="B756" s="1">
        <v>45511</v>
      </c>
      <c r="C756" t="s">
        <v>1524</v>
      </c>
      <c r="D756" t="s">
        <v>13</v>
      </c>
      <c r="E756" t="s">
        <v>3272</v>
      </c>
      <c r="F756" t="s">
        <v>4502</v>
      </c>
      <c r="G756">
        <v>4</v>
      </c>
      <c r="H756">
        <v>110.04</v>
      </c>
      <c r="I756">
        <v>20</v>
      </c>
      <c r="J756" t="s">
        <v>17</v>
      </c>
      <c r="K756">
        <v>352.13</v>
      </c>
    </row>
    <row r="757" spans="1:11" x14ac:dyDescent="0.25">
      <c r="A757" t="s">
        <v>1525</v>
      </c>
      <c r="B757" s="1">
        <v>45493</v>
      </c>
      <c r="C757" t="s">
        <v>1526</v>
      </c>
      <c r="D757" t="s">
        <v>36</v>
      </c>
      <c r="E757" t="s">
        <v>3988</v>
      </c>
      <c r="F757" t="s">
        <v>4430</v>
      </c>
      <c r="G757">
        <v>8</v>
      </c>
      <c r="H757">
        <v>1944.49</v>
      </c>
      <c r="I757">
        <v>10</v>
      </c>
      <c r="J757" t="s">
        <v>21</v>
      </c>
      <c r="K757">
        <v>14000.33</v>
      </c>
    </row>
    <row r="758" spans="1:11" x14ac:dyDescent="0.25">
      <c r="A758" t="s">
        <v>1527</v>
      </c>
      <c r="B758" s="1">
        <v>45493</v>
      </c>
      <c r="C758" t="s">
        <v>1528</v>
      </c>
      <c r="D758" t="s">
        <v>13</v>
      </c>
      <c r="E758" t="s">
        <v>3988</v>
      </c>
      <c r="F758" t="s">
        <v>4503</v>
      </c>
      <c r="G758">
        <v>6</v>
      </c>
      <c r="H758">
        <v>480.45</v>
      </c>
      <c r="I758">
        <v>10</v>
      </c>
      <c r="J758" t="s">
        <v>14</v>
      </c>
      <c r="K758">
        <v>2594.4299999999998</v>
      </c>
    </row>
    <row r="759" spans="1:11" x14ac:dyDescent="0.25">
      <c r="A759" t="s">
        <v>1529</v>
      </c>
      <c r="B759" s="1">
        <v>45674</v>
      </c>
      <c r="C759" t="s">
        <v>1530</v>
      </c>
      <c r="D759" t="s">
        <v>36</v>
      </c>
      <c r="E759" t="s">
        <v>3272</v>
      </c>
      <c r="F759" t="s">
        <v>4502</v>
      </c>
      <c r="G759">
        <v>2</v>
      </c>
      <c r="H759">
        <v>1481.36</v>
      </c>
      <c r="I759">
        <v>10</v>
      </c>
      <c r="J759" t="s">
        <v>39</v>
      </c>
      <c r="K759">
        <v>2666.45</v>
      </c>
    </row>
    <row r="760" spans="1:11" x14ac:dyDescent="0.25">
      <c r="A760" t="s">
        <v>1531</v>
      </c>
      <c r="B760" s="1">
        <v>45315</v>
      </c>
      <c r="C760" t="s">
        <v>1532</v>
      </c>
      <c r="D760" t="s">
        <v>36</v>
      </c>
      <c r="E760" t="s">
        <v>3988</v>
      </c>
      <c r="F760" t="s">
        <v>4504</v>
      </c>
      <c r="G760">
        <v>4</v>
      </c>
      <c r="H760">
        <v>1537.06</v>
      </c>
      <c r="I760">
        <v>5</v>
      </c>
      <c r="J760" t="s">
        <v>39</v>
      </c>
      <c r="K760">
        <v>5840.83</v>
      </c>
    </row>
    <row r="761" spans="1:11" x14ac:dyDescent="0.25">
      <c r="A761" t="s">
        <v>1533</v>
      </c>
      <c r="B761" s="1">
        <v>45547</v>
      </c>
      <c r="C761" t="s">
        <v>1534</v>
      </c>
      <c r="D761" t="s">
        <v>13</v>
      </c>
      <c r="E761" t="s">
        <v>3988</v>
      </c>
      <c r="F761" t="s">
        <v>4503</v>
      </c>
      <c r="G761">
        <v>4</v>
      </c>
      <c r="H761">
        <v>1862.05</v>
      </c>
      <c r="I761">
        <v>15</v>
      </c>
      <c r="J761" t="s">
        <v>21</v>
      </c>
      <c r="K761">
        <v>6330.97</v>
      </c>
    </row>
    <row r="762" spans="1:11" x14ac:dyDescent="0.25">
      <c r="A762" t="s">
        <v>1535</v>
      </c>
      <c r="B762" s="1">
        <v>45517</v>
      </c>
      <c r="C762" t="s">
        <v>1536</v>
      </c>
      <c r="D762" t="s">
        <v>24</v>
      </c>
      <c r="E762" t="s">
        <v>3272</v>
      </c>
      <c r="F762" t="s">
        <v>4505</v>
      </c>
      <c r="G762">
        <v>6</v>
      </c>
      <c r="H762">
        <v>109.57</v>
      </c>
      <c r="I762">
        <v>20</v>
      </c>
      <c r="J762" t="s">
        <v>39</v>
      </c>
      <c r="K762">
        <v>525.94000000000005</v>
      </c>
    </row>
    <row r="763" spans="1:11" x14ac:dyDescent="0.25">
      <c r="A763" t="s">
        <v>1537</v>
      </c>
      <c r="B763" s="1">
        <v>45766</v>
      </c>
      <c r="C763" t="s">
        <v>1538</v>
      </c>
      <c r="D763" t="s">
        <v>20</v>
      </c>
      <c r="E763" t="s">
        <v>3988</v>
      </c>
      <c r="F763" t="s">
        <v>4504</v>
      </c>
      <c r="G763">
        <v>6</v>
      </c>
      <c r="H763">
        <v>1750.49</v>
      </c>
      <c r="I763">
        <v>10</v>
      </c>
      <c r="J763" t="s">
        <v>21</v>
      </c>
      <c r="K763">
        <v>9452.65</v>
      </c>
    </row>
    <row r="764" spans="1:11" x14ac:dyDescent="0.25">
      <c r="A764" t="s">
        <v>1539</v>
      </c>
      <c r="B764" s="1">
        <v>45849</v>
      </c>
      <c r="C764" t="s">
        <v>1540</v>
      </c>
      <c r="D764" t="s">
        <v>36</v>
      </c>
      <c r="E764" t="s">
        <v>3988</v>
      </c>
      <c r="F764" t="s">
        <v>4506</v>
      </c>
      <c r="G764">
        <v>1</v>
      </c>
      <c r="H764">
        <v>1078.0899999999999</v>
      </c>
      <c r="I764">
        <v>15</v>
      </c>
      <c r="J764" t="s">
        <v>21</v>
      </c>
      <c r="K764">
        <v>916.38</v>
      </c>
    </row>
    <row r="765" spans="1:11" x14ac:dyDescent="0.25">
      <c r="A765" t="s">
        <v>1541</v>
      </c>
      <c r="B765" s="1">
        <v>45768</v>
      </c>
      <c r="C765" t="s">
        <v>1542</v>
      </c>
      <c r="D765" t="s">
        <v>36</v>
      </c>
      <c r="E765" t="s">
        <v>29</v>
      </c>
      <c r="F765" t="s">
        <v>4507</v>
      </c>
      <c r="G765">
        <v>8</v>
      </c>
      <c r="H765">
        <v>1283.46</v>
      </c>
      <c r="I765">
        <v>20</v>
      </c>
      <c r="J765" t="s">
        <v>14</v>
      </c>
      <c r="K765">
        <v>8214.14</v>
      </c>
    </row>
    <row r="766" spans="1:11" x14ac:dyDescent="0.25">
      <c r="A766" t="s">
        <v>1543</v>
      </c>
      <c r="B766" s="1">
        <v>45721</v>
      </c>
      <c r="C766" t="s">
        <v>1544</v>
      </c>
      <c r="D766" t="s">
        <v>13</v>
      </c>
      <c r="E766" t="s">
        <v>3272</v>
      </c>
      <c r="F766" t="s">
        <v>4508</v>
      </c>
      <c r="G766">
        <v>6</v>
      </c>
      <c r="H766">
        <v>1306.72</v>
      </c>
      <c r="I766">
        <v>20</v>
      </c>
      <c r="J766" t="s">
        <v>21</v>
      </c>
      <c r="K766">
        <v>6272.26</v>
      </c>
    </row>
    <row r="767" spans="1:11" x14ac:dyDescent="0.25">
      <c r="A767" t="s">
        <v>1545</v>
      </c>
      <c r="B767" s="1">
        <v>45281</v>
      </c>
      <c r="C767" t="s">
        <v>1546</v>
      </c>
      <c r="D767" t="s">
        <v>24</v>
      </c>
      <c r="E767" t="s">
        <v>29</v>
      </c>
      <c r="F767" t="s">
        <v>4286</v>
      </c>
      <c r="G767">
        <v>3</v>
      </c>
      <c r="H767">
        <v>1648.61</v>
      </c>
      <c r="I767">
        <v>10</v>
      </c>
      <c r="J767" t="s">
        <v>21</v>
      </c>
      <c r="K767">
        <v>4451.25</v>
      </c>
    </row>
    <row r="768" spans="1:11" x14ac:dyDescent="0.25">
      <c r="A768" t="s">
        <v>1547</v>
      </c>
      <c r="B768" s="1">
        <v>45661</v>
      </c>
      <c r="C768" t="s">
        <v>1548</v>
      </c>
      <c r="D768" t="s">
        <v>20</v>
      </c>
      <c r="E768" t="s">
        <v>3988</v>
      </c>
      <c r="F768" t="s">
        <v>4509</v>
      </c>
      <c r="G768">
        <v>9</v>
      </c>
      <c r="H768">
        <v>700.14</v>
      </c>
      <c r="I768">
        <v>10</v>
      </c>
      <c r="J768" t="s">
        <v>21</v>
      </c>
      <c r="K768">
        <v>5671.13</v>
      </c>
    </row>
    <row r="769" spans="1:11" x14ac:dyDescent="0.25">
      <c r="A769" t="s">
        <v>1549</v>
      </c>
      <c r="B769" s="1">
        <v>45215</v>
      </c>
      <c r="C769" t="s">
        <v>1550</v>
      </c>
      <c r="D769" t="s">
        <v>24</v>
      </c>
      <c r="E769" t="s">
        <v>3988</v>
      </c>
      <c r="F769" t="s">
        <v>4510</v>
      </c>
      <c r="G769">
        <v>2</v>
      </c>
      <c r="H769">
        <v>1479.45</v>
      </c>
      <c r="I769">
        <v>5</v>
      </c>
      <c r="J769" t="s">
        <v>39</v>
      </c>
      <c r="K769">
        <v>2810.96</v>
      </c>
    </row>
    <row r="770" spans="1:11" x14ac:dyDescent="0.25">
      <c r="A770" t="s">
        <v>1551</v>
      </c>
      <c r="B770" s="1">
        <v>45370</v>
      </c>
      <c r="C770" t="s">
        <v>1552</v>
      </c>
      <c r="D770" t="s">
        <v>20</v>
      </c>
      <c r="E770" t="s">
        <v>3272</v>
      </c>
      <c r="F770" t="s">
        <v>4443</v>
      </c>
      <c r="G770">
        <v>8</v>
      </c>
      <c r="H770">
        <v>1080.73</v>
      </c>
      <c r="I770">
        <v>15</v>
      </c>
      <c r="J770" t="s">
        <v>21</v>
      </c>
      <c r="K770">
        <v>7348.96</v>
      </c>
    </row>
    <row r="771" spans="1:11" x14ac:dyDescent="0.25">
      <c r="A771" t="s">
        <v>1553</v>
      </c>
      <c r="B771" s="1">
        <v>45550</v>
      </c>
      <c r="C771" t="s">
        <v>1554</v>
      </c>
      <c r="D771" t="s">
        <v>36</v>
      </c>
      <c r="E771" t="s">
        <v>3272</v>
      </c>
      <c r="F771" t="s">
        <v>4511</v>
      </c>
      <c r="G771">
        <v>3</v>
      </c>
      <c r="H771">
        <v>1597.12</v>
      </c>
      <c r="I771">
        <v>15</v>
      </c>
      <c r="J771" t="s">
        <v>21</v>
      </c>
      <c r="K771">
        <v>4072.66</v>
      </c>
    </row>
    <row r="772" spans="1:11" x14ac:dyDescent="0.25">
      <c r="A772" t="s">
        <v>1555</v>
      </c>
      <c r="B772" s="1">
        <v>45665</v>
      </c>
      <c r="C772" t="s">
        <v>1556</v>
      </c>
      <c r="D772" t="s">
        <v>36</v>
      </c>
      <c r="E772" t="s">
        <v>29</v>
      </c>
      <c r="F772" t="s">
        <v>4512</v>
      </c>
      <c r="G772">
        <v>5</v>
      </c>
      <c r="H772">
        <v>1981.56</v>
      </c>
      <c r="I772">
        <v>10</v>
      </c>
      <c r="J772" t="s">
        <v>21</v>
      </c>
      <c r="K772">
        <v>8917.02</v>
      </c>
    </row>
    <row r="773" spans="1:11" x14ac:dyDescent="0.25">
      <c r="A773" t="s">
        <v>1557</v>
      </c>
      <c r="B773" s="1">
        <v>45641</v>
      </c>
      <c r="C773" t="s">
        <v>1558</v>
      </c>
      <c r="D773" t="s">
        <v>13</v>
      </c>
      <c r="E773" t="s">
        <v>3988</v>
      </c>
      <c r="F773" t="s">
        <v>4280</v>
      </c>
      <c r="G773">
        <v>6</v>
      </c>
      <c r="H773">
        <v>441.27</v>
      </c>
      <c r="I773">
        <v>20</v>
      </c>
      <c r="J773" t="s">
        <v>21</v>
      </c>
      <c r="K773">
        <v>2118.1</v>
      </c>
    </row>
    <row r="774" spans="1:11" x14ac:dyDescent="0.25">
      <c r="A774" t="s">
        <v>1559</v>
      </c>
      <c r="B774" s="1">
        <v>45630</v>
      </c>
      <c r="C774" t="s">
        <v>1560</v>
      </c>
      <c r="D774" t="s">
        <v>13</v>
      </c>
      <c r="E774" t="s">
        <v>3988</v>
      </c>
      <c r="F774" t="s">
        <v>4513</v>
      </c>
      <c r="G774">
        <v>6</v>
      </c>
      <c r="H774">
        <v>1989.56</v>
      </c>
      <c r="I774">
        <v>10</v>
      </c>
      <c r="J774" t="s">
        <v>39</v>
      </c>
      <c r="K774">
        <v>10743.62</v>
      </c>
    </row>
    <row r="775" spans="1:11" x14ac:dyDescent="0.25">
      <c r="A775" t="s">
        <v>1561</v>
      </c>
      <c r="B775" s="1">
        <v>45410</v>
      </c>
      <c r="C775" t="s">
        <v>1562</v>
      </c>
      <c r="D775" t="s">
        <v>24</v>
      </c>
      <c r="E775" t="s">
        <v>3272</v>
      </c>
      <c r="F775" t="s">
        <v>4188</v>
      </c>
      <c r="G775">
        <v>4</v>
      </c>
      <c r="H775">
        <v>225.13</v>
      </c>
      <c r="I775">
        <v>20</v>
      </c>
      <c r="J775" t="s">
        <v>21</v>
      </c>
      <c r="K775">
        <v>720.42</v>
      </c>
    </row>
    <row r="776" spans="1:11" x14ac:dyDescent="0.25">
      <c r="A776" t="s">
        <v>1563</v>
      </c>
      <c r="B776" s="1">
        <v>45222</v>
      </c>
      <c r="C776" t="s">
        <v>1564</v>
      </c>
      <c r="D776" t="s">
        <v>24</v>
      </c>
      <c r="E776" t="s">
        <v>3988</v>
      </c>
      <c r="F776" t="s">
        <v>4514</v>
      </c>
      <c r="G776">
        <v>3</v>
      </c>
      <c r="H776">
        <v>54.52</v>
      </c>
      <c r="I776">
        <v>20</v>
      </c>
      <c r="J776" t="s">
        <v>17</v>
      </c>
      <c r="K776">
        <v>130.85</v>
      </c>
    </row>
    <row r="777" spans="1:11" x14ac:dyDescent="0.25">
      <c r="A777" t="s">
        <v>1565</v>
      </c>
      <c r="B777" s="1">
        <v>45785</v>
      </c>
      <c r="C777" t="s">
        <v>1566</v>
      </c>
      <c r="D777" t="s">
        <v>20</v>
      </c>
      <c r="E777" t="s">
        <v>3988</v>
      </c>
      <c r="F777" t="s">
        <v>4515</v>
      </c>
      <c r="G777">
        <v>4</v>
      </c>
      <c r="H777">
        <v>136.12</v>
      </c>
      <c r="I777">
        <v>10</v>
      </c>
      <c r="J777" t="s">
        <v>17</v>
      </c>
      <c r="K777">
        <v>490.03</v>
      </c>
    </row>
    <row r="778" spans="1:11" x14ac:dyDescent="0.25">
      <c r="A778" t="s">
        <v>1567</v>
      </c>
      <c r="B778" s="1">
        <v>45733</v>
      </c>
      <c r="C778" t="s">
        <v>1568</v>
      </c>
      <c r="D778" t="s">
        <v>13</v>
      </c>
      <c r="E778" t="s">
        <v>3988</v>
      </c>
      <c r="F778" t="s">
        <v>4516</v>
      </c>
      <c r="G778">
        <v>1</v>
      </c>
      <c r="H778">
        <v>716.48</v>
      </c>
      <c r="I778">
        <v>0</v>
      </c>
      <c r="J778" t="s">
        <v>17</v>
      </c>
      <c r="K778">
        <v>716.48</v>
      </c>
    </row>
    <row r="779" spans="1:11" x14ac:dyDescent="0.25">
      <c r="A779" t="s">
        <v>1569</v>
      </c>
      <c r="B779" s="1">
        <v>45332</v>
      </c>
      <c r="C779" t="s">
        <v>1570</v>
      </c>
      <c r="D779" t="s">
        <v>36</v>
      </c>
      <c r="E779" t="s">
        <v>3272</v>
      </c>
      <c r="F779" t="s">
        <v>4415</v>
      </c>
      <c r="G779">
        <v>4</v>
      </c>
      <c r="H779">
        <v>1284.17</v>
      </c>
      <c r="I779">
        <v>15</v>
      </c>
      <c r="J779" t="s">
        <v>14</v>
      </c>
      <c r="K779">
        <v>4366.18</v>
      </c>
    </row>
    <row r="780" spans="1:11" x14ac:dyDescent="0.25">
      <c r="A780" t="s">
        <v>1571</v>
      </c>
      <c r="B780" s="1">
        <v>45672</v>
      </c>
      <c r="C780" t="s">
        <v>1572</v>
      </c>
      <c r="D780" t="s">
        <v>13</v>
      </c>
      <c r="E780" t="s">
        <v>3988</v>
      </c>
      <c r="F780" t="s">
        <v>4517</v>
      </c>
      <c r="G780">
        <v>1</v>
      </c>
      <c r="H780">
        <v>184.61</v>
      </c>
      <c r="I780">
        <v>20</v>
      </c>
      <c r="J780" t="s">
        <v>17</v>
      </c>
      <c r="K780">
        <v>147.69</v>
      </c>
    </row>
    <row r="781" spans="1:11" x14ac:dyDescent="0.25">
      <c r="A781" t="s">
        <v>1573</v>
      </c>
      <c r="B781" s="1">
        <v>45391</v>
      </c>
      <c r="C781" t="s">
        <v>1574</v>
      </c>
      <c r="D781" t="s">
        <v>24</v>
      </c>
      <c r="E781" t="s">
        <v>3988</v>
      </c>
      <c r="F781" t="s">
        <v>4454</v>
      </c>
      <c r="G781">
        <v>1</v>
      </c>
      <c r="H781">
        <v>61.05</v>
      </c>
      <c r="I781">
        <v>20</v>
      </c>
      <c r="J781" t="s">
        <v>17</v>
      </c>
      <c r="K781">
        <v>48.84</v>
      </c>
    </row>
    <row r="782" spans="1:11" x14ac:dyDescent="0.25">
      <c r="A782" t="s">
        <v>1575</v>
      </c>
      <c r="B782" s="1">
        <v>45324</v>
      </c>
      <c r="C782" t="s">
        <v>1576</v>
      </c>
      <c r="D782" t="s">
        <v>13</v>
      </c>
      <c r="E782" t="s">
        <v>3988</v>
      </c>
      <c r="F782" t="s">
        <v>4518</v>
      </c>
      <c r="G782">
        <v>6</v>
      </c>
      <c r="H782">
        <v>1877.33</v>
      </c>
      <c r="I782">
        <v>0</v>
      </c>
      <c r="J782" t="s">
        <v>14</v>
      </c>
      <c r="K782">
        <v>11263.98</v>
      </c>
    </row>
    <row r="783" spans="1:11" x14ac:dyDescent="0.25">
      <c r="A783" t="s">
        <v>1577</v>
      </c>
      <c r="B783" s="1">
        <v>45776</v>
      </c>
      <c r="C783" t="s">
        <v>1578</v>
      </c>
      <c r="D783" t="s">
        <v>36</v>
      </c>
      <c r="E783" t="s">
        <v>3988</v>
      </c>
      <c r="F783" t="s">
        <v>4280</v>
      </c>
      <c r="G783">
        <v>5</v>
      </c>
      <c r="H783">
        <v>1652.76</v>
      </c>
      <c r="I783">
        <v>5</v>
      </c>
      <c r="J783" t="s">
        <v>39</v>
      </c>
      <c r="K783">
        <v>7850.61</v>
      </c>
    </row>
    <row r="784" spans="1:11" x14ac:dyDescent="0.25">
      <c r="A784" t="s">
        <v>1579</v>
      </c>
      <c r="B784" s="1">
        <v>45304</v>
      </c>
      <c r="C784" t="s">
        <v>1580</v>
      </c>
      <c r="D784" t="s">
        <v>13</v>
      </c>
      <c r="E784" t="s">
        <v>29</v>
      </c>
      <c r="F784" t="s">
        <v>4519</v>
      </c>
      <c r="G784">
        <v>4</v>
      </c>
      <c r="H784">
        <v>1627.91</v>
      </c>
      <c r="I784">
        <v>0</v>
      </c>
      <c r="J784" t="s">
        <v>39</v>
      </c>
      <c r="K784">
        <v>6511.64</v>
      </c>
    </row>
    <row r="785" spans="1:11" x14ac:dyDescent="0.25">
      <c r="A785" t="s">
        <v>1581</v>
      </c>
      <c r="B785" s="1">
        <v>45264</v>
      </c>
      <c r="C785" t="s">
        <v>1582</v>
      </c>
      <c r="D785" t="s">
        <v>24</v>
      </c>
      <c r="E785" t="s">
        <v>3988</v>
      </c>
      <c r="F785" t="s">
        <v>4520</v>
      </c>
      <c r="G785">
        <v>3</v>
      </c>
      <c r="H785">
        <v>1774.63</v>
      </c>
      <c r="I785">
        <v>0</v>
      </c>
      <c r="J785" t="s">
        <v>14</v>
      </c>
      <c r="K785">
        <v>5323.89</v>
      </c>
    </row>
    <row r="786" spans="1:11" x14ac:dyDescent="0.25">
      <c r="A786" t="s">
        <v>1583</v>
      </c>
      <c r="B786" s="1">
        <v>45168</v>
      </c>
      <c r="C786" t="s">
        <v>1584</v>
      </c>
      <c r="D786" t="s">
        <v>36</v>
      </c>
      <c r="E786" t="s">
        <v>3988</v>
      </c>
      <c r="F786" t="s">
        <v>4239</v>
      </c>
      <c r="G786">
        <v>1</v>
      </c>
      <c r="H786">
        <v>1415.07</v>
      </c>
      <c r="I786">
        <v>20</v>
      </c>
      <c r="J786" t="s">
        <v>39</v>
      </c>
      <c r="K786">
        <v>1132.06</v>
      </c>
    </row>
    <row r="787" spans="1:11" x14ac:dyDescent="0.25">
      <c r="A787" t="s">
        <v>1585</v>
      </c>
      <c r="B787" s="1">
        <v>45185</v>
      </c>
      <c r="C787" t="s">
        <v>1586</v>
      </c>
      <c r="D787" t="s">
        <v>20</v>
      </c>
      <c r="E787" t="s">
        <v>29</v>
      </c>
      <c r="F787" t="s">
        <v>4073</v>
      </c>
      <c r="G787">
        <v>6</v>
      </c>
      <c r="H787">
        <v>253.59</v>
      </c>
      <c r="I787">
        <v>15</v>
      </c>
      <c r="J787" t="s">
        <v>14</v>
      </c>
      <c r="K787">
        <v>1293.31</v>
      </c>
    </row>
    <row r="788" spans="1:11" x14ac:dyDescent="0.25">
      <c r="A788" t="s">
        <v>1587</v>
      </c>
      <c r="B788" s="1">
        <v>45340</v>
      </c>
      <c r="C788" t="s">
        <v>1588</v>
      </c>
      <c r="D788" t="s">
        <v>20</v>
      </c>
      <c r="E788" t="s">
        <v>3988</v>
      </c>
      <c r="F788" t="s">
        <v>4506</v>
      </c>
      <c r="G788">
        <v>2</v>
      </c>
      <c r="H788">
        <v>828.25</v>
      </c>
      <c r="I788">
        <v>0</v>
      </c>
      <c r="J788" t="s">
        <v>21</v>
      </c>
      <c r="K788">
        <v>1656.5</v>
      </c>
    </row>
    <row r="789" spans="1:11" x14ac:dyDescent="0.25">
      <c r="A789" t="s">
        <v>1589</v>
      </c>
      <c r="B789" s="1">
        <v>45519</v>
      </c>
      <c r="C789" t="s">
        <v>1590</v>
      </c>
      <c r="D789" t="s">
        <v>36</v>
      </c>
      <c r="E789" t="s">
        <v>3988</v>
      </c>
      <c r="F789" t="s">
        <v>4004</v>
      </c>
      <c r="G789">
        <v>8</v>
      </c>
      <c r="H789">
        <v>1460.14</v>
      </c>
      <c r="I789">
        <v>5</v>
      </c>
      <c r="J789" t="s">
        <v>39</v>
      </c>
      <c r="K789">
        <v>11097.06</v>
      </c>
    </row>
    <row r="790" spans="1:11" x14ac:dyDescent="0.25">
      <c r="A790" t="s">
        <v>1591</v>
      </c>
      <c r="B790" s="1">
        <v>45624</v>
      </c>
      <c r="C790" t="s">
        <v>1592</v>
      </c>
      <c r="D790" t="s">
        <v>36</v>
      </c>
      <c r="E790" t="s">
        <v>3988</v>
      </c>
      <c r="F790" t="s">
        <v>4521</v>
      </c>
      <c r="G790">
        <v>5</v>
      </c>
      <c r="H790">
        <v>596.65</v>
      </c>
      <c r="I790">
        <v>10</v>
      </c>
      <c r="J790" t="s">
        <v>14</v>
      </c>
      <c r="K790">
        <v>2684.92</v>
      </c>
    </row>
    <row r="791" spans="1:11" x14ac:dyDescent="0.25">
      <c r="A791" t="s">
        <v>1593</v>
      </c>
      <c r="B791" s="1">
        <v>45810</v>
      </c>
      <c r="C791" t="s">
        <v>1594</v>
      </c>
      <c r="D791" t="s">
        <v>36</v>
      </c>
      <c r="E791" t="s">
        <v>3272</v>
      </c>
      <c r="F791" t="s">
        <v>4178</v>
      </c>
      <c r="G791">
        <v>7</v>
      </c>
      <c r="H791">
        <v>1390.44</v>
      </c>
      <c r="I791">
        <v>0</v>
      </c>
      <c r="J791" t="s">
        <v>21</v>
      </c>
      <c r="K791">
        <v>9733.08</v>
      </c>
    </row>
    <row r="792" spans="1:11" x14ac:dyDescent="0.25">
      <c r="A792" t="s">
        <v>1595</v>
      </c>
      <c r="B792" s="1">
        <v>45746</v>
      </c>
      <c r="C792" t="s">
        <v>1596</v>
      </c>
      <c r="D792" t="s">
        <v>24</v>
      </c>
      <c r="E792" t="s">
        <v>3988</v>
      </c>
      <c r="F792" t="s">
        <v>4134</v>
      </c>
      <c r="G792">
        <v>2</v>
      </c>
      <c r="H792">
        <v>97.77</v>
      </c>
      <c r="I792">
        <v>0</v>
      </c>
      <c r="J792" t="s">
        <v>21</v>
      </c>
      <c r="K792">
        <v>195.54</v>
      </c>
    </row>
    <row r="793" spans="1:11" x14ac:dyDescent="0.25">
      <c r="A793" t="s">
        <v>1597</v>
      </c>
      <c r="B793" s="1">
        <v>45206</v>
      </c>
      <c r="C793" t="s">
        <v>1598</v>
      </c>
      <c r="D793" t="s">
        <v>36</v>
      </c>
      <c r="E793" t="s">
        <v>3988</v>
      </c>
      <c r="F793" t="s">
        <v>4522</v>
      </c>
      <c r="G793">
        <v>8</v>
      </c>
      <c r="H793">
        <v>646.97</v>
      </c>
      <c r="I793">
        <v>5</v>
      </c>
      <c r="J793" t="s">
        <v>17</v>
      </c>
      <c r="K793">
        <v>4916.97</v>
      </c>
    </row>
    <row r="794" spans="1:11" x14ac:dyDescent="0.25">
      <c r="A794" t="s">
        <v>1599</v>
      </c>
      <c r="B794" s="1">
        <v>45503</v>
      </c>
      <c r="C794" t="s">
        <v>1600</v>
      </c>
      <c r="D794" t="s">
        <v>24</v>
      </c>
      <c r="E794" t="s">
        <v>3988</v>
      </c>
      <c r="F794" t="s">
        <v>4334</v>
      </c>
      <c r="G794">
        <v>2</v>
      </c>
      <c r="H794">
        <v>1120.8</v>
      </c>
      <c r="I794">
        <v>15</v>
      </c>
      <c r="J794" t="s">
        <v>14</v>
      </c>
      <c r="K794">
        <v>1905.36</v>
      </c>
    </row>
    <row r="795" spans="1:11" x14ac:dyDescent="0.25">
      <c r="A795" t="s">
        <v>1601</v>
      </c>
      <c r="B795" s="1">
        <v>45471</v>
      </c>
      <c r="C795" t="s">
        <v>1602</v>
      </c>
      <c r="D795" t="s">
        <v>36</v>
      </c>
      <c r="E795" t="s">
        <v>3272</v>
      </c>
      <c r="F795" t="s">
        <v>4101</v>
      </c>
      <c r="G795">
        <v>4</v>
      </c>
      <c r="H795">
        <v>1282.58</v>
      </c>
      <c r="I795">
        <v>0</v>
      </c>
      <c r="J795" t="s">
        <v>14</v>
      </c>
      <c r="K795">
        <v>5130.32</v>
      </c>
    </row>
    <row r="796" spans="1:11" x14ac:dyDescent="0.25">
      <c r="A796" t="s">
        <v>1603</v>
      </c>
      <c r="B796" s="1">
        <v>45838</v>
      </c>
      <c r="C796" t="s">
        <v>1604</v>
      </c>
      <c r="D796" t="s">
        <v>24</v>
      </c>
      <c r="E796" t="s">
        <v>3988</v>
      </c>
      <c r="F796" t="s">
        <v>4334</v>
      </c>
      <c r="G796">
        <v>1</v>
      </c>
      <c r="H796">
        <v>1175.23</v>
      </c>
      <c r="I796">
        <v>0</v>
      </c>
      <c r="J796" t="s">
        <v>17</v>
      </c>
      <c r="K796">
        <v>1175.23</v>
      </c>
    </row>
    <row r="797" spans="1:11" x14ac:dyDescent="0.25">
      <c r="A797" t="s">
        <v>1605</v>
      </c>
      <c r="B797" s="1">
        <v>45639</v>
      </c>
      <c r="C797" t="s">
        <v>1606</v>
      </c>
      <c r="D797" t="s">
        <v>24</v>
      </c>
      <c r="E797" t="s">
        <v>3272</v>
      </c>
      <c r="F797" t="s">
        <v>4101</v>
      </c>
      <c r="G797">
        <v>5</v>
      </c>
      <c r="H797">
        <v>1410.62</v>
      </c>
      <c r="I797">
        <v>15</v>
      </c>
      <c r="J797" t="s">
        <v>39</v>
      </c>
      <c r="K797">
        <v>5995.13</v>
      </c>
    </row>
    <row r="798" spans="1:11" x14ac:dyDescent="0.25">
      <c r="A798" t="s">
        <v>1607</v>
      </c>
      <c r="B798" s="1">
        <v>45597</v>
      </c>
      <c r="C798" t="s">
        <v>1608</v>
      </c>
      <c r="D798" t="s">
        <v>13</v>
      </c>
      <c r="E798" t="s">
        <v>3272</v>
      </c>
      <c r="F798" t="s">
        <v>4523</v>
      </c>
      <c r="G798">
        <v>9</v>
      </c>
      <c r="H798">
        <v>61.87</v>
      </c>
      <c r="I798">
        <v>5</v>
      </c>
      <c r="J798" t="s">
        <v>14</v>
      </c>
      <c r="K798">
        <v>528.99</v>
      </c>
    </row>
    <row r="799" spans="1:11" x14ac:dyDescent="0.25">
      <c r="A799" t="s">
        <v>1609</v>
      </c>
      <c r="B799" s="1">
        <v>45301</v>
      </c>
      <c r="C799" t="s">
        <v>1610</v>
      </c>
      <c r="D799" t="s">
        <v>20</v>
      </c>
      <c r="E799" t="s">
        <v>3988</v>
      </c>
      <c r="F799" t="s">
        <v>4524</v>
      </c>
      <c r="G799">
        <v>1</v>
      </c>
      <c r="H799">
        <v>246.84</v>
      </c>
      <c r="I799">
        <v>0</v>
      </c>
      <c r="J799" t="s">
        <v>21</v>
      </c>
      <c r="K799">
        <v>246.84</v>
      </c>
    </row>
    <row r="800" spans="1:11" x14ac:dyDescent="0.25">
      <c r="A800" t="s">
        <v>1611</v>
      </c>
      <c r="B800" s="1">
        <v>45707</v>
      </c>
      <c r="C800" t="s">
        <v>1612</v>
      </c>
      <c r="D800" t="s">
        <v>36</v>
      </c>
      <c r="E800" t="s">
        <v>3272</v>
      </c>
      <c r="F800" t="s">
        <v>4523</v>
      </c>
      <c r="G800">
        <v>9</v>
      </c>
      <c r="H800">
        <v>1744.44</v>
      </c>
      <c r="I800">
        <v>15</v>
      </c>
      <c r="J800" t="s">
        <v>14</v>
      </c>
      <c r="K800">
        <v>13344.97</v>
      </c>
    </row>
    <row r="801" spans="1:11" x14ac:dyDescent="0.25">
      <c r="A801" t="s">
        <v>1613</v>
      </c>
      <c r="B801" s="1">
        <v>45690</v>
      </c>
      <c r="C801" t="s">
        <v>1614</v>
      </c>
      <c r="D801" t="s">
        <v>20</v>
      </c>
      <c r="E801" t="s">
        <v>3272</v>
      </c>
      <c r="F801" t="s">
        <v>4525</v>
      </c>
      <c r="G801">
        <v>8</v>
      </c>
      <c r="H801">
        <v>1379.41</v>
      </c>
      <c r="I801">
        <v>0</v>
      </c>
      <c r="J801" t="s">
        <v>17</v>
      </c>
      <c r="K801">
        <v>11035.28</v>
      </c>
    </row>
    <row r="802" spans="1:11" x14ac:dyDescent="0.25">
      <c r="A802" t="s">
        <v>1615</v>
      </c>
      <c r="B802" s="1">
        <v>45448</v>
      </c>
      <c r="C802" t="s">
        <v>1616</v>
      </c>
      <c r="D802" t="s">
        <v>20</v>
      </c>
      <c r="E802" t="s">
        <v>29</v>
      </c>
      <c r="F802" t="s">
        <v>4253</v>
      </c>
      <c r="G802">
        <v>6</v>
      </c>
      <c r="H802">
        <v>270.22000000000003</v>
      </c>
      <c r="I802">
        <v>10</v>
      </c>
      <c r="J802" t="s">
        <v>14</v>
      </c>
      <c r="K802">
        <v>1459.19</v>
      </c>
    </row>
    <row r="803" spans="1:11" x14ac:dyDescent="0.25">
      <c r="A803" t="s">
        <v>1617</v>
      </c>
      <c r="B803" s="1">
        <v>45533</v>
      </c>
      <c r="C803" t="s">
        <v>1618</v>
      </c>
      <c r="D803" t="s">
        <v>13</v>
      </c>
      <c r="E803" t="s">
        <v>3988</v>
      </c>
      <c r="F803" t="s">
        <v>4481</v>
      </c>
      <c r="G803">
        <v>7</v>
      </c>
      <c r="H803">
        <v>1692.05</v>
      </c>
      <c r="I803">
        <v>20</v>
      </c>
      <c r="J803" t="s">
        <v>39</v>
      </c>
      <c r="K803">
        <v>9475.48</v>
      </c>
    </row>
    <row r="804" spans="1:11" x14ac:dyDescent="0.25">
      <c r="A804" t="s">
        <v>1619</v>
      </c>
      <c r="B804" s="1">
        <v>45460</v>
      </c>
      <c r="C804" t="s">
        <v>1620</v>
      </c>
      <c r="D804" t="s">
        <v>20</v>
      </c>
      <c r="E804" t="s">
        <v>3988</v>
      </c>
      <c r="F804" t="s">
        <v>4526</v>
      </c>
      <c r="G804">
        <v>3</v>
      </c>
      <c r="H804">
        <v>522.35</v>
      </c>
      <c r="I804">
        <v>10</v>
      </c>
      <c r="J804" t="s">
        <v>17</v>
      </c>
      <c r="K804">
        <v>1410.35</v>
      </c>
    </row>
    <row r="805" spans="1:11" x14ac:dyDescent="0.25">
      <c r="A805" t="s">
        <v>1621</v>
      </c>
      <c r="B805" s="1">
        <v>45339</v>
      </c>
      <c r="C805" t="s">
        <v>1622</v>
      </c>
      <c r="D805" t="s">
        <v>20</v>
      </c>
      <c r="E805" t="s">
        <v>29</v>
      </c>
      <c r="F805" t="s">
        <v>4165</v>
      </c>
      <c r="G805">
        <v>1</v>
      </c>
      <c r="H805">
        <v>982.61</v>
      </c>
      <c r="I805">
        <v>0</v>
      </c>
      <c r="J805" t="s">
        <v>17</v>
      </c>
      <c r="K805">
        <v>982.61</v>
      </c>
    </row>
    <row r="806" spans="1:11" x14ac:dyDescent="0.25">
      <c r="A806" t="s">
        <v>1623</v>
      </c>
      <c r="B806" s="1">
        <v>45264</v>
      </c>
      <c r="C806" t="s">
        <v>1624</v>
      </c>
      <c r="D806" t="s">
        <v>36</v>
      </c>
      <c r="E806" t="s">
        <v>29</v>
      </c>
      <c r="F806" t="s">
        <v>4456</v>
      </c>
      <c r="G806">
        <v>5</v>
      </c>
      <c r="H806">
        <v>333.13</v>
      </c>
      <c r="I806">
        <v>5</v>
      </c>
      <c r="J806" t="s">
        <v>21</v>
      </c>
      <c r="K806">
        <v>1582.37</v>
      </c>
    </row>
    <row r="807" spans="1:11" x14ac:dyDescent="0.25">
      <c r="A807" t="s">
        <v>1625</v>
      </c>
      <c r="B807" s="1">
        <v>45659</v>
      </c>
      <c r="C807" t="s">
        <v>1626</v>
      </c>
      <c r="D807" t="s">
        <v>24</v>
      </c>
      <c r="E807" t="s">
        <v>3988</v>
      </c>
      <c r="F807" t="s">
        <v>4527</v>
      </c>
      <c r="G807">
        <v>2</v>
      </c>
      <c r="H807">
        <v>1434.71</v>
      </c>
      <c r="I807">
        <v>20</v>
      </c>
      <c r="J807" t="s">
        <v>14</v>
      </c>
      <c r="K807">
        <v>2295.54</v>
      </c>
    </row>
    <row r="808" spans="1:11" x14ac:dyDescent="0.25">
      <c r="A808" t="s">
        <v>1627</v>
      </c>
      <c r="B808" s="1">
        <v>45684</v>
      </c>
      <c r="C808" t="s">
        <v>1628</v>
      </c>
      <c r="D808" t="s">
        <v>36</v>
      </c>
      <c r="E808" t="s">
        <v>3988</v>
      </c>
      <c r="F808" t="s">
        <v>4144</v>
      </c>
      <c r="G808">
        <v>5</v>
      </c>
      <c r="H808">
        <v>1350.37</v>
      </c>
      <c r="I808">
        <v>10</v>
      </c>
      <c r="J808" t="s">
        <v>17</v>
      </c>
      <c r="K808">
        <v>6076.66</v>
      </c>
    </row>
    <row r="809" spans="1:11" x14ac:dyDescent="0.25">
      <c r="A809" t="s">
        <v>1629</v>
      </c>
      <c r="B809" s="1">
        <v>45154</v>
      </c>
      <c r="C809" t="s">
        <v>1630</v>
      </c>
      <c r="D809" t="s">
        <v>36</v>
      </c>
      <c r="E809" t="s">
        <v>3988</v>
      </c>
      <c r="F809" t="s">
        <v>4379</v>
      </c>
      <c r="G809">
        <v>8</v>
      </c>
      <c r="H809">
        <v>461.67</v>
      </c>
      <c r="I809">
        <v>15</v>
      </c>
      <c r="J809" t="s">
        <v>39</v>
      </c>
      <c r="K809">
        <v>3139.36</v>
      </c>
    </row>
    <row r="810" spans="1:11" x14ac:dyDescent="0.25">
      <c r="A810" t="s">
        <v>1631</v>
      </c>
      <c r="B810" s="1">
        <v>45843</v>
      </c>
      <c r="C810" t="s">
        <v>1632</v>
      </c>
      <c r="D810" t="s">
        <v>20</v>
      </c>
      <c r="E810" t="s">
        <v>3272</v>
      </c>
      <c r="F810" t="s">
        <v>4225</v>
      </c>
      <c r="G810">
        <v>9</v>
      </c>
      <c r="H810">
        <v>1733.63</v>
      </c>
      <c r="I810">
        <v>5</v>
      </c>
      <c r="J810" t="s">
        <v>39</v>
      </c>
      <c r="K810">
        <v>14822.54</v>
      </c>
    </row>
    <row r="811" spans="1:11" x14ac:dyDescent="0.25">
      <c r="A811" t="s">
        <v>1633</v>
      </c>
      <c r="B811" s="1">
        <v>45733</v>
      </c>
      <c r="C811" t="s">
        <v>1634</v>
      </c>
      <c r="D811" t="s">
        <v>20</v>
      </c>
      <c r="E811" t="s">
        <v>3272</v>
      </c>
      <c r="F811" t="s">
        <v>4419</v>
      </c>
      <c r="G811">
        <v>2</v>
      </c>
      <c r="H811">
        <v>832.55</v>
      </c>
      <c r="I811">
        <v>10</v>
      </c>
      <c r="J811" t="s">
        <v>39</v>
      </c>
      <c r="K811">
        <v>1498.59</v>
      </c>
    </row>
    <row r="812" spans="1:11" x14ac:dyDescent="0.25">
      <c r="A812" t="s">
        <v>1635</v>
      </c>
      <c r="B812" s="1">
        <v>45818</v>
      </c>
      <c r="C812" t="s">
        <v>1636</v>
      </c>
      <c r="D812" t="s">
        <v>36</v>
      </c>
      <c r="E812" t="s">
        <v>3988</v>
      </c>
      <c r="F812" t="s">
        <v>4454</v>
      </c>
      <c r="G812">
        <v>3</v>
      </c>
      <c r="H812">
        <v>620.4</v>
      </c>
      <c r="I812">
        <v>15</v>
      </c>
      <c r="J812" t="s">
        <v>21</v>
      </c>
      <c r="K812">
        <v>1582.02</v>
      </c>
    </row>
    <row r="813" spans="1:11" x14ac:dyDescent="0.25">
      <c r="A813" t="s">
        <v>1637</v>
      </c>
      <c r="B813" s="1">
        <v>45748</v>
      </c>
      <c r="C813" t="s">
        <v>1638</v>
      </c>
      <c r="D813" t="s">
        <v>36</v>
      </c>
      <c r="E813" t="s">
        <v>3988</v>
      </c>
      <c r="F813" t="s">
        <v>4189</v>
      </c>
      <c r="G813">
        <v>3</v>
      </c>
      <c r="H813">
        <v>347.04</v>
      </c>
      <c r="I813">
        <v>0</v>
      </c>
      <c r="J813" t="s">
        <v>39</v>
      </c>
      <c r="K813">
        <v>1041.1199999999999</v>
      </c>
    </row>
    <row r="814" spans="1:11" x14ac:dyDescent="0.25">
      <c r="A814" t="s">
        <v>1639</v>
      </c>
      <c r="B814" s="1">
        <v>45837</v>
      </c>
      <c r="C814" t="s">
        <v>1640</v>
      </c>
      <c r="D814" t="s">
        <v>20</v>
      </c>
      <c r="E814" t="s">
        <v>3988</v>
      </c>
      <c r="F814" t="s">
        <v>4368</v>
      </c>
      <c r="G814">
        <v>1</v>
      </c>
      <c r="H814">
        <v>569.03</v>
      </c>
      <c r="I814">
        <v>15</v>
      </c>
      <c r="J814" t="s">
        <v>21</v>
      </c>
      <c r="K814">
        <v>483.68</v>
      </c>
    </row>
    <row r="815" spans="1:11" x14ac:dyDescent="0.25">
      <c r="A815" t="s">
        <v>1641</v>
      </c>
      <c r="B815" s="1">
        <v>45232</v>
      </c>
      <c r="C815" t="s">
        <v>1642</v>
      </c>
      <c r="D815" t="s">
        <v>24</v>
      </c>
      <c r="E815" t="s">
        <v>29</v>
      </c>
      <c r="F815" t="s">
        <v>4528</v>
      </c>
      <c r="G815">
        <v>8</v>
      </c>
      <c r="H815">
        <v>92.95</v>
      </c>
      <c r="I815">
        <v>10</v>
      </c>
      <c r="J815" t="s">
        <v>39</v>
      </c>
      <c r="K815">
        <v>669.24</v>
      </c>
    </row>
    <row r="816" spans="1:11" x14ac:dyDescent="0.25">
      <c r="A816" t="s">
        <v>1643</v>
      </c>
      <c r="B816" s="1">
        <v>45754</v>
      </c>
      <c r="C816" t="s">
        <v>1644</v>
      </c>
      <c r="D816" t="s">
        <v>24</v>
      </c>
      <c r="E816" t="s">
        <v>3988</v>
      </c>
      <c r="F816" t="s">
        <v>4529</v>
      </c>
      <c r="G816">
        <v>6</v>
      </c>
      <c r="H816">
        <v>1187.3499999999999</v>
      </c>
      <c r="I816">
        <v>10</v>
      </c>
      <c r="J816" t="s">
        <v>14</v>
      </c>
      <c r="K816">
        <v>6411.69</v>
      </c>
    </row>
    <row r="817" spans="1:11" x14ac:dyDescent="0.25">
      <c r="A817" t="s">
        <v>1645</v>
      </c>
      <c r="B817" s="1">
        <v>45480</v>
      </c>
      <c r="C817" t="s">
        <v>1646</v>
      </c>
      <c r="D817" t="s">
        <v>36</v>
      </c>
      <c r="E817" t="s">
        <v>3988</v>
      </c>
      <c r="F817" t="s">
        <v>4357</v>
      </c>
      <c r="G817">
        <v>8</v>
      </c>
      <c r="H817">
        <v>1692.35</v>
      </c>
      <c r="I817">
        <v>0</v>
      </c>
      <c r="J817" t="s">
        <v>39</v>
      </c>
      <c r="K817">
        <v>13538.8</v>
      </c>
    </row>
    <row r="818" spans="1:11" x14ac:dyDescent="0.25">
      <c r="A818" t="s">
        <v>1647</v>
      </c>
      <c r="B818" s="1">
        <v>45319</v>
      </c>
      <c r="C818" t="s">
        <v>1648</v>
      </c>
      <c r="D818" t="s">
        <v>24</v>
      </c>
      <c r="E818" t="s">
        <v>3988</v>
      </c>
      <c r="F818" t="s">
        <v>4513</v>
      </c>
      <c r="G818">
        <v>9</v>
      </c>
      <c r="H818">
        <v>1120.51</v>
      </c>
      <c r="I818">
        <v>15</v>
      </c>
      <c r="J818" t="s">
        <v>39</v>
      </c>
      <c r="K818">
        <v>8571.9</v>
      </c>
    </row>
    <row r="819" spans="1:11" x14ac:dyDescent="0.25">
      <c r="A819" t="s">
        <v>1649</v>
      </c>
      <c r="B819" s="1">
        <v>45286</v>
      </c>
      <c r="C819" t="s">
        <v>1650</v>
      </c>
      <c r="D819" t="s">
        <v>36</v>
      </c>
      <c r="E819" t="s">
        <v>3988</v>
      </c>
      <c r="F819" t="s">
        <v>4530</v>
      </c>
      <c r="G819">
        <v>5</v>
      </c>
      <c r="H819">
        <v>477.58</v>
      </c>
      <c r="I819">
        <v>15</v>
      </c>
      <c r="J819" t="s">
        <v>21</v>
      </c>
      <c r="K819">
        <v>2029.72</v>
      </c>
    </row>
    <row r="820" spans="1:11" x14ac:dyDescent="0.25">
      <c r="A820" t="s">
        <v>1651</v>
      </c>
      <c r="B820" s="1">
        <v>45774</v>
      </c>
      <c r="C820" t="s">
        <v>1652</v>
      </c>
      <c r="D820" t="s">
        <v>13</v>
      </c>
      <c r="E820" t="s">
        <v>3988</v>
      </c>
      <c r="F820" t="s">
        <v>4227</v>
      </c>
      <c r="G820">
        <v>3</v>
      </c>
      <c r="H820">
        <v>115.65</v>
      </c>
      <c r="I820">
        <v>0</v>
      </c>
      <c r="J820" t="s">
        <v>14</v>
      </c>
      <c r="K820">
        <v>346.95</v>
      </c>
    </row>
    <row r="821" spans="1:11" x14ac:dyDescent="0.25">
      <c r="A821" t="s">
        <v>1653</v>
      </c>
      <c r="B821" s="1">
        <v>45690</v>
      </c>
      <c r="C821" t="s">
        <v>1654</v>
      </c>
      <c r="D821" t="s">
        <v>20</v>
      </c>
      <c r="E821" t="s">
        <v>29</v>
      </c>
      <c r="F821" t="s">
        <v>4531</v>
      </c>
      <c r="G821">
        <v>5</v>
      </c>
      <c r="H821">
        <v>468.52</v>
      </c>
      <c r="I821">
        <v>15</v>
      </c>
      <c r="J821" t="s">
        <v>14</v>
      </c>
      <c r="K821">
        <v>1991.21</v>
      </c>
    </row>
    <row r="822" spans="1:11" x14ac:dyDescent="0.25">
      <c r="A822" t="s">
        <v>1655</v>
      </c>
      <c r="B822" s="1">
        <v>45552</v>
      </c>
      <c r="C822" t="s">
        <v>1656</v>
      </c>
      <c r="D822" t="s">
        <v>36</v>
      </c>
      <c r="E822" t="s">
        <v>29</v>
      </c>
      <c r="F822" t="s">
        <v>4532</v>
      </c>
      <c r="G822">
        <v>5</v>
      </c>
      <c r="H822">
        <v>861.44</v>
      </c>
      <c r="I822">
        <v>0</v>
      </c>
      <c r="J822" t="s">
        <v>21</v>
      </c>
      <c r="K822">
        <v>4307.2</v>
      </c>
    </row>
    <row r="823" spans="1:11" x14ac:dyDescent="0.25">
      <c r="A823" t="s">
        <v>1657</v>
      </c>
      <c r="B823" s="1">
        <v>45510</v>
      </c>
      <c r="C823" t="s">
        <v>1658</v>
      </c>
      <c r="D823" t="s">
        <v>36</v>
      </c>
      <c r="E823" t="s">
        <v>3272</v>
      </c>
      <c r="F823" t="s">
        <v>4152</v>
      </c>
      <c r="G823">
        <v>5</v>
      </c>
      <c r="H823">
        <v>1531.24</v>
      </c>
      <c r="I823">
        <v>5</v>
      </c>
      <c r="J823" t="s">
        <v>14</v>
      </c>
      <c r="K823">
        <v>7273.39</v>
      </c>
    </row>
    <row r="824" spans="1:11" x14ac:dyDescent="0.25">
      <c r="A824" t="s">
        <v>1659</v>
      </c>
      <c r="B824" s="1">
        <v>45189</v>
      </c>
      <c r="C824" t="s">
        <v>1660</v>
      </c>
      <c r="D824" t="s">
        <v>36</v>
      </c>
      <c r="E824" t="s">
        <v>3988</v>
      </c>
      <c r="F824" t="s">
        <v>4533</v>
      </c>
      <c r="G824">
        <v>3</v>
      </c>
      <c r="H824">
        <v>416.29</v>
      </c>
      <c r="I824">
        <v>10</v>
      </c>
      <c r="J824" t="s">
        <v>39</v>
      </c>
      <c r="K824">
        <v>1123.98</v>
      </c>
    </row>
    <row r="825" spans="1:11" x14ac:dyDescent="0.25">
      <c r="A825" t="s">
        <v>1661</v>
      </c>
      <c r="B825" s="1">
        <v>45582</v>
      </c>
      <c r="C825" t="s">
        <v>1662</v>
      </c>
      <c r="D825" t="s">
        <v>24</v>
      </c>
      <c r="E825" t="s">
        <v>3272</v>
      </c>
      <c r="F825" t="s">
        <v>4380</v>
      </c>
      <c r="G825">
        <v>4</v>
      </c>
      <c r="H825">
        <v>1453.59</v>
      </c>
      <c r="I825">
        <v>5</v>
      </c>
      <c r="J825" t="s">
        <v>39</v>
      </c>
      <c r="K825">
        <v>5523.64</v>
      </c>
    </row>
    <row r="826" spans="1:11" x14ac:dyDescent="0.25">
      <c r="A826" t="s">
        <v>1663</v>
      </c>
      <c r="B826" s="1">
        <v>45343</v>
      </c>
      <c r="C826" t="s">
        <v>1664</v>
      </c>
      <c r="D826" t="s">
        <v>36</v>
      </c>
      <c r="E826" t="s">
        <v>29</v>
      </c>
      <c r="F826" t="s">
        <v>4147</v>
      </c>
      <c r="G826">
        <v>9</v>
      </c>
      <c r="H826">
        <v>1740.52</v>
      </c>
      <c r="I826">
        <v>20</v>
      </c>
      <c r="J826" t="s">
        <v>14</v>
      </c>
      <c r="K826">
        <v>12531.74</v>
      </c>
    </row>
    <row r="827" spans="1:11" x14ac:dyDescent="0.25">
      <c r="A827" t="s">
        <v>1665</v>
      </c>
      <c r="B827" s="1">
        <v>45862</v>
      </c>
      <c r="C827" t="s">
        <v>1666</v>
      </c>
      <c r="D827" t="s">
        <v>13</v>
      </c>
      <c r="E827" t="s">
        <v>29</v>
      </c>
      <c r="F827" t="s">
        <v>4534</v>
      </c>
      <c r="G827">
        <v>9</v>
      </c>
      <c r="H827">
        <v>935.2</v>
      </c>
      <c r="I827">
        <v>20</v>
      </c>
      <c r="J827" t="s">
        <v>39</v>
      </c>
      <c r="K827">
        <v>6733.44</v>
      </c>
    </row>
    <row r="828" spans="1:11" x14ac:dyDescent="0.25">
      <c r="A828" t="s">
        <v>1667</v>
      </c>
      <c r="B828" s="1">
        <v>45808</v>
      </c>
      <c r="C828" t="s">
        <v>1668</v>
      </c>
      <c r="D828" t="s">
        <v>24</v>
      </c>
      <c r="E828" t="s">
        <v>29</v>
      </c>
      <c r="F828" t="s">
        <v>4135</v>
      </c>
      <c r="G828">
        <v>2</v>
      </c>
      <c r="H828">
        <v>1651.79</v>
      </c>
      <c r="I828">
        <v>20</v>
      </c>
      <c r="J828" t="s">
        <v>14</v>
      </c>
      <c r="K828">
        <v>2642.86</v>
      </c>
    </row>
    <row r="829" spans="1:11" x14ac:dyDescent="0.25">
      <c r="A829" t="s">
        <v>1669</v>
      </c>
      <c r="B829" s="1">
        <v>45244</v>
      </c>
      <c r="C829" t="s">
        <v>1670</v>
      </c>
      <c r="D829" t="s">
        <v>20</v>
      </c>
      <c r="E829" t="s">
        <v>3988</v>
      </c>
      <c r="F829" t="s">
        <v>4535</v>
      </c>
      <c r="G829">
        <v>8</v>
      </c>
      <c r="H829">
        <v>1131.58</v>
      </c>
      <c r="I829">
        <v>0</v>
      </c>
      <c r="J829" t="s">
        <v>21</v>
      </c>
      <c r="K829">
        <v>9052.64</v>
      </c>
    </row>
    <row r="830" spans="1:11" x14ac:dyDescent="0.25">
      <c r="A830" t="s">
        <v>1671</v>
      </c>
      <c r="B830" s="1">
        <v>45504</v>
      </c>
      <c r="C830" t="s">
        <v>1672</v>
      </c>
      <c r="D830" t="s">
        <v>13</v>
      </c>
      <c r="E830" t="s">
        <v>3272</v>
      </c>
      <c r="F830" t="s">
        <v>4450</v>
      </c>
      <c r="G830">
        <v>8</v>
      </c>
      <c r="H830">
        <v>1292.33</v>
      </c>
      <c r="I830">
        <v>15</v>
      </c>
      <c r="J830" t="s">
        <v>21</v>
      </c>
      <c r="K830">
        <v>8787.84</v>
      </c>
    </row>
    <row r="831" spans="1:11" x14ac:dyDescent="0.25">
      <c r="A831" t="s">
        <v>1673</v>
      </c>
      <c r="B831" s="1">
        <v>45253</v>
      </c>
      <c r="C831" t="s">
        <v>1674</v>
      </c>
      <c r="D831" t="s">
        <v>36</v>
      </c>
      <c r="E831" t="s">
        <v>3988</v>
      </c>
      <c r="F831" t="s">
        <v>4536</v>
      </c>
      <c r="G831">
        <v>7</v>
      </c>
      <c r="H831">
        <v>1076.24</v>
      </c>
      <c r="I831">
        <v>5</v>
      </c>
      <c r="J831" t="s">
        <v>21</v>
      </c>
      <c r="K831">
        <v>7157</v>
      </c>
    </row>
    <row r="832" spans="1:11" x14ac:dyDescent="0.25">
      <c r="A832" t="s">
        <v>1675</v>
      </c>
      <c r="B832" s="1">
        <v>45772</v>
      </c>
      <c r="C832" t="s">
        <v>1676</v>
      </c>
      <c r="D832" t="s">
        <v>13</v>
      </c>
      <c r="E832" t="s">
        <v>3272</v>
      </c>
      <c r="F832" t="s">
        <v>4537</v>
      </c>
      <c r="G832">
        <v>8</v>
      </c>
      <c r="H832">
        <v>953.19</v>
      </c>
      <c r="I832">
        <v>5</v>
      </c>
      <c r="J832" t="s">
        <v>17</v>
      </c>
      <c r="K832">
        <v>7244.24</v>
      </c>
    </row>
    <row r="833" spans="1:11" x14ac:dyDescent="0.25">
      <c r="A833" t="s">
        <v>1677</v>
      </c>
      <c r="B833" s="1">
        <v>45510</v>
      </c>
      <c r="C833" t="s">
        <v>1678</v>
      </c>
      <c r="D833" t="s">
        <v>36</v>
      </c>
      <c r="E833" t="s">
        <v>3988</v>
      </c>
      <c r="F833" t="s">
        <v>4538</v>
      </c>
      <c r="G833">
        <v>3</v>
      </c>
      <c r="H833">
        <v>507.57</v>
      </c>
      <c r="I833">
        <v>5</v>
      </c>
      <c r="J833" t="s">
        <v>39</v>
      </c>
      <c r="K833">
        <v>1446.57</v>
      </c>
    </row>
    <row r="834" spans="1:11" x14ac:dyDescent="0.25">
      <c r="A834" t="s">
        <v>1679</v>
      </c>
      <c r="B834" s="1">
        <v>45668</v>
      </c>
      <c r="C834" t="s">
        <v>1680</v>
      </c>
      <c r="D834" t="s">
        <v>13</v>
      </c>
      <c r="E834" t="s">
        <v>3988</v>
      </c>
      <c r="F834" t="s">
        <v>4538</v>
      </c>
      <c r="G834">
        <v>6</v>
      </c>
      <c r="H834">
        <v>641.23</v>
      </c>
      <c r="I834">
        <v>5</v>
      </c>
      <c r="J834" t="s">
        <v>21</v>
      </c>
      <c r="K834">
        <v>3655.01</v>
      </c>
    </row>
    <row r="835" spans="1:11" x14ac:dyDescent="0.25">
      <c r="A835" t="s">
        <v>1681</v>
      </c>
      <c r="B835" s="1">
        <v>45562</v>
      </c>
      <c r="C835" t="s">
        <v>1682</v>
      </c>
      <c r="D835" t="s">
        <v>24</v>
      </c>
      <c r="E835" t="s">
        <v>29</v>
      </c>
      <c r="F835" t="s">
        <v>4118</v>
      </c>
      <c r="G835">
        <v>1</v>
      </c>
      <c r="H835">
        <v>615.44000000000005</v>
      </c>
      <c r="I835">
        <v>20</v>
      </c>
      <c r="J835" t="s">
        <v>14</v>
      </c>
      <c r="K835">
        <v>492.35</v>
      </c>
    </row>
    <row r="836" spans="1:11" x14ac:dyDescent="0.25">
      <c r="A836" t="s">
        <v>1683</v>
      </c>
      <c r="B836" s="1">
        <v>45584</v>
      </c>
      <c r="C836" t="s">
        <v>1684</v>
      </c>
      <c r="D836" t="s">
        <v>36</v>
      </c>
      <c r="E836" t="s">
        <v>3272</v>
      </c>
      <c r="F836" t="s">
        <v>4420</v>
      </c>
      <c r="G836">
        <v>7</v>
      </c>
      <c r="H836">
        <v>1148.4100000000001</v>
      </c>
      <c r="I836">
        <v>5</v>
      </c>
      <c r="J836" t="s">
        <v>14</v>
      </c>
      <c r="K836">
        <v>7636.93</v>
      </c>
    </row>
    <row r="837" spans="1:11" x14ac:dyDescent="0.25">
      <c r="A837" t="s">
        <v>1685</v>
      </c>
      <c r="B837" s="1">
        <v>45612</v>
      </c>
      <c r="C837" t="s">
        <v>1686</v>
      </c>
      <c r="D837" t="s">
        <v>24</v>
      </c>
      <c r="E837" t="s">
        <v>3988</v>
      </c>
      <c r="F837" t="s">
        <v>4539</v>
      </c>
      <c r="G837">
        <v>1</v>
      </c>
      <c r="H837">
        <v>283.91000000000003</v>
      </c>
      <c r="I837">
        <v>15</v>
      </c>
      <c r="J837" t="s">
        <v>21</v>
      </c>
      <c r="K837">
        <v>241.32</v>
      </c>
    </row>
    <row r="838" spans="1:11" x14ac:dyDescent="0.25">
      <c r="A838" t="s">
        <v>1687</v>
      </c>
      <c r="B838" s="1">
        <v>45396</v>
      </c>
      <c r="C838" t="s">
        <v>1688</v>
      </c>
      <c r="D838" t="s">
        <v>13</v>
      </c>
      <c r="E838" t="s">
        <v>3272</v>
      </c>
      <c r="F838" t="s">
        <v>4324</v>
      </c>
      <c r="G838">
        <v>9</v>
      </c>
      <c r="H838">
        <v>1837.74</v>
      </c>
      <c r="I838">
        <v>20</v>
      </c>
      <c r="J838" t="s">
        <v>21</v>
      </c>
      <c r="K838">
        <v>13231.73</v>
      </c>
    </row>
    <row r="839" spans="1:11" x14ac:dyDescent="0.25">
      <c r="A839" t="s">
        <v>1689</v>
      </c>
      <c r="B839" s="1">
        <v>45736</v>
      </c>
      <c r="C839" t="s">
        <v>1690</v>
      </c>
      <c r="D839" t="s">
        <v>36</v>
      </c>
      <c r="E839" t="s">
        <v>3988</v>
      </c>
      <c r="F839" t="s">
        <v>4540</v>
      </c>
      <c r="G839">
        <v>1</v>
      </c>
      <c r="H839">
        <v>1455.28</v>
      </c>
      <c r="I839">
        <v>5</v>
      </c>
      <c r="J839" t="s">
        <v>21</v>
      </c>
      <c r="K839">
        <v>1382.52</v>
      </c>
    </row>
    <row r="840" spans="1:11" x14ac:dyDescent="0.25">
      <c r="A840" t="s">
        <v>1691</v>
      </c>
      <c r="B840" s="1">
        <v>45842</v>
      </c>
      <c r="C840" t="s">
        <v>1692</v>
      </c>
      <c r="D840" t="s">
        <v>20</v>
      </c>
      <c r="E840" t="s">
        <v>3988</v>
      </c>
      <c r="F840" t="s">
        <v>4541</v>
      </c>
      <c r="G840">
        <v>1</v>
      </c>
      <c r="H840">
        <v>832.82</v>
      </c>
      <c r="I840">
        <v>0</v>
      </c>
      <c r="J840" t="s">
        <v>14</v>
      </c>
      <c r="K840">
        <v>832.82</v>
      </c>
    </row>
    <row r="841" spans="1:11" x14ac:dyDescent="0.25">
      <c r="A841" t="s">
        <v>1693</v>
      </c>
      <c r="B841" s="1">
        <v>45493</v>
      </c>
      <c r="C841" t="s">
        <v>1694</v>
      </c>
      <c r="D841" t="s">
        <v>20</v>
      </c>
      <c r="E841" t="s">
        <v>3988</v>
      </c>
      <c r="F841" t="s">
        <v>4542</v>
      </c>
      <c r="G841">
        <v>7</v>
      </c>
      <c r="H841">
        <v>359.32</v>
      </c>
      <c r="I841">
        <v>10</v>
      </c>
      <c r="J841" t="s">
        <v>17</v>
      </c>
      <c r="K841">
        <v>2263.7199999999998</v>
      </c>
    </row>
    <row r="842" spans="1:11" x14ac:dyDescent="0.25">
      <c r="A842" t="s">
        <v>1695</v>
      </c>
      <c r="B842" s="1">
        <v>45625</v>
      </c>
      <c r="C842" t="s">
        <v>1696</v>
      </c>
      <c r="D842" t="s">
        <v>36</v>
      </c>
      <c r="E842" t="s">
        <v>3272</v>
      </c>
      <c r="F842" t="s">
        <v>4322</v>
      </c>
      <c r="G842">
        <v>2</v>
      </c>
      <c r="H842">
        <v>1769.88</v>
      </c>
      <c r="I842">
        <v>10</v>
      </c>
      <c r="J842" t="s">
        <v>21</v>
      </c>
      <c r="K842">
        <v>3185.78</v>
      </c>
    </row>
    <row r="843" spans="1:11" x14ac:dyDescent="0.25">
      <c r="A843" t="s">
        <v>1697</v>
      </c>
      <c r="B843" s="1">
        <v>45783</v>
      </c>
      <c r="C843" t="s">
        <v>1698</v>
      </c>
      <c r="D843" t="s">
        <v>13</v>
      </c>
      <c r="E843" t="s">
        <v>29</v>
      </c>
      <c r="F843" t="s">
        <v>4440</v>
      </c>
      <c r="G843">
        <v>5</v>
      </c>
      <c r="H843">
        <v>1656.37</v>
      </c>
      <c r="I843">
        <v>10</v>
      </c>
      <c r="J843" t="s">
        <v>14</v>
      </c>
      <c r="K843">
        <v>7453.66</v>
      </c>
    </row>
    <row r="844" spans="1:11" x14ac:dyDescent="0.25">
      <c r="A844" t="s">
        <v>1699</v>
      </c>
      <c r="B844" s="1">
        <v>45708</v>
      </c>
      <c r="C844" t="s">
        <v>1700</v>
      </c>
      <c r="D844" t="s">
        <v>20</v>
      </c>
      <c r="E844" t="s">
        <v>3988</v>
      </c>
      <c r="F844" t="s">
        <v>4105</v>
      </c>
      <c r="G844">
        <v>8</v>
      </c>
      <c r="H844">
        <v>1457.36</v>
      </c>
      <c r="I844">
        <v>20</v>
      </c>
      <c r="J844" t="s">
        <v>14</v>
      </c>
      <c r="K844">
        <v>9327.1</v>
      </c>
    </row>
    <row r="845" spans="1:11" x14ac:dyDescent="0.25">
      <c r="A845" t="s">
        <v>1701</v>
      </c>
      <c r="B845" s="1">
        <v>45842</v>
      </c>
      <c r="C845" t="s">
        <v>1702</v>
      </c>
      <c r="D845" t="s">
        <v>36</v>
      </c>
      <c r="E845" t="s">
        <v>29</v>
      </c>
      <c r="F845" t="s">
        <v>4157</v>
      </c>
      <c r="G845">
        <v>8</v>
      </c>
      <c r="H845">
        <v>579.52</v>
      </c>
      <c r="I845">
        <v>5</v>
      </c>
      <c r="J845" t="s">
        <v>21</v>
      </c>
      <c r="K845">
        <v>4404.3500000000004</v>
      </c>
    </row>
    <row r="846" spans="1:11" x14ac:dyDescent="0.25">
      <c r="A846" t="s">
        <v>1703</v>
      </c>
      <c r="B846" s="1">
        <v>45542</v>
      </c>
      <c r="C846" t="s">
        <v>1704</v>
      </c>
      <c r="D846" t="s">
        <v>20</v>
      </c>
      <c r="E846" t="s">
        <v>3988</v>
      </c>
      <c r="F846" t="s">
        <v>4437</v>
      </c>
      <c r="G846">
        <v>3</v>
      </c>
      <c r="H846">
        <v>834.77</v>
      </c>
      <c r="I846">
        <v>20</v>
      </c>
      <c r="J846" t="s">
        <v>39</v>
      </c>
      <c r="K846">
        <v>2003.45</v>
      </c>
    </row>
    <row r="847" spans="1:11" x14ac:dyDescent="0.25">
      <c r="A847" t="s">
        <v>1705</v>
      </c>
      <c r="B847" s="1">
        <v>45481</v>
      </c>
      <c r="C847" t="s">
        <v>1706</v>
      </c>
      <c r="D847" t="s">
        <v>36</v>
      </c>
      <c r="E847" t="s">
        <v>3988</v>
      </c>
      <c r="F847" t="s">
        <v>4543</v>
      </c>
      <c r="G847">
        <v>7</v>
      </c>
      <c r="H847">
        <v>250.36</v>
      </c>
      <c r="I847">
        <v>15</v>
      </c>
      <c r="J847" t="s">
        <v>14</v>
      </c>
      <c r="K847">
        <v>1489.64</v>
      </c>
    </row>
    <row r="848" spans="1:11" x14ac:dyDescent="0.25">
      <c r="A848" t="s">
        <v>1707</v>
      </c>
      <c r="B848" s="1">
        <v>45795</v>
      </c>
      <c r="C848" t="s">
        <v>1708</v>
      </c>
      <c r="D848" t="s">
        <v>13</v>
      </c>
      <c r="E848" t="s">
        <v>3988</v>
      </c>
      <c r="F848" t="s">
        <v>4212</v>
      </c>
      <c r="G848">
        <v>3</v>
      </c>
      <c r="H848">
        <v>418.63</v>
      </c>
      <c r="I848">
        <v>0</v>
      </c>
      <c r="J848" t="s">
        <v>39</v>
      </c>
      <c r="K848">
        <v>1255.8900000000001</v>
      </c>
    </row>
    <row r="849" spans="1:11" x14ac:dyDescent="0.25">
      <c r="A849" t="s">
        <v>1709</v>
      </c>
      <c r="B849" s="1">
        <v>45854</v>
      </c>
      <c r="C849" t="s">
        <v>1710</v>
      </c>
      <c r="D849" t="s">
        <v>13</v>
      </c>
      <c r="E849" t="s">
        <v>29</v>
      </c>
      <c r="F849" t="s">
        <v>4127</v>
      </c>
      <c r="G849">
        <v>6</v>
      </c>
      <c r="H849">
        <v>1576.88</v>
      </c>
      <c r="I849">
        <v>0</v>
      </c>
      <c r="J849" t="s">
        <v>39</v>
      </c>
      <c r="K849">
        <v>9461.2800000000007</v>
      </c>
    </row>
    <row r="850" spans="1:11" x14ac:dyDescent="0.25">
      <c r="A850" t="s">
        <v>1711</v>
      </c>
      <c r="B850" s="1">
        <v>45575</v>
      </c>
      <c r="C850" t="s">
        <v>1712</v>
      </c>
      <c r="D850" t="s">
        <v>24</v>
      </c>
      <c r="E850" t="s">
        <v>3988</v>
      </c>
      <c r="F850" t="s">
        <v>4544</v>
      </c>
      <c r="G850">
        <v>6</v>
      </c>
      <c r="H850">
        <v>1444.33</v>
      </c>
      <c r="I850">
        <v>10</v>
      </c>
      <c r="J850" t="s">
        <v>17</v>
      </c>
      <c r="K850">
        <v>7799.38</v>
      </c>
    </row>
    <row r="851" spans="1:11" x14ac:dyDescent="0.25">
      <c r="A851" t="s">
        <v>1713</v>
      </c>
      <c r="B851" s="1">
        <v>45496</v>
      </c>
      <c r="C851" t="s">
        <v>1714</v>
      </c>
      <c r="D851" t="s">
        <v>20</v>
      </c>
      <c r="E851" t="s">
        <v>3988</v>
      </c>
      <c r="F851" t="s">
        <v>4545</v>
      </c>
      <c r="G851">
        <v>3</v>
      </c>
      <c r="H851">
        <v>1207.3</v>
      </c>
      <c r="I851">
        <v>10</v>
      </c>
      <c r="J851" t="s">
        <v>14</v>
      </c>
      <c r="K851">
        <v>3259.71</v>
      </c>
    </row>
    <row r="852" spans="1:11" x14ac:dyDescent="0.25">
      <c r="A852" t="s">
        <v>1715</v>
      </c>
      <c r="B852" s="1">
        <v>45846</v>
      </c>
      <c r="C852" t="s">
        <v>1716</v>
      </c>
      <c r="D852" t="s">
        <v>24</v>
      </c>
      <c r="E852" t="s">
        <v>3272</v>
      </c>
      <c r="F852" t="s">
        <v>4546</v>
      </c>
      <c r="G852">
        <v>7</v>
      </c>
      <c r="H852">
        <v>1796.67</v>
      </c>
      <c r="I852">
        <v>10</v>
      </c>
      <c r="J852" t="s">
        <v>17</v>
      </c>
      <c r="K852">
        <v>11319.02</v>
      </c>
    </row>
    <row r="853" spans="1:11" x14ac:dyDescent="0.25">
      <c r="A853" t="s">
        <v>1717</v>
      </c>
      <c r="B853" s="1">
        <v>45273</v>
      </c>
      <c r="C853" t="s">
        <v>1718</v>
      </c>
      <c r="D853" t="s">
        <v>13</v>
      </c>
      <c r="E853" t="s">
        <v>3272</v>
      </c>
      <c r="F853" t="s">
        <v>4171</v>
      </c>
      <c r="G853">
        <v>3</v>
      </c>
      <c r="H853">
        <v>1187.3699999999999</v>
      </c>
      <c r="I853">
        <v>5</v>
      </c>
      <c r="J853" t="s">
        <v>21</v>
      </c>
      <c r="K853">
        <v>3384</v>
      </c>
    </row>
    <row r="854" spans="1:11" x14ac:dyDescent="0.25">
      <c r="A854" t="s">
        <v>1719</v>
      </c>
      <c r="B854" s="1">
        <v>45727</v>
      </c>
      <c r="C854" t="s">
        <v>539</v>
      </c>
      <c r="D854" t="s">
        <v>36</v>
      </c>
      <c r="E854" t="s">
        <v>3988</v>
      </c>
      <c r="F854" t="s">
        <v>4547</v>
      </c>
      <c r="G854">
        <v>8</v>
      </c>
      <c r="H854">
        <v>960.59</v>
      </c>
      <c r="I854">
        <v>15</v>
      </c>
      <c r="J854" t="s">
        <v>17</v>
      </c>
      <c r="K854">
        <v>6532.01</v>
      </c>
    </row>
    <row r="855" spans="1:11" x14ac:dyDescent="0.25">
      <c r="A855" t="s">
        <v>1720</v>
      </c>
      <c r="B855" s="1">
        <v>45819</v>
      </c>
      <c r="C855" t="s">
        <v>1721</v>
      </c>
      <c r="D855" t="s">
        <v>13</v>
      </c>
      <c r="E855" t="s">
        <v>3988</v>
      </c>
      <c r="F855" t="s">
        <v>4548</v>
      </c>
      <c r="G855">
        <v>4</v>
      </c>
      <c r="H855">
        <v>713.72</v>
      </c>
      <c r="I855">
        <v>15</v>
      </c>
      <c r="J855" t="s">
        <v>21</v>
      </c>
      <c r="K855">
        <v>2426.65</v>
      </c>
    </row>
    <row r="856" spans="1:11" x14ac:dyDescent="0.25">
      <c r="A856" t="s">
        <v>1722</v>
      </c>
      <c r="B856" s="1">
        <v>45518</v>
      </c>
      <c r="C856" t="s">
        <v>1723</v>
      </c>
      <c r="D856" t="s">
        <v>13</v>
      </c>
      <c r="E856" t="s">
        <v>29</v>
      </c>
      <c r="F856" t="s">
        <v>4049</v>
      </c>
      <c r="G856">
        <v>1</v>
      </c>
      <c r="H856">
        <v>1883.87</v>
      </c>
      <c r="I856">
        <v>15</v>
      </c>
      <c r="J856" t="s">
        <v>39</v>
      </c>
      <c r="K856">
        <v>1601.29</v>
      </c>
    </row>
    <row r="857" spans="1:11" x14ac:dyDescent="0.25">
      <c r="A857" t="s">
        <v>1724</v>
      </c>
      <c r="B857" s="1">
        <v>45499</v>
      </c>
      <c r="C857" t="s">
        <v>1725</v>
      </c>
      <c r="D857" t="s">
        <v>36</v>
      </c>
      <c r="E857" t="s">
        <v>3988</v>
      </c>
      <c r="F857" t="s">
        <v>4202</v>
      </c>
      <c r="G857">
        <v>4</v>
      </c>
      <c r="H857">
        <v>211.3</v>
      </c>
      <c r="I857">
        <v>15</v>
      </c>
      <c r="J857" t="s">
        <v>14</v>
      </c>
      <c r="K857">
        <v>718.42</v>
      </c>
    </row>
    <row r="858" spans="1:11" x14ac:dyDescent="0.25">
      <c r="A858" t="s">
        <v>1726</v>
      </c>
      <c r="B858" s="1">
        <v>45351</v>
      </c>
      <c r="C858" t="s">
        <v>1727</v>
      </c>
      <c r="D858" t="s">
        <v>24</v>
      </c>
      <c r="E858" t="s">
        <v>3988</v>
      </c>
      <c r="F858" t="s">
        <v>4549</v>
      </c>
      <c r="G858">
        <v>7</v>
      </c>
      <c r="H858">
        <v>1865.23</v>
      </c>
      <c r="I858">
        <v>10</v>
      </c>
      <c r="J858" t="s">
        <v>17</v>
      </c>
      <c r="K858">
        <v>11750.95</v>
      </c>
    </row>
    <row r="859" spans="1:11" x14ac:dyDescent="0.25">
      <c r="A859" t="s">
        <v>1728</v>
      </c>
      <c r="B859" s="1">
        <v>45733</v>
      </c>
      <c r="C859" t="s">
        <v>1729</v>
      </c>
      <c r="D859" t="s">
        <v>20</v>
      </c>
      <c r="E859" t="s">
        <v>3272</v>
      </c>
      <c r="F859" t="s">
        <v>4175</v>
      </c>
      <c r="G859">
        <v>4</v>
      </c>
      <c r="H859">
        <v>1662.09</v>
      </c>
      <c r="I859">
        <v>0</v>
      </c>
      <c r="J859" t="s">
        <v>14</v>
      </c>
      <c r="K859">
        <v>6648.36</v>
      </c>
    </row>
    <row r="860" spans="1:11" x14ac:dyDescent="0.25">
      <c r="A860" t="s">
        <v>1730</v>
      </c>
      <c r="B860" s="1">
        <v>45342</v>
      </c>
      <c r="C860" t="s">
        <v>1731</v>
      </c>
      <c r="D860" t="s">
        <v>13</v>
      </c>
      <c r="E860" t="s">
        <v>3272</v>
      </c>
      <c r="F860" t="s">
        <v>4341</v>
      </c>
      <c r="G860">
        <v>6</v>
      </c>
      <c r="H860">
        <v>303.36</v>
      </c>
      <c r="I860">
        <v>10</v>
      </c>
      <c r="J860" t="s">
        <v>39</v>
      </c>
      <c r="K860">
        <v>1638.14</v>
      </c>
    </row>
    <row r="861" spans="1:11" x14ac:dyDescent="0.25">
      <c r="A861" t="s">
        <v>1732</v>
      </c>
      <c r="B861" s="1">
        <v>45802</v>
      </c>
      <c r="C861" t="s">
        <v>1733</v>
      </c>
      <c r="D861" t="s">
        <v>13</v>
      </c>
      <c r="E861" t="s">
        <v>3988</v>
      </c>
      <c r="F861" t="s">
        <v>4550</v>
      </c>
      <c r="G861">
        <v>9</v>
      </c>
      <c r="H861">
        <v>1151.72</v>
      </c>
      <c r="I861">
        <v>15</v>
      </c>
      <c r="J861" t="s">
        <v>39</v>
      </c>
      <c r="K861">
        <v>8810.66</v>
      </c>
    </row>
    <row r="862" spans="1:11" x14ac:dyDescent="0.25">
      <c r="A862" t="s">
        <v>1734</v>
      </c>
      <c r="B862" s="1">
        <v>45645</v>
      </c>
      <c r="C862" t="s">
        <v>1735</v>
      </c>
      <c r="D862" t="s">
        <v>20</v>
      </c>
      <c r="E862" t="s">
        <v>3988</v>
      </c>
      <c r="F862" t="s">
        <v>4551</v>
      </c>
      <c r="G862">
        <v>1</v>
      </c>
      <c r="H862">
        <v>1739.77</v>
      </c>
      <c r="I862">
        <v>10</v>
      </c>
      <c r="J862" t="s">
        <v>39</v>
      </c>
      <c r="K862">
        <v>1565.79</v>
      </c>
    </row>
    <row r="863" spans="1:11" x14ac:dyDescent="0.25">
      <c r="A863" t="s">
        <v>1736</v>
      </c>
      <c r="B863" s="1">
        <v>45365</v>
      </c>
      <c r="C863" t="s">
        <v>1737</v>
      </c>
      <c r="D863" t="s">
        <v>13</v>
      </c>
      <c r="E863" t="s">
        <v>3272</v>
      </c>
      <c r="F863" t="s">
        <v>4163</v>
      </c>
      <c r="G863">
        <v>5</v>
      </c>
      <c r="H863">
        <v>1165.03</v>
      </c>
      <c r="I863">
        <v>15</v>
      </c>
      <c r="J863" t="s">
        <v>39</v>
      </c>
      <c r="K863">
        <v>4951.38</v>
      </c>
    </row>
    <row r="864" spans="1:11" x14ac:dyDescent="0.25">
      <c r="A864" t="s">
        <v>1738</v>
      </c>
      <c r="B864" s="1">
        <v>45744</v>
      </c>
      <c r="C864" t="s">
        <v>1739</v>
      </c>
      <c r="D864" t="s">
        <v>20</v>
      </c>
      <c r="E864" t="s">
        <v>3988</v>
      </c>
      <c r="F864" t="s">
        <v>4098</v>
      </c>
      <c r="G864">
        <v>7</v>
      </c>
      <c r="H864">
        <v>1819.04</v>
      </c>
      <c r="I864">
        <v>20</v>
      </c>
      <c r="J864" t="s">
        <v>39</v>
      </c>
      <c r="K864">
        <v>10186.620000000001</v>
      </c>
    </row>
    <row r="865" spans="1:11" x14ac:dyDescent="0.25">
      <c r="A865" t="s">
        <v>1740</v>
      </c>
      <c r="B865" s="1">
        <v>45754</v>
      </c>
      <c r="C865" t="s">
        <v>1741</v>
      </c>
      <c r="D865" t="s">
        <v>20</v>
      </c>
      <c r="E865" t="s">
        <v>3272</v>
      </c>
      <c r="F865" t="s">
        <v>4552</v>
      </c>
      <c r="G865">
        <v>1</v>
      </c>
      <c r="H865">
        <v>1888.82</v>
      </c>
      <c r="I865">
        <v>0</v>
      </c>
      <c r="J865" t="s">
        <v>39</v>
      </c>
      <c r="K865">
        <v>1888.82</v>
      </c>
    </row>
    <row r="866" spans="1:11" x14ac:dyDescent="0.25">
      <c r="A866" t="s">
        <v>1742</v>
      </c>
      <c r="B866" s="1">
        <v>45554</v>
      </c>
      <c r="C866" t="s">
        <v>1743</v>
      </c>
      <c r="D866" t="s">
        <v>20</v>
      </c>
      <c r="E866" t="s">
        <v>3988</v>
      </c>
      <c r="F866" t="s">
        <v>4553</v>
      </c>
      <c r="G866">
        <v>4</v>
      </c>
      <c r="H866">
        <v>873.65</v>
      </c>
      <c r="I866">
        <v>20</v>
      </c>
      <c r="J866" t="s">
        <v>17</v>
      </c>
      <c r="K866">
        <v>2795.68</v>
      </c>
    </row>
    <row r="867" spans="1:11" x14ac:dyDescent="0.25">
      <c r="A867" t="s">
        <v>1744</v>
      </c>
      <c r="B867" s="1">
        <v>45526</v>
      </c>
      <c r="C867" t="s">
        <v>1745</v>
      </c>
      <c r="D867" t="s">
        <v>36</v>
      </c>
      <c r="E867" t="s">
        <v>29</v>
      </c>
      <c r="F867" t="s">
        <v>4554</v>
      </c>
      <c r="G867">
        <v>6</v>
      </c>
      <c r="H867">
        <v>785.76</v>
      </c>
      <c r="I867">
        <v>5</v>
      </c>
      <c r="J867" t="s">
        <v>14</v>
      </c>
      <c r="K867">
        <v>4478.83</v>
      </c>
    </row>
    <row r="868" spans="1:11" x14ac:dyDescent="0.25">
      <c r="A868" t="s">
        <v>1746</v>
      </c>
      <c r="B868" s="1">
        <v>45636</v>
      </c>
      <c r="C868" t="s">
        <v>1747</v>
      </c>
      <c r="D868" t="s">
        <v>24</v>
      </c>
      <c r="E868" t="s">
        <v>3988</v>
      </c>
      <c r="F868" t="s">
        <v>4555</v>
      </c>
      <c r="G868">
        <v>2</v>
      </c>
      <c r="H868">
        <v>1875.83</v>
      </c>
      <c r="I868">
        <v>10</v>
      </c>
      <c r="J868" t="s">
        <v>17</v>
      </c>
      <c r="K868">
        <v>3376.49</v>
      </c>
    </row>
    <row r="869" spans="1:11" x14ac:dyDescent="0.25">
      <c r="A869" t="s">
        <v>1748</v>
      </c>
      <c r="B869" s="1">
        <v>45335</v>
      </c>
      <c r="C869" t="s">
        <v>1749</v>
      </c>
      <c r="D869" t="s">
        <v>24</v>
      </c>
      <c r="E869" t="s">
        <v>3988</v>
      </c>
      <c r="F869" t="s">
        <v>4556</v>
      </c>
      <c r="G869">
        <v>5</v>
      </c>
      <c r="H869">
        <v>1366.52</v>
      </c>
      <c r="I869">
        <v>5</v>
      </c>
      <c r="J869" t="s">
        <v>39</v>
      </c>
      <c r="K869">
        <v>6490.97</v>
      </c>
    </row>
    <row r="870" spans="1:11" x14ac:dyDescent="0.25">
      <c r="A870" t="s">
        <v>1750</v>
      </c>
      <c r="B870" s="1">
        <v>45363</v>
      </c>
      <c r="C870" t="s">
        <v>1751</v>
      </c>
      <c r="D870" t="s">
        <v>36</v>
      </c>
      <c r="E870" t="s">
        <v>29</v>
      </c>
      <c r="F870" t="s">
        <v>4165</v>
      </c>
      <c r="G870">
        <v>1</v>
      </c>
      <c r="H870">
        <v>276.24</v>
      </c>
      <c r="I870">
        <v>10</v>
      </c>
      <c r="J870" t="s">
        <v>21</v>
      </c>
      <c r="K870">
        <v>248.62</v>
      </c>
    </row>
    <row r="871" spans="1:11" x14ac:dyDescent="0.25">
      <c r="A871" t="s">
        <v>1752</v>
      </c>
      <c r="B871" s="1">
        <v>45491</v>
      </c>
      <c r="C871" t="s">
        <v>1753</v>
      </c>
      <c r="D871" t="s">
        <v>24</v>
      </c>
      <c r="E871" t="s">
        <v>3988</v>
      </c>
      <c r="F871" t="s">
        <v>4557</v>
      </c>
      <c r="G871">
        <v>6</v>
      </c>
      <c r="H871">
        <v>132.47</v>
      </c>
      <c r="I871">
        <v>20</v>
      </c>
      <c r="J871" t="s">
        <v>21</v>
      </c>
      <c r="K871">
        <v>635.86</v>
      </c>
    </row>
    <row r="872" spans="1:11" x14ac:dyDescent="0.25">
      <c r="A872" t="s">
        <v>1754</v>
      </c>
      <c r="B872" s="1">
        <v>45210</v>
      </c>
      <c r="C872" t="s">
        <v>1755</v>
      </c>
      <c r="D872" t="s">
        <v>24</v>
      </c>
      <c r="E872" t="s">
        <v>3988</v>
      </c>
      <c r="F872" t="s">
        <v>4077</v>
      </c>
      <c r="G872">
        <v>6</v>
      </c>
      <c r="H872">
        <v>1151.03</v>
      </c>
      <c r="I872">
        <v>15</v>
      </c>
      <c r="J872" t="s">
        <v>39</v>
      </c>
      <c r="K872">
        <v>5870.25</v>
      </c>
    </row>
    <row r="873" spans="1:11" x14ac:dyDescent="0.25">
      <c r="A873" t="s">
        <v>1756</v>
      </c>
      <c r="B873" s="1">
        <v>45704</v>
      </c>
      <c r="C873" t="s">
        <v>1757</v>
      </c>
      <c r="D873" t="s">
        <v>24</v>
      </c>
      <c r="E873" t="s">
        <v>3988</v>
      </c>
      <c r="F873" t="s">
        <v>4558</v>
      </c>
      <c r="G873">
        <v>4</v>
      </c>
      <c r="H873">
        <v>1863.83</v>
      </c>
      <c r="I873">
        <v>15</v>
      </c>
      <c r="J873" t="s">
        <v>39</v>
      </c>
      <c r="K873">
        <v>6337.02</v>
      </c>
    </row>
    <row r="874" spans="1:11" x14ac:dyDescent="0.25">
      <c r="A874" t="s">
        <v>1758</v>
      </c>
      <c r="B874" s="1">
        <v>45371</v>
      </c>
      <c r="C874" t="s">
        <v>1759</v>
      </c>
      <c r="D874" t="s">
        <v>13</v>
      </c>
      <c r="E874" t="s">
        <v>3272</v>
      </c>
      <c r="F874" t="s">
        <v>4469</v>
      </c>
      <c r="G874">
        <v>8</v>
      </c>
      <c r="H874">
        <v>1696.28</v>
      </c>
      <c r="I874">
        <v>10</v>
      </c>
      <c r="J874" t="s">
        <v>39</v>
      </c>
      <c r="K874">
        <v>12213.22</v>
      </c>
    </row>
    <row r="875" spans="1:11" x14ac:dyDescent="0.25">
      <c r="A875" t="s">
        <v>1760</v>
      </c>
      <c r="B875" s="1">
        <v>45332</v>
      </c>
      <c r="C875" t="s">
        <v>1761</v>
      </c>
      <c r="D875" t="s">
        <v>36</v>
      </c>
      <c r="E875" t="s">
        <v>29</v>
      </c>
      <c r="F875" t="s">
        <v>4559</v>
      </c>
      <c r="G875">
        <v>4</v>
      </c>
      <c r="H875">
        <v>1367.9</v>
      </c>
      <c r="I875">
        <v>15</v>
      </c>
      <c r="J875" t="s">
        <v>14</v>
      </c>
      <c r="K875">
        <v>4650.8599999999997</v>
      </c>
    </row>
    <row r="876" spans="1:11" x14ac:dyDescent="0.25">
      <c r="A876" t="s">
        <v>1762</v>
      </c>
      <c r="B876" s="1">
        <v>45361</v>
      </c>
      <c r="C876" t="s">
        <v>1763</v>
      </c>
      <c r="D876" t="s">
        <v>24</v>
      </c>
      <c r="E876" t="s">
        <v>3988</v>
      </c>
      <c r="F876" t="s">
        <v>4560</v>
      </c>
      <c r="G876">
        <v>8</v>
      </c>
      <c r="H876">
        <v>321.27999999999997</v>
      </c>
      <c r="I876">
        <v>20</v>
      </c>
      <c r="J876" t="s">
        <v>14</v>
      </c>
      <c r="K876">
        <v>2056.19</v>
      </c>
    </row>
    <row r="877" spans="1:11" x14ac:dyDescent="0.25">
      <c r="A877" t="s">
        <v>1764</v>
      </c>
      <c r="B877" s="1">
        <v>45410</v>
      </c>
      <c r="C877" t="s">
        <v>1765</v>
      </c>
      <c r="D877" t="s">
        <v>36</v>
      </c>
      <c r="E877" t="s">
        <v>29</v>
      </c>
      <c r="F877" t="s">
        <v>4507</v>
      </c>
      <c r="G877">
        <v>8</v>
      </c>
      <c r="H877">
        <v>545.75</v>
      </c>
      <c r="I877">
        <v>15</v>
      </c>
      <c r="J877" t="s">
        <v>17</v>
      </c>
      <c r="K877">
        <v>3711.1</v>
      </c>
    </row>
    <row r="878" spans="1:11" x14ac:dyDescent="0.25">
      <c r="A878" t="s">
        <v>1766</v>
      </c>
      <c r="B878" s="1">
        <v>45398</v>
      </c>
      <c r="C878" t="s">
        <v>1767</v>
      </c>
      <c r="D878" t="s">
        <v>24</v>
      </c>
      <c r="E878" t="s">
        <v>3272</v>
      </c>
      <c r="F878" t="s">
        <v>4561</v>
      </c>
      <c r="G878">
        <v>5</v>
      </c>
      <c r="H878">
        <v>1757.25</v>
      </c>
      <c r="I878">
        <v>20</v>
      </c>
      <c r="J878" t="s">
        <v>14</v>
      </c>
      <c r="K878">
        <v>7029</v>
      </c>
    </row>
    <row r="879" spans="1:11" x14ac:dyDescent="0.25">
      <c r="A879" t="s">
        <v>1768</v>
      </c>
      <c r="B879" s="1">
        <v>45843</v>
      </c>
      <c r="C879" t="s">
        <v>1769</v>
      </c>
      <c r="D879" t="s">
        <v>24</v>
      </c>
      <c r="E879" t="s">
        <v>3988</v>
      </c>
      <c r="F879" t="s">
        <v>4244</v>
      </c>
      <c r="G879">
        <v>4</v>
      </c>
      <c r="H879">
        <v>406.47</v>
      </c>
      <c r="I879">
        <v>5</v>
      </c>
      <c r="J879" t="s">
        <v>39</v>
      </c>
      <c r="K879">
        <v>1544.59</v>
      </c>
    </row>
    <row r="880" spans="1:11" x14ac:dyDescent="0.25">
      <c r="A880" t="s">
        <v>1770</v>
      </c>
      <c r="B880" s="1">
        <v>45569</v>
      </c>
      <c r="C880" t="s">
        <v>1771</v>
      </c>
      <c r="D880" t="s">
        <v>36</v>
      </c>
      <c r="E880" t="s">
        <v>29</v>
      </c>
      <c r="F880" t="s">
        <v>4562</v>
      </c>
      <c r="G880">
        <v>2</v>
      </c>
      <c r="H880">
        <v>592.96</v>
      </c>
      <c r="I880">
        <v>20</v>
      </c>
      <c r="J880" t="s">
        <v>14</v>
      </c>
      <c r="K880">
        <v>948.74</v>
      </c>
    </row>
    <row r="881" spans="1:11" x14ac:dyDescent="0.25">
      <c r="A881" t="s">
        <v>1772</v>
      </c>
      <c r="B881" s="1">
        <v>45212</v>
      </c>
      <c r="C881" t="s">
        <v>1773</v>
      </c>
      <c r="D881" t="s">
        <v>20</v>
      </c>
      <c r="E881" t="s">
        <v>3988</v>
      </c>
      <c r="F881" t="s">
        <v>4563</v>
      </c>
      <c r="G881">
        <v>3</v>
      </c>
      <c r="H881">
        <v>302.72000000000003</v>
      </c>
      <c r="I881">
        <v>0</v>
      </c>
      <c r="J881" t="s">
        <v>21</v>
      </c>
      <c r="K881">
        <v>908.16</v>
      </c>
    </row>
    <row r="882" spans="1:11" x14ac:dyDescent="0.25">
      <c r="A882" t="s">
        <v>1774</v>
      </c>
      <c r="B882" s="1">
        <v>45257</v>
      </c>
      <c r="C882" t="s">
        <v>1775</v>
      </c>
      <c r="D882" t="s">
        <v>36</v>
      </c>
      <c r="E882" t="s">
        <v>29</v>
      </c>
      <c r="F882" t="s">
        <v>4015</v>
      </c>
      <c r="G882">
        <v>3</v>
      </c>
      <c r="H882">
        <v>1368.41</v>
      </c>
      <c r="I882">
        <v>0</v>
      </c>
      <c r="J882" t="s">
        <v>21</v>
      </c>
      <c r="K882">
        <v>4105.2299999999996</v>
      </c>
    </row>
    <row r="883" spans="1:11" x14ac:dyDescent="0.25">
      <c r="A883" t="s">
        <v>1776</v>
      </c>
      <c r="B883" s="1">
        <v>45267</v>
      </c>
      <c r="C883" t="s">
        <v>1777</v>
      </c>
      <c r="D883" t="s">
        <v>20</v>
      </c>
      <c r="E883" t="s">
        <v>29</v>
      </c>
      <c r="F883" t="s">
        <v>4564</v>
      </c>
      <c r="G883">
        <v>4</v>
      </c>
      <c r="H883">
        <v>1890.77</v>
      </c>
      <c r="I883">
        <v>0</v>
      </c>
      <c r="J883" t="s">
        <v>39</v>
      </c>
      <c r="K883">
        <v>7563.08</v>
      </c>
    </row>
    <row r="884" spans="1:11" x14ac:dyDescent="0.25">
      <c r="A884" t="s">
        <v>1778</v>
      </c>
      <c r="B884" s="1">
        <v>45329</v>
      </c>
      <c r="C884" t="s">
        <v>1779</v>
      </c>
      <c r="D884" t="s">
        <v>13</v>
      </c>
      <c r="E884" t="s">
        <v>3988</v>
      </c>
      <c r="F884" t="s">
        <v>4565</v>
      </c>
      <c r="G884">
        <v>4</v>
      </c>
      <c r="H884">
        <v>574.49</v>
      </c>
      <c r="I884">
        <v>10</v>
      </c>
      <c r="J884" t="s">
        <v>14</v>
      </c>
      <c r="K884">
        <v>2068.16</v>
      </c>
    </row>
    <row r="885" spans="1:11" x14ac:dyDescent="0.25">
      <c r="A885" t="s">
        <v>1780</v>
      </c>
      <c r="B885" s="1">
        <v>45447</v>
      </c>
      <c r="C885" t="s">
        <v>843</v>
      </c>
      <c r="D885" t="s">
        <v>36</v>
      </c>
      <c r="E885" t="s">
        <v>3988</v>
      </c>
      <c r="F885" t="s">
        <v>4453</v>
      </c>
      <c r="G885">
        <v>5</v>
      </c>
      <c r="H885">
        <v>977.04</v>
      </c>
      <c r="I885">
        <v>10</v>
      </c>
      <c r="J885" t="s">
        <v>14</v>
      </c>
      <c r="K885">
        <v>4396.68</v>
      </c>
    </row>
    <row r="886" spans="1:11" x14ac:dyDescent="0.25">
      <c r="A886" t="s">
        <v>1781</v>
      </c>
      <c r="B886" s="1">
        <v>45689</v>
      </c>
      <c r="C886" t="s">
        <v>1782</v>
      </c>
      <c r="D886" t="s">
        <v>20</v>
      </c>
      <c r="E886" t="s">
        <v>3988</v>
      </c>
      <c r="F886" t="s">
        <v>4566</v>
      </c>
      <c r="G886">
        <v>4</v>
      </c>
      <c r="H886">
        <v>1286.96</v>
      </c>
      <c r="I886">
        <v>10</v>
      </c>
      <c r="J886" t="s">
        <v>17</v>
      </c>
      <c r="K886">
        <v>4633.0600000000004</v>
      </c>
    </row>
    <row r="887" spans="1:11" x14ac:dyDescent="0.25">
      <c r="A887" t="s">
        <v>1783</v>
      </c>
      <c r="B887" s="1">
        <v>45268</v>
      </c>
      <c r="C887" t="s">
        <v>1784</v>
      </c>
      <c r="D887" t="s">
        <v>24</v>
      </c>
      <c r="E887" t="s">
        <v>29</v>
      </c>
      <c r="F887" t="s">
        <v>3991</v>
      </c>
      <c r="G887">
        <v>8</v>
      </c>
      <c r="H887">
        <v>1998.96</v>
      </c>
      <c r="I887">
        <v>20</v>
      </c>
      <c r="J887" t="s">
        <v>17</v>
      </c>
      <c r="K887">
        <v>12793.34</v>
      </c>
    </row>
    <row r="888" spans="1:11" x14ac:dyDescent="0.25">
      <c r="A888" t="s">
        <v>1785</v>
      </c>
      <c r="B888" s="1">
        <v>45698</v>
      </c>
      <c r="C888" t="s">
        <v>1786</v>
      </c>
      <c r="D888" t="s">
        <v>13</v>
      </c>
      <c r="E888" t="s">
        <v>3988</v>
      </c>
      <c r="F888" t="s">
        <v>4567</v>
      </c>
      <c r="G888">
        <v>6</v>
      </c>
      <c r="H888">
        <v>254.38</v>
      </c>
      <c r="I888">
        <v>10</v>
      </c>
      <c r="J888" t="s">
        <v>21</v>
      </c>
      <c r="K888">
        <v>1373.65</v>
      </c>
    </row>
    <row r="889" spans="1:11" x14ac:dyDescent="0.25">
      <c r="A889" t="s">
        <v>1787</v>
      </c>
      <c r="B889" s="1">
        <v>45316</v>
      </c>
      <c r="C889" t="s">
        <v>1788</v>
      </c>
      <c r="D889" t="s">
        <v>36</v>
      </c>
      <c r="E889" t="s">
        <v>3272</v>
      </c>
      <c r="F889" t="s">
        <v>4206</v>
      </c>
      <c r="G889">
        <v>6</v>
      </c>
      <c r="H889">
        <v>1022.21</v>
      </c>
      <c r="I889">
        <v>5</v>
      </c>
      <c r="J889" t="s">
        <v>39</v>
      </c>
      <c r="K889">
        <v>5826.6</v>
      </c>
    </row>
    <row r="890" spans="1:11" x14ac:dyDescent="0.25">
      <c r="A890" t="s">
        <v>1789</v>
      </c>
      <c r="B890" s="1">
        <v>45199</v>
      </c>
      <c r="C890" t="s">
        <v>1790</v>
      </c>
      <c r="D890" t="s">
        <v>20</v>
      </c>
      <c r="E890" t="s">
        <v>3272</v>
      </c>
      <c r="F890" t="s">
        <v>4459</v>
      </c>
      <c r="G890">
        <v>8</v>
      </c>
      <c r="H890">
        <v>800.98</v>
      </c>
      <c r="I890">
        <v>0</v>
      </c>
      <c r="J890" t="s">
        <v>21</v>
      </c>
      <c r="K890">
        <v>6407.84</v>
      </c>
    </row>
    <row r="891" spans="1:11" x14ac:dyDescent="0.25">
      <c r="A891" t="s">
        <v>1791</v>
      </c>
      <c r="B891" s="1">
        <v>45472</v>
      </c>
      <c r="C891" t="s">
        <v>1792</v>
      </c>
      <c r="D891" t="s">
        <v>20</v>
      </c>
      <c r="E891" t="s">
        <v>3988</v>
      </c>
      <c r="F891" t="s">
        <v>4568</v>
      </c>
      <c r="G891">
        <v>7</v>
      </c>
      <c r="H891">
        <v>1738.35</v>
      </c>
      <c r="I891">
        <v>20</v>
      </c>
      <c r="J891" t="s">
        <v>39</v>
      </c>
      <c r="K891">
        <v>9734.76</v>
      </c>
    </row>
    <row r="892" spans="1:11" x14ac:dyDescent="0.25">
      <c r="A892" t="s">
        <v>1793</v>
      </c>
      <c r="B892" s="1">
        <v>45466</v>
      </c>
      <c r="C892" t="s">
        <v>1794</v>
      </c>
      <c r="D892" t="s">
        <v>36</v>
      </c>
      <c r="E892" t="s">
        <v>3988</v>
      </c>
      <c r="F892" t="s">
        <v>4569</v>
      </c>
      <c r="G892">
        <v>8</v>
      </c>
      <c r="H892">
        <v>978.14</v>
      </c>
      <c r="I892">
        <v>0</v>
      </c>
      <c r="J892" t="s">
        <v>39</v>
      </c>
      <c r="K892">
        <v>7825.12</v>
      </c>
    </row>
    <row r="893" spans="1:11" x14ac:dyDescent="0.25">
      <c r="A893" t="s">
        <v>1795</v>
      </c>
      <c r="B893" s="1">
        <v>45407</v>
      </c>
      <c r="C893" t="s">
        <v>1796</v>
      </c>
      <c r="D893" t="s">
        <v>20</v>
      </c>
      <c r="E893" t="s">
        <v>3988</v>
      </c>
      <c r="F893" t="s">
        <v>4543</v>
      </c>
      <c r="G893">
        <v>2</v>
      </c>
      <c r="H893">
        <v>266.41000000000003</v>
      </c>
      <c r="I893">
        <v>10</v>
      </c>
      <c r="J893" t="s">
        <v>39</v>
      </c>
      <c r="K893">
        <v>479.54</v>
      </c>
    </row>
    <row r="894" spans="1:11" x14ac:dyDescent="0.25">
      <c r="A894" t="s">
        <v>1797</v>
      </c>
      <c r="B894" s="1">
        <v>45571</v>
      </c>
      <c r="C894" t="s">
        <v>1798</v>
      </c>
      <c r="D894" t="s">
        <v>36</v>
      </c>
      <c r="E894" t="s">
        <v>3988</v>
      </c>
      <c r="F894" t="s">
        <v>4181</v>
      </c>
      <c r="G894">
        <v>9</v>
      </c>
      <c r="H894">
        <v>1287.1300000000001</v>
      </c>
      <c r="I894">
        <v>20</v>
      </c>
      <c r="J894" t="s">
        <v>39</v>
      </c>
      <c r="K894">
        <v>9267.34</v>
      </c>
    </row>
    <row r="895" spans="1:11" x14ac:dyDescent="0.25">
      <c r="A895" t="s">
        <v>1799</v>
      </c>
      <c r="B895" s="1">
        <v>45511</v>
      </c>
      <c r="C895" t="s">
        <v>1800</v>
      </c>
      <c r="D895" t="s">
        <v>20</v>
      </c>
      <c r="E895" t="s">
        <v>3272</v>
      </c>
      <c r="F895" t="s">
        <v>4570</v>
      </c>
      <c r="G895">
        <v>1</v>
      </c>
      <c r="H895">
        <v>1553.02</v>
      </c>
      <c r="I895">
        <v>15</v>
      </c>
      <c r="J895" t="s">
        <v>14</v>
      </c>
      <c r="K895">
        <v>1320.07</v>
      </c>
    </row>
    <row r="896" spans="1:11" x14ac:dyDescent="0.25">
      <c r="A896" t="s">
        <v>1801</v>
      </c>
      <c r="B896" s="1">
        <v>45472</v>
      </c>
      <c r="C896" t="s">
        <v>1802</v>
      </c>
      <c r="D896" t="s">
        <v>24</v>
      </c>
      <c r="E896" t="s">
        <v>3988</v>
      </c>
      <c r="F896" t="s">
        <v>4571</v>
      </c>
      <c r="G896">
        <v>8</v>
      </c>
      <c r="H896">
        <v>55.62</v>
      </c>
      <c r="I896">
        <v>5</v>
      </c>
      <c r="J896" t="s">
        <v>39</v>
      </c>
      <c r="K896">
        <v>422.71</v>
      </c>
    </row>
    <row r="897" spans="1:11" x14ac:dyDescent="0.25">
      <c r="A897" t="s">
        <v>1803</v>
      </c>
      <c r="B897" s="1">
        <v>45198</v>
      </c>
      <c r="C897" t="s">
        <v>1804</v>
      </c>
      <c r="D897" t="s">
        <v>36</v>
      </c>
      <c r="E897" t="s">
        <v>3272</v>
      </c>
      <c r="F897" t="s">
        <v>4572</v>
      </c>
      <c r="G897">
        <v>4</v>
      </c>
      <c r="H897">
        <v>1724.97</v>
      </c>
      <c r="I897">
        <v>10</v>
      </c>
      <c r="J897" t="s">
        <v>14</v>
      </c>
      <c r="K897">
        <v>6209.89</v>
      </c>
    </row>
    <row r="898" spans="1:11" x14ac:dyDescent="0.25">
      <c r="A898" t="s">
        <v>1805</v>
      </c>
      <c r="B898" s="1">
        <v>45310</v>
      </c>
      <c r="C898" t="s">
        <v>1806</v>
      </c>
      <c r="D898" t="s">
        <v>36</v>
      </c>
      <c r="E898" t="s">
        <v>3988</v>
      </c>
      <c r="F898" t="s">
        <v>4573</v>
      </c>
      <c r="G898">
        <v>4</v>
      </c>
      <c r="H898">
        <v>412.74</v>
      </c>
      <c r="I898">
        <v>10</v>
      </c>
      <c r="J898" t="s">
        <v>39</v>
      </c>
      <c r="K898">
        <v>1485.86</v>
      </c>
    </row>
    <row r="899" spans="1:11" x14ac:dyDescent="0.25">
      <c r="A899" t="s">
        <v>1807</v>
      </c>
      <c r="B899" s="1">
        <v>45796</v>
      </c>
      <c r="C899" t="s">
        <v>1808</v>
      </c>
      <c r="D899" t="s">
        <v>13</v>
      </c>
      <c r="E899" t="s">
        <v>3272</v>
      </c>
      <c r="F899" t="s">
        <v>4298</v>
      </c>
      <c r="G899">
        <v>5</v>
      </c>
      <c r="H899">
        <v>1126.54</v>
      </c>
      <c r="I899">
        <v>5</v>
      </c>
      <c r="J899" t="s">
        <v>14</v>
      </c>
      <c r="K899">
        <v>5351.06</v>
      </c>
    </row>
    <row r="900" spans="1:11" x14ac:dyDescent="0.25">
      <c r="A900" t="s">
        <v>1809</v>
      </c>
      <c r="B900" s="1">
        <v>45476</v>
      </c>
      <c r="C900" t="s">
        <v>1810</v>
      </c>
      <c r="D900" t="s">
        <v>24</v>
      </c>
      <c r="E900" t="s">
        <v>3988</v>
      </c>
      <c r="F900" t="s">
        <v>4522</v>
      </c>
      <c r="G900">
        <v>8</v>
      </c>
      <c r="H900">
        <v>860.81</v>
      </c>
      <c r="I900">
        <v>5</v>
      </c>
      <c r="J900" t="s">
        <v>14</v>
      </c>
      <c r="K900">
        <v>6542.16</v>
      </c>
    </row>
    <row r="901" spans="1:11" x14ac:dyDescent="0.25">
      <c r="A901" t="s">
        <v>1811</v>
      </c>
      <c r="B901" s="1">
        <v>45452</v>
      </c>
      <c r="C901" t="s">
        <v>1812</v>
      </c>
      <c r="D901" t="s">
        <v>36</v>
      </c>
      <c r="E901" t="s">
        <v>3272</v>
      </c>
      <c r="F901" t="s">
        <v>4103</v>
      </c>
      <c r="G901">
        <v>5</v>
      </c>
      <c r="H901">
        <v>1453.32</v>
      </c>
      <c r="I901">
        <v>15</v>
      </c>
      <c r="J901" t="s">
        <v>21</v>
      </c>
      <c r="K901">
        <v>6176.61</v>
      </c>
    </row>
    <row r="902" spans="1:11" x14ac:dyDescent="0.25">
      <c r="A902" t="s">
        <v>1813</v>
      </c>
      <c r="B902" s="1">
        <v>45852</v>
      </c>
      <c r="C902" t="s">
        <v>1814</v>
      </c>
      <c r="D902" t="s">
        <v>20</v>
      </c>
      <c r="E902" t="s">
        <v>3988</v>
      </c>
      <c r="F902" t="s">
        <v>4574</v>
      </c>
      <c r="G902">
        <v>8</v>
      </c>
      <c r="H902">
        <v>773.77</v>
      </c>
      <c r="I902">
        <v>10</v>
      </c>
      <c r="J902" t="s">
        <v>21</v>
      </c>
      <c r="K902">
        <v>5571.14</v>
      </c>
    </row>
    <row r="903" spans="1:11" x14ac:dyDescent="0.25">
      <c r="A903" t="s">
        <v>1815</v>
      </c>
      <c r="B903" s="1">
        <v>45747</v>
      </c>
      <c r="C903" t="s">
        <v>1816</v>
      </c>
      <c r="D903" t="s">
        <v>20</v>
      </c>
      <c r="E903" t="s">
        <v>3988</v>
      </c>
      <c r="F903" t="s">
        <v>4575</v>
      </c>
      <c r="G903">
        <v>1</v>
      </c>
      <c r="H903">
        <v>1746.04</v>
      </c>
      <c r="I903">
        <v>10</v>
      </c>
      <c r="J903" t="s">
        <v>17</v>
      </c>
      <c r="K903">
        <v>1571.44</v>
      </c>
    </row>
    <row r="904" spans="1:11" x14ac:dyDescent="0.25">
      <c r="A904" t="s">
        <v>1817</v>
      </c>
      <c r="B904" s="1">
        <v>45603</v>
      </c>
      <c r="C904" t="s">
        <v>1818</v>
      </c>
      <c r="D904" t="s">
        <v>20</v>
      </c>
      <c r="E904" t="s">
        <v>29</v>
      </c>
      <c r="F904" t="s">
        <v>4576</v>
      </c>
      <c r="G904">
        <v>9</v>
      </c>
      <c r="H904">
        <v>1474.47</v>
      </c>
      <c r="I904">
        <v>0</v>
      </c>
      <c r="J904" t="s">
        <v>21</v>
      </c>
      <c r="K904">
        <v>13270.23</v>
      </c>
    </row>
    <row r="905" spans="1:11" x14ac:dyDescent="0.25">
      <c r="A905" t="s">
        <v>1819</v>
      </c>
      <c r="B905" s="1">
        <v>45690</v>
      </c>
      <c r="C905" t="s">
        <v>1820</v>
      </c>
      <c r="D905" t="s">
        <v>13</v>
      </c>
      <c r="E905" t="s">
        <v>3988</v>
      </c>
      <c r="F905" t="s">
        <v>4577</v>
      </c>
      <c r="G905">
        <v>6</v>
      </c>
      <c r="H905">
        <v>1313.04</v>
      </c>
      <c r="I905">
        <v>20</v>
      </c>
      <c r="J905" t="s">
        <v>21</v>
      </c>
      <c r="K905">
        <v>6302.59</v>
      </c>
    </row>
    <row r="906" spans="1:11" x14ac:dyDescent="0.25">
      <c r="A906" t="s">
        <v>1821</v>
      </c>
      <c r="B906" s="1">
        <v>45165</v>
      </c>
      <c r="C906" t="s">
        <v>1822</v>
      </c>
      <c r="D906" t="s">
        <v>36</v>
      </c>
      <c r="E906" t="s">
        <v>29</v>
      </c>
      <c r="F906" t="s">
        <v>4051</v>
      </c>
      <c r="G906">
        <v>3</v>
      </c>
      <c r="H906">
        <v>1602.67</v>
      </c>
      <c r="I906">
        <v>20</v>
      </c>
      <c r="J906" t="s">
        <v>39</v>
      </c>
      <c r="K906">
        <v>3846.41</v>
      </c>
    </row>
    <row r="907" spans="1:11" x14ac:dyDescent="0.25">
      <c r="A907" t="s">
        <v>1823</v>
      </c>
      <c r="B907" s="1">
        <v>45815</v>
      </c>
      <c r="C907" t="s">
        <v>1824</v>
      </c>
      <c r="D907" t="s">
        <v>20</v>
      </c>
      <c r="E907" t="s">
        <v>3988</v>
      </c>
      <c r="F907" t="s">
        <v>4578</v>
      </c>
      <c r="G907">
        <v>8</v>
      </c>
      <c r="H907">
        <v>1520.34</v>
      </c>
      <c r="I907">
        <v>0</v>
      </c>
      <c r="J907" t="s">
        <v>17</v>
      </c>
      <c r="K907">
        <v>12162.72</v>
      </c>
    </row>
    <row r="908" spans="1:11" x14ac:dyDescent="0.25">
      <c r="A908" t="s">
        <v>1825</v>
      </c>
      <c r="B908" s="1">
        <v>45834</v>
      </c>
      <c r="C908" t="s">
        <v>1826</v>
      </c>
      <c r="D908" t="s">
        <v>13</v>
      </c>
      <c r="E908" t="s">
        <v>3272</v>
      </c>
      <c r="F908" t="s">
        <v>4414</v>
      </c>
      <c r="G908">
        <v>9</v>
      </c>
      <c r="H908">
        <v>120.08</v>
      </c>
      <c r="I908">
        <v>20</v>
      </c>
      <c r="J908" t="s">
        <v>21</v>
      </c>
      <c r="K908">
        <v>864.58</v>
      </c>
    </row>
    <row r="909" spans="1:11" x14ac:dyDescent="0.25">
      <c r="A909" t="s">
        <v>1827</v>
      </c>
      <c r="B909" s="1">
        <v>45744</v>
      </c>
      <c r="C909" t="s">
        <v>1828</v>
      </c>
      <c r="D909" t="s">
        <v>13</v>
      </c>
      <c r="E909" t="s">
        <v>3272</v>
      </c>
      <c r="F909" t="s">
        <v>4579</v>
      </c>
      <c r="G909">
        <v>6</v>
      </c>
      <c r="H909">
        <v>819.73</v>
      </c>
      <c r="I909">
        <v>5</v>
      </c>
      <c r="J909" t="s">
        <v>21</v>
      </c>
      <c r="K909">
        <v>4672.46</v>
      </c>
    </row>
    <row r="910" spans="1:11" x14ac:dyDescent="0.25">
      <c r="A910" t="s">
        <v>1829</v>
      </c>
      <c r="B910" s="1">
        <v>45597</v>
      </c>
      <c r="C910" t="s">
        <v>1830</v>
      </c>
      <c r="D910" t="s">
        <v>36</v>
      </c>
      <c r="E910" t="s">
        <v>3272</v>
      </c>
      <c r="F910" t="s">
        <v>4487</v>
      </c>
      <c r="G910">
        <v>7</v>
      </c>
      <c r="H910">
        <v>1865.07</v>
      </c>
      <c r="I910">
        <v>20</v>
      </c>
      <c r="J910" t="s">
        <v>14</v>
      </c>
      <c r="K910">
        <v>10444.39</v>
      </c>
    </row>
    <row r="911" spans="1:11" x14ac:dyDescent="0.25">
      <c r="A911" t="s">
        <v>1831</v>
      </c>
      <c r="B911" s="1">
        <v>45445</v>
      </c>
      <c r="C911" t="s">
        <v>1832</v>
      </c>
      <c r="D911" t="s">
        <v>20</v>
      </c>
      <c r="E911" t="s">
        <v>3988</v>
      </c>
      <c r="F911" t="s">
        <v>4580</v>
      </c>
      <c r="G911">
        <v>1</v>
      </c>
      <c r="H911">
        <v>295.16000000000003</v>
      </c>
      <c r="I911">
        <v>20</v>
      </c>
      <c r="J911" t="s">
        <v>17</v>
      </c>
      <c r="K911">
        <v>236.13</v>
      </c>
    </row>
    <row r="912" spans="1:11" x14ac:dyDescent="0.25">
      <c r="A912" t="s">
        <v>1833</v>
      </c>
      <c r="B912" s="1">
        <v>45520</v>
      </c>
      <c r="C912" t="s">
        <v>1834</v>
      </c>
      <c r="D912" t="s">
        <v>24</v>
      </c>
      <c r="E912" t="s">
        <v>29</v>
      </c>
      <c r="F912" t="s">
        <v>4581</v>
      </c>
      <c r="G912">
        <v>5</v>
      </c>
      <c r="H912">
        <v>1487.34</v>
      </c>
      <c r="I912">
        <v>0</v>
      </c>
      <c r="J912" t="s">
        <v>17</v>
      </c>
      <c r="K912">
        <v>7436.7</v>
      </c>
    </row>
    <row r="913" spans="1:11" x14ac:dyDescent="0.25">
      <c r="A913" t="s">
        <v>1835</v>
      </c>
      <c r="B913" s="1">
        <v>45154</v>
      </c>
      <c r="C913" t="s">
        <v>1836</v>
      </c>
      <c r="D913" t="s">
        <v>20</v>
      </c>
      <c r="E913" t="s">
        <v>3988</v>
      </c>
      <c r="F913" t="s">
        <v>4582</v>
      </c>
      <c r="G913">
        <v>5</v>
      </c>
      <c r="H913">
        <v>1950.45</v>
      </c>
      <c r="I913">
        <v>15</v>
      </c>
      <c r="J913" t="s">
        <v>17</v>
      </c>
      <c r="K913">
        <v>8289.41</v>
      </c>
    </row>
    <row r="914" spans="1:11" x14ac:dyDescent="0.25">
      <c r="A914" t="s">
        <v>1837</v>
      </c>
      <c r="B914" s="1">
        <v>45423</v>
      </c>
      <c r="C914" t="s">
        <v>1838</v>
      </c>
      <c r="D914" t="s">
        <v>24</v>
      </c>
      <c r="E914" t="s">
        <v>29</v>
      </c>
      <c r="F914" t="s">
        <v>4583</v>
      </c>
      <c r="G914">
        <v>4</v>
      </c>
      <c r="H914">
        <v>151.79</v>
      </c>
      <c r="I914">
        <v>20</v>
      </c>
      <c r="J914" t="s">
        <v>14</v>
      </c>
      <c r="K914">
        <v>485.73</v>
      </c>
    </row>
    <row r="915" spans="1:11" x14ac:dyDescent="0.25">
      <c r="A915" t="s">
        <v>1839</v>
      </c>
      <c r="B915" s="1">
        <v>45381</v>
      </c>
      <c r="C915" t="s">
        <v>1840</v>
      </c>
      <c r="D915" t="s">
        <v>24</v>
      </c>
      <c r="E915" t="s">
        <v>3988</v>
      </c>
      <c r="F915" t="s">
        <v>4106</v>
      </c>
      <c r="G915">
        <v>6</v>
      </c>
      <c r="H915">
        <v>1380.28</v>
      </c>
      <c r="I915">
        <v>20</v>
      </c>
      <c r="J915" t="s">
        <v>17</v>
      </c>
      <c r="K915">
        <v>6625.34</v>
      </c>
    </row>
    <row r="916" spans="1:11" x14ac:dyDescent="0.25">
      <c r="A916" t="s">
        <v>1841</v>
      </c>
      <c r="B916" s="1">
        <v>45735</v>
      </c>
      <c r="C916" t="s">
        <v>1842</v>
      </c>
      <c r="D916" t="s">
        <v>20</v>
      </c>
      <c r="E916" t="s">
        <v>3988</v>
      </c>
      <c r="F916" t="s">
        <v>4481</v>
      </c>
      <c r="G916">
        <v>7</v>
      </c>
      <c r="H916">
        <v>962.9</v>
      </c>
      <c r="I916">
        <v>15</v>
      </c>
      <c r="J916" t="s">
        <v>17</v>
      </c>
      <c r="K916">
        <v>5729.26</v>
      </c>
    </row>
    <row r="917" spans="1:11" x14ac:dyDescent="0.25">
      <c r="A917" t="s">
        <v>1843</v>
      </c>
      <c r="B917" s="1">
        <v>45452</v>
      </c>
      <c r="C917" t="s">
        <v>1844</v>
      </c>
      <c r="D917" t="s">
        <v>24</v>
      </c>
      <c r="E917" t="s">
        <v>3988</v>
      </c>
      <c r="F917" t="s">
        <v>4060</v>
      </c>
      <c r="G917">
        <v>9</v>
      </c>
      <c r="H917">
        <v>1179.3900000000001</v>
      </c>
      <c r="I917">
        <v>0</v>
      </c>
      <c r="J917" t="s">
        <v>14</v>
      </c>
      <c r="K917">
        <v>10614.51</v>
      </c>
    </row>
    <row r="918" spans="1:11" x14ac:dyDescent="0.25">
      <c r="A918" t="s">
        <v>1845</v>
      </c>
      <c r="B918" s="1">
        <v>45812</v>
      </c>
      <c r="C918" t="s">
        <v>1846</v>
      </c>
      <c r="D918" t="s">
        <v>13</v>
      </c>
      <c r="E918" t="s">
        <v>3988</v>
      </c>
      <c r="F918" t="s">
        <v>4584</v>
      </c>
      <c r="G918">
        <v>1</v>
      </c>
      <c r="H918">
        <v>216.42</v>
      </c>
      <c r="I918">
        <v>15</v>
      </c>
      <c r="J918" t="s">
        <v>17</v>
      </c>
      <c r="K918">
        <v>183.96</v>
      </c>
    </row>
    <row r="919" spans="1:11" x14ac:dyDescent="0.25">
      <c r="A919" t="s">
        <v>1847</v>
      </c>
      <c r="B919" s="1">
        <v>45842</v>
      </c>
      <c r="C919" t="s">
        <v>1848</v>
      </c>
      <c r="D919" t="s">
        <v>13</v>
      </c>
      <c r="E919" t="s">
        <v>3272</v>
      </c>
      <c r="F919" t="s">
        <v>4585</v>
      </c>
      <c r="G919">
        <v>6</v>
      </c>
      <c r="H919">
        <v>133.86000000000001</v>
      </c>
      <c r="I919">
        <v>0</v>
      </c>
      <c r="J919" t="s">
        <v>17</v>
      </c>
      <c r="K919">
        <v>803.16</v>
      </c>
    </row>
    <row r="920" spans="1:11" x14ac:dyDescent="0.25">
      <c r="A920" t="s">
        <v>1849</v>
      </c>
      <c r="B920" s="1">
        <v>45799</v>
      </c>
      <c r="C920" t="s">
        <v>1850</v>
      </c>
      <c r="D920" t="s">
        <v>20</v>
      </c>
      <c r="E920" t="s">
        <v>3988</v>
      </c>
      <c r="F920" t="s">
        <v>4586</v>
      </c>
      <c r="G920">
        <v>7</v>
      </c>
      <c r="H920">
        <v>1350.39</v>
      </c>
      <c r="I920">
        <v>5</v>
      </c>
      <c r="J920" t="s">
        <v>39</v>
      </c>
      <c r="K920">
        <v>8980.09</v>
      </c>
    </row>
    <row r="921" spans="1:11" x14ac:dyDescent="0.25">
      <c r="A921" t="s">
        <v>1851</v>
      </c>
      <c r="B921" s="1">
        <v>45475</v>
      </c>
      <c r="C921" t="s">
        <v>1852</v>
      </c>
      <c r="D921" t="s">
        <v>36</v>
      </c>
      <c r="E921" t="s">
        <v>3272</v>
      </c>
      <c r="F921" t="s">
        <v>4587</v>
      </c>
      <c r="G921">
        <v>3</v>
      </c>
      <c r="H921">
        <v>1655.45</v>
      </c>
      <c r="I921">
        <v>0</v>
      </c>
      <c r="J921" t="s">
        <v>21</v>
      </c>
      <c r="K921">
        <v>4966.3500000000004</v>
      </c>
    </row>
    <row r="922" spans="1:11" x14ac:dyDescent="0.25">
      <c r="A922" t="s">
        <v>1853</v>
      </c>
      <c r="B922" s="1">
        <v>45568</v>
      </c>
      <c r="C922" t="s">
        <v>1854</v>
      </c>
      <c r="D922" t="s">
        <v>13</v>
      </c>
      <c r="E922" t="s">
        <v>3988</v>
      </c>
      <c r="F922" t="s">
        <v>4311</v>
      </c>
      <c r="G922">
        <v>8</v>
      </c>
      <c r="H922">
        <v>1574.93</v>
      </c>
      <c r="I922">
        <v>5</v>
      </c>
      <c r="J922" t="s">
        <v>17</v>
      </c>
      <c r="K922">
        <v>11969.47</v>
      </c>
    </row>
    <row r="923" spans="1:11" x14ac:dyDescent="0.25">
      <c r="A923" t="s">
        <v>1855</v>
      </c>
      <c r="B923" s="1">
        <v>45730</v>
      </c>
      <c r="C923" t="s">
        <v>1856</v>
      </c>
      <c r="D923" t="s">
        <v>20</v>
      </c>
      <c r="E923" t="s">
        <v>3272</v>
      </c>
      <c r="F923" t="s">
        <v>4088</v>
      </c>
      <c r="G923">
        <v>5</v>
      </c>
      <c r="H923">
        <v>1110.42</v>
      </c>
      <c r="I923">
        <v>5</v>
      </c>
      <c r="J923" t="s">
        <v>14</v>
      </c>
      <c r="K923">
        <v>5274.5</v>
      </c>
    </row>
    <row r="924" spans="1:11" x14ac:dyDescent="0.25">
      <c r="A924" t="s">
        <v>1857</v>
      </c>
      <c r="B924" s="1">
        <v>45720</v>
      </c>
      <c r="C924" t="s">
        <v>1858</v>
      </c>
      <c r="D924" t="s">
        <v>24</v>
      </c>
      <c r="E924" t="s">
        <v>3988</v>
      </c>
      <c r="F924" t="s">
        <v>4588</v>
      </c>
      <c r="G924">
        <v>9</v>
      </c>
      <c r="H924">
        <v>244.74</v>
      </c>
      <c r="I924">
        <v>0</v>
      </c>
      <c r="J924" t="s">
        <v>39</v>
      </c>
      <c r="K924">
        <v>2202.66</v>
      </c>
    </row>
    <row r="925" spans="1:11" x14ac:dyDescent="0.25">
      <c r="A925" t="s">
        <v>1859</v>
      </c>
      <c r="B925" s="1">
        <v>45574</v>
      </c>
      <c r="C925" t="s">
        <v>1860</v>
      </c>
      <c r="D925" t="s">
        <v>13</v>
      </c>
      <c r="E925" t="s">
        <v>3272</v>
      </c>
      <c r="F925" t="s">
        <v>4589</v>
      </c>
      <c r="G925">
        <v>5</v>
      </c>
      <c r="H925">
        <v>1391.69</v>
      </c>
      <c r="I925">
        <v>10</v>
      </c>
      <c r="J925" t="s">
        <v>21</v>
      </c>
      <c r="K925">
        <v>6262.6</v>
      </c>
    </row>
    <row r="926" spans="1:11" x14ac:dyDescent="0.25">
      <c r="A926" t="s">
        <v>1861</v>
      </c>
      <c r="B926" s="1">
        <v>45771</v>
      </c>
      <c r="C926" t="s">
        <v>1862</v>
      </c>
      <c r="D926" t="s">
        <v>20</v>
      </c>
      <c r="E926" t="s">
        <v>3988</v>
      </c>
      <c r="F926" t="s">
        <v>4590</v>
      </c>
      <c r="G926">
        <v>9</v>
      </c>
      <c r="H926">
        <v>521.67999999999995</v>
      </c>
      <c r="I926">
        <v>0</v>
      </c>
      <c r="J926" t="s">
        <v>21</v>
      </c>
      <c r="K926">
        <v>4695.12</v>
      </c>
    </row>
    <row r="927" spans="1:11" x14ac:dyDescent="0.25">
      <c r="A927" t="s">
        <v>1863</v>
      </c>
      <c r="B927" s="1">
        <v>45618</v>
      </c>
      <c r="C927" t="s">
        <v>1864</v>
      </c>
      <c r="D927" t="s">
        <v>20</v>
      </c>
      <c r="E927" t="s">
        <v>3988</v>
      </c>
      <c r="F927" t="s">
        <v>4509</v>
      </c>
      <c r="G927">
        <v>4</v>
      </c>
      <c r="H927">
        <v>1826.58</v>
      </c>
      <c r="I927">
        <v>20</v>
      </c>
      <c r="J927" t="s">
        <v>39</v>
      </c>
      <c r="K927">
        <v>5845.06</v>
      </c>
    </row>
    <row r="928" spans="1:11" x14ac:dyDescent="0.25">
      <c r="A928" t="s">
        <v>1865</v>
      </c>
      <c r="B928" s="1">
        <v>45847</v>
      </c>
      <c r="C928" t="s">
        <v>1866</v>
      </c>
      <c r="D928" t="s">
        <v>36</v>
      </c>
      <c r="E928" t="s">
        <v>3988</v>
      </c>
      <c r="F928" t="s">
        <v>4591</v>
      </c>
      <c r="G928">
        <v>9</v>
      </c>
      <c r="H928">
        <v>1684.62</v>
      </c>
      <c r="I928">
        <v>20</v>
      </c>
      <c r="J928" t="s">
        <v>14</v>
      </c>
      <c r="K928">
        <v>12129.26</v>
      </c>
    </row>
    <row r="929" spans="1:11" x14ac:dyDescent="0.25">
      <c r="A929" t="s">
        <v>1867</v>
      </c>
      <c r="B929" s="1">
        <v>45321</v>
      </c>
      <c r="C929" t="s">
        <v>1868</v>
      </c>
      <c r="D929" t="s">
        <v>24</v>
      </c>
      <c r="E929" t="s">
        <v>29</v>
      </c>
      <c r="F929" t="s">
        <v>4394</v>
      </c>
      <c r="G929">
        <v>5</v>
      </c>
      <c r="H929">
        <v>1433.3</v>
      </c>
      <c r="I929">
        <v>10</v>
      </c>
      <c r="J929" t="s">
        <v>21</v>
      </c>
      <c r="K929">
        <v>6449.85</v>
      </c>
    </row>
    <row r="930" spans="1:11" x14ac:dyDescent="0.25">
      <c r="A930" t="s">
        <v>1869</v>
      </c>
      <c r="B930" s="1">
        <v>45529</v>
      </c>
      <c r="C930" t="s">
        <v>1870</v>
      </c>
      <c r="D930" t="s">
        <v>24</v>
      </c>
      <c r="E930" t="s">
        <v>3988</v>
      </c>
      <c r="F930" t="s">
        <v>4028</v>
      </c>
      <c r="G930">
        <v>9</v>
      </c>
      <c r="H930">
        <v>1900.25</v>
      </c>
      <c r="I930">
        <v>5</v>
      </c>
      <c r="J930" t="s">
        <v>21</v>
      </c>
      <c r="K930">
        <v>16247.14</v>
      </c>
    </row>
    <row r="931" spans="1:11" x14ac:dyDescent="0.25">
      <c r="A931" t="s">
        <v>1871</v>
      </c>
      <c r="B931" s="1">
        <v>45320</v>
      </c>
      <c r="C931" t="s">
        <v>1872</v>
      </c>
      <c r="D931" t="s">
        <v>24</v>
      </c>
      <c r="E931" t="s">
        <v>29</v>
      </c>
      <c r="F931" t="s">
        <v>4231</v>
      </c>
      <c r="G931">
        <v>3</v>
      </c>
      <c r="H931">
        <v>111.27</v>
      </c>
      <c r="I931">
        <v>10</v>
      </c>
      <c r="J931" t="s">
        <v>21</v>
      </c>
      <c r="K931">
        <v>300.43</v>
      </c>
    </row>
    <row r="932" spans="1:11" x14ac:dyDescent="0.25">
      <c r="A932" t="s">
        <v>1873</v>
      </c>
      <c r="B932" s="1">
        <v>45361</v>
      </c>
      <c r="C932" t="s">
        <v>1874</v>
      </c>
      <c r="D932" t="s">
        <v>20</v>
      </c>
      <c r="E932" t="s">
        <v>3988</v>
      </c>
      <c r="F932" t="s">
        <v>4592</v>
      </c>
      <c r="G932">
        <v>4</v>
      </c>
      <c r="H932">
        <v>1485.59</v>
      </c>
      <c r="I932">
        <v>20</v>
      </c>
      <c r="J932" t="s">
        <v>17</v>
      </c>
      <c r="K932">
        <v>4753.8900000000003</v>
      </c>
    </row>
    <row r="933" spans="1:11" x14ac:dyDescent="0.25">
      <c r="A933" t="s">
        <v>1875</v>
      </c>
      <c r="B933" s="1">
        <v>45488</v>
      </c>
      <c r="C933" t="s">
        <v>1876</v>
      </c>
      <c r="D933" t="s">
        <v>20</v>
      </c>
      <c r="E933" t="s">
        <v>29</v>
      </c>
      <c r="F933" t="s">
        <v>4593</v>
      </c>
      <c r="G933">
        <v>9</v>
      </c>
      <c r="H933">
        <v>693.97</v>
      </c>
      <c r="I933">
        <v>10</v>
      </c>
      <c r="J933" t="s">
        <v>17</v>
      </c>
      <c r="K933">
        <v>5621.16</v>
      </c>
    </row>
    <row r="934" spans="1:11" x14ac:dyDescent="0.25">
      <c r="A934" t="s">
        <v>1877</v>
      </c>
      <c r="B934" s="1">
        <v>45527</v>
      </c>
      <c r="C934" t="s">
        <v>1878</v>
      </c>
      <c r="D934" t="s">
        <v>24</v>
      </c>
      <c r="E934" t="s">
        <v>29</v>
      </c>
      <c r="F934" t="s">
        <v>4594</v>
      </c>
      <c r="G934">
        <v>6</v>
      </c>
      <c r="H934">
        <v>1816.83</v>
      </c>
      <c r="I934">
        <v>0</v>
      </c>
      <c r="J934" t="s">
        <v>39</v>
      </c>
      <c r="K934">
        <v>10900.98</v>
      </c>
    </row>
    <row r="935" spans="1:11" x14ac:dyDescent="0.25">
      <c r="A935" t="s">
        <v>1879</v>
      </c>
      <c r="B935" s="1">
        <v>45172</v>
      </c>
      <c r="C935" t="s">
        <v>1880</v>
      </c>
      <c r="D935" t="s">
        <v>20</v>
      </c>
      <c r="E935" t="s">
        <v>3988</v>
      </c>
      <c r="F935" t="s">
        <v>4595</v>
      </c>
      <c r="G935">
        <v>2</v>
      </c>
      <c r="H935">
        <v>570.02</v>
      </c>
      <c r="I935">
        <v>10</v>
      </c>
      <c r="J935" t="s">
        <v>39</v>
      </c>
      <c r="K935">
        <v>1026.04</v>
      </c>
    </row>
    <row r="936" spans="1:11" x14ac:dyDescent="0.25">
      <c r="A936" t="s">
        <v>1881</v>
      </c>
      <c r="B936" s="1">
        <v>45452</v>
      </c>
      <c r="C936" t="s">
        <v>1882</v>
      </c>
      <c r="D936" t="s">
        <v>36</v>
      </c>
      <c r="E936" t="s">
        <v>29</v>
      </c>
      <c r="F936" t="s">
        <v>4594</v>
      </c>
      <c r="G936">
        <v>7</v>
      </c>
      <c r="H936">
        <v>1463.47</v>
      </c>
      <c r="I936">
        <v>5</v>
      </c>
      <c r="J936" t="s">
        <v>14</v>
      </c>
      <c r="K936">
        <v>9732.08</v>
      </c>
    </row>
    <row r="937" spans="1:11" x14ac:dyDescent="0.25">
      <c r="A937" t="s">
        <v>1883</v>
      </c>
      <c r="B937" s="1">
        <v>45411</v>
      </c>
      <c r="C937" t="s">
        <v>1884</v>
      </c>
      <c r="D937" t="s">
        <v>20</v>
      </c>
      <c r="E937" t="s">
        <v>3988</v>
      </c>
      <c r="F937" t="s">
        <v>4595</v>
      </c>
      <c r="G937">
        <v>2</v>
      </c>
      <c r="H937">
        <v>1761.41</v>
      </c>
      <c r="I937">
        <v>0</v>
      </c>
      <c r="J937" t="s">
        <v>14</v>
      </c>
      <c r="K937">
        <v>3522.82</v>
      </c>
    </row>
    <row r="938" spans="1:11" x14ac:dyDescent="0.25">
      <c r="A938" t="s">
        <v>1885</v>
      </c>
      <c r="B938" s="1">
        <v>45669</v>
      </c>
      <c r="C938" t="s">
        <v>1886</v>
      </c>
      <c r="D938" t="s">
        <v>20</v>
      </c>
      <c r="E938" t="s">
        <v>29</v>
      </c>
      <c r="F938" t="s">
        <v>4265</v>
      </c>
      <c r="G938">
        <v>2</v>
      </c>
      <c r="H938">
        <v>131.22999999999999</v>
      </c>
      <c r="I938">
        <v>15</v>
      </c>
      <c r="J938" t="s">
        <v>39</v>
      </c>
      <c r="K938">
        <v>223.09</v>
      </c>
    </row>
    <row r="939" spans="1:11" x14ac:dyDescent="0.25">
      <c r="A939" t="s">
        <v>1887</v>
      </c>
      <c r="B939" s="1">
        <v>45677</v>
      </c>
      <c r="C939" t="s">
        <v>1888</v>
      </c>
      <c r="D939" t="s">
        <v>13</v>
      </c>
      <c r="E939" t="s">
        <v>3988</v>
      </c>
      <c r="F939" t="s">
        <v>4596</v>
      </c>
      <c r="G939">
        <v>1</v>
      </c>
      <c r="H939">
        <v>825.41</v>
      </c>
      <c r="I939">
        <v>20</v>
      </c>
      <c r="J939" t="s">
        <v>14</v>
      </c>
      <c r="K939">
        <v>660.33</v>
      </c>
    </row>
    <row r="940" spans="1:11" x14ac:dyDescent="0.25">
      <c r="A940" t="s">
        <v>1889</v>
      </c>
      <c r="B940" s="1">
        <v>45769</v>
      </c>
      <c r="C940" t="s">
        <v>1890</v>
      </c>
      <c r="D940" t="s">
        <v>36</v>
      </c>
      <c r="E940" t="s">
        <v>3272</v>
      </c>
      <c r="F940" t="s">
        <v>4597</v>
      </c>
      <c r="G940">
        <v>3</v>
      </c>
      <c r="H940">
        <v>1536.5</v>
      </c>
      <c r="I940">
        <v>20</v>
      </c>
      <c r="J940" t="s">
        <v>21</v>
      </c>
      <c r="K940">
        <v>3687.6</v>
      </c>
    </row>
    <row r="941" spans="1:11" x14ac:dyDescent="0.25">
      <c r="A941" t="s">
        <v>1891</v>
      </c>
      <c r="B941" s="1">
        <v>45464</v>
      </c>
      <c r="C941" t="s">
        <v>1892</v>
      </c>
      <c r="D941" t="s">
        <v>13</v>
      </c>
      <c r="E941" t="s">
        <v>3988</v>
      </c>
      <c r="F941" t="s">
        <v>4306</v>
      </c>
      <c r="G941">
        <v>6</v>
      </c>
      <c r="H941">
        <v>937.09</v>
      </c>
      <c r="I941">
        <v>10</v>
      </c>
      <c r="J941" t="s">
        <v>21</v>
      </c>
      <c r="K941">
        <v>5060.29</v>
      </c>
    </row>
    <row r="942" spans="1:11" x14ac:dyDescent="0.25">
      <c r="A942" t="s">
        <v>1893</v>
      </c>
      <c r="B942" s="1">
        <v>45712</v>
      </c>
      <c r="C942" t="s">
        <v>1894</v>
      </c>
      <c r="D942" t="s">
        <v>24</v>
      </c>
      <c r="E942" t="s">
        <v>3988</v>
      </c>
      <c r="F942" t="s">
        <v>4598</v>
      </c>
      <c r="G942">
        <v>8</v>
      </c>
      <c r="H942">
        <v>571.14</v>
      </c>
      <c r="I942">
        <v>0</v>
      </c>
      <c r="J942" t="s">
        <v>14</v>
      </c>
      <c r="K942">
        <v>4569.12</v>
      </c>
    </row>
    <row r="943" spans="1:11" x14ac:dyDescent="0.25">
      <c r="A943" t="s">
        <v>1895</v>
      </c>
      <c r="B943" s="1">
        <v>45278</v>
      </c>
      <c r="C943" t="s">
        <v>1896</v>
      </c>
      <c r="D943" t="s">
        <v>24</v>
      </c>
      <c r="E943" t="s">
        <v>3988</v>
      </c>
      <c r="F943" t="s">
        <v>4480</v>
      </c>
      <c r="G943">
        <v>9</v>
      </c>
      <c r="H943">
        <v>478.62</v>
      </c>
      <c r="I943">
        <v>15</v>
      </c>
      <c r="J943" t="s">
        <v>14</v>
      </c>
      <c r="K943">
        <v>3661.44</v>
      </c>
    </row>
    <row r="944" spans="1:11" x14ac:dyDescent="0.25">
      <c r="A944" t="s">
        <v>1897</v>
      </c>
      <c r="B944" s="1">
        <v>45802</v>
      </c>
      <c r="C944" t="s">
        <v>1898</v>
      </c>
      <c r="D944" t="s">
        <v>36</v>
      </c>
      <c r="E944" t="s">
        <v>3988</v>
      </c>
      <c r="F944" t="s">
        <v>4599</v>
      </c>
      <c r="G944">
        <v>7</v>
      </c>
      <c r="H944">
        <v>306.45999999999998</v>
      </c>
      <c r="I944">
        <v>0</v>
      </c>
      <c r="J944" t="s">
        <v>39</v>
      </c>
      <c r="K944">
        <v>2145.2199999999998</v>
      </c>
    </row>
    <row r="945" spans="1:11" x14ac:dyDescent="0.25">
      <c r="A945" t="s">
        <v>1899</v>
      </c>
      <c r="B945" s="1">
        <v>45513</v>
      </c>
      <c r="C945" t="s">
        <v>1900</v>
      </c>
      <c r="D945" t="s">
        <v>20</v>
      </c>
      <c r="E945" t="s">
        <v>3988</v>
      </c>
      <c r="F945" t="s">
        <v>4600</v>
      </c>
      <c r="G945">
        <v>4</v>
      </c>
      <c r="H945">
        <v>1721.4</v>
      </c>
      <c r="I945">
        <v>20</v>
      </c>
      <c r="J945" t="s">
        <v>39</v>
      </c>
      <c r="K945">
        <v>5508.48</v>
      </c>
    </row>
    <row r="946" spans="1:11" x14ac:dyDescent="0.25">
      <c r="A946" t="s">
        <v>1901</v>
      </c>
      <c r="B946" s="1">
        <v>45864</v>
      </c>
      <c r="C946" t="s">
        <v>1902</v>
      </c>
      <c r="D946" t="s">
        <v>13</v>
      </c>
      <c r="E946" t="s">
        <v>3988</v>
      </c>
      <c r="F946" t="s">
        <v>4601</v>
      </c>
      <c r="G946">
        <v>6</v>
      </c>
      <c r="H946">
        <v>1171.94</v>
      </c>
      <c r="I946">
        <v>0</v>
      </c>
      <c r="J946" t="s">
        <v>14</v>
      </c>
      <c r="K946">
        <v>7031.64</v>
      </c>
    </row>
    <row r="947" spans="1:11" x14ac:dyDescent="0.25">
      <c r="A947" t="s">
        <v>1903</v>
      </c>
      <c r="B947" s="1">
        <v>45249</v>
      </c>
      <c r="C947" t="s">
        <v>1904</v>
      </c>
      <c r="D947" t="s">
        <v>36</v>
      </c>
      <c r="E947" t="s">
        <v>3988</v>
      </c>
      <c r="F947" t="s">
        <v>4602</v>
      </c>
      <c r="G947">
        <v>5</v>
      </c>
      <c r="H947">
        <v>198.95</v>
      </c>
      <c r="I947">
        <v>15</v>
      </c>
      <c r="J947" t="s">
        <v>21</v>
      </c>
      <c r="K947">
        <v>845.54</v>
      </c>
    </row>
    <row r="948" spans="1:11" x14ac:dyDescent="0.25">
      <c r="A948" t="s">
        <v>1905</v>
      </c>
      <c r="B948" s="1">
        <v>45633</v>
      </c>
      <c r="C948" t="s">
        <v>1906</v>
      </c>
      <c r="D948" t="s">
        <v>13</v>
      </c>
      <c r="E948" t="s">
        <v>3988</v>
      </c>
      <c r="F948" t="s">
        <v>4299</v>
      </c>
      <c r="G948">
        <v>8</v>
      </c>
      <c r="H948">
        <v>796.03</v>
      </c>
      <c r="I948">
        <v>10</v>
      </c>
      <c r="J948" t="s">
        <v>17</v>
      </c>
      <c r="K948">
        <v>5731.42</v>
      </c>
    </row>
    <row r="949" spans="1:11" x14ac:dyDescent="0.25">
      <c r="A949" t="s">
        <v>1907</v>
      </c>
      <c r="B949" s="1">
        <v>45564</v>
      </c>
      <c r="C949" t="s">
        <v>1908</v>
      </c>
      <c r="D949" t="s">
        <v>20</v>
      </c>
      <c r="E949" t="s">
        <v>3988</v>
      </c>
      <c r="F949" t="s">
        <v>4446</v>
      </c>
      <c r="G949">
        <v>1</v>
      </c>
      <c r="H949">
        <v>767.08</v>
      </c>
      <c r="I949">
        <v>5</v>
      </c>
      <c r="J949" t="s">
        <v>14</v>
      </c>
      <c r="K949">
        <v>728.73</v>
      </c>
    </row>
    <row r="950" spans="1:11" x14ac:dyDescent="0.25">
      <c r="A950" t="s">
        <v>1909</v>
      </c>
      <c r="B950" s="1">
        <v>45170</v>
      </c>
      <c r="C950" t="s">
        <v>1910</v>
      </c>
      <c r="D950" t="s">
        <v>13</v>
      </c>
      <c r="E950" t="s">
        <v>3988</v>
      </c>
      <c r="F950" t="s">
        <v>4363</v>
      </c>
      <c r="G950">
        <v>1</v>
      </c>
      <c r="H950">
        <v>404.39</v>
      </c>
      <c r="I950">
        <v>0</v>
      </c>
      <c r="J950" t="s">
        <v>39</v>
      </c>
      <c r="K950">
        <v>404.39</v>
      </c>
    </row>
    <row r="951" spans="1:11" x14ac:dyDescent="0.25">
      <c r="A951" t="s">
        <v>1911</v>
      </c>
      <c r="B951" s="1">
        <v>45854</v>
      </c>
      <c r="C951" t="s">
        <v>1912</v>
      </c>
      <c r="D951" t="s">
        <v>36</v>
      </c>
      <c r="E951" t="s">
        <v>3272</v>
      </c>
      <c r="F951" t="s">
        <v>4071</v>
      </c>
      <c r="G951">
        <v>6</v>
      </c>
      <c r="H951">
        <v>899.24</v>
      </c>
      <c r="I951">
        <v>5</v>
      </c>
      <c r="J951" t="s">
        <v>39</v>
      </c>
      <c r="K951">
        <v>5125.67</v>
      </c>
    </row>
    <row r="952" spans="1:11" x14ac:dyDescent="0.25">
      <c r="A952" t="s">
        <v>1913</v>
      </c>
      <c r="B952" s="1">
        <v>45456</v>
      </c>
      <c r="C952" t="s">
        <v>1914</v>
      </c>
      <c r="D952" t="s">
        <v>20</v>
      </c>
      <c r="E952" t="s">
        <v>3988</v>
      </c>
      <c r="F952" t="s">
        <v>4603</v>
      </c>
      <c r="G952">
        <v>2</v>
      </c>
      <c r="H952">
        <v>697.59</v>
      </c>
      <c r="I952">
        <v>20</v>
      </c>
      <c r="J952" t="s">
        <v>14</v>
      </c>
      <c r="K952">
        <v>1116.1400000000001</v>
      </c>
    </row>
    <row r="953" spans="1:11" x14ac:dyDescent="0.25">
      <c r="A953" t="s">
        <v>1915</v>
      </c>
      <c r="B953" s="1">
        <v>45609</v>
      </c>
      <c r="C953" t="s">
        <v>1916</v>
      </c>
      <c r="D953" t="s">
        <v>20</v>
      </c>
      <c r="E953" t="s">
        <v>3988</v>
      </c>
      <c r="F953" t="s">
        <v>4306</v>
      </c>
      <c r="G953">
        <v>5</v>
      </c>
      <c r="H953">
        <v>716.52</v>
      </c>
      <c r="I953">
        <v>10</v>
      </c>
      <c r="J953" t="s">
        <v>39</v>
      </c>
      <c r="K953">
        <v>3224.34</v>
      </c>
    </row>
    <row r="954" spans="1:11" x14ac:dyDescent="0.25">
      <c r="A954" t="s">
        <v>1917</v>
      </c>
      <c r="B954" s="1">
        <v>45588</v>
      </c>
      <c r="C954" t="s">
        <v>1918</v>
      </c>
      <c r="D954" t="s">
        <v>36</v>
      </c>
      <c r="E954" t="s">
        <v>29</v>
      </c>
      <c r="F954" t="s">
        <v>4159</v>
      </c>
      <c r="G954">
        <v>1</v>
      </c>
      <c r="H954">
        <v>1491.1</v>
      </c>
      <c r="I954">
        <v>10</v>
      </c>
      <c r="J954" t="s">
        <v>21</v>
      </c>
      <c r="K954">
        <v>1341.99</v>
      </c>
    </row>
    <row r="955" spans="1:11" x14ac:dyDescent="0.25">
      <c r="A955" t="s">
        <v>1919</v>
      </c>
      <c r="B955" s="1">
        <v>45664</v>
      </c>
      <c r="C955" t="s">
        <v>1920</v>
      </c>
      <c r="D955" t="s">
        <v>20</v>
      </c>
      <c r="E955" t="s">
        <v>3988</v>
      </c>
      <c r="F955" t="s">
        <v>4604</v>
      </c>
      <c r="G955">
        <v>7</v>
      </c>
      <c r="H955">
        <v>485.36</v>
      </c>
      <c r="I955">
        <v>0</v>
      </c>
      <c r="J955" t="s">
        <v>39</v>
      </c>
      <c r="K955">
        <v>3397.52</v>
      </c>
    </row>
    <row r="956" spans="1:11" x14ac:dyDescent="0.25">
      <c r="A956" t="s">
        <v>1921</v>
      </c>
      <c r="B956" s="1">
        <v>45171</v>
      </c>
      <c r="C956" t="s">
        <v>1922</v>
      </c>
      <c r="D956" t="s">
        <v>13</v>
      </c>
      <c r="E956" t="s">
        <v>3272</v>
      </c>
      <c r="F956" t="s">
        <v>4605</v>
      </c>
      <c r="G956">
        <v>1</v>
      </c>
      <c r="H956">
        <v>1301.6300000000001</v>
      </c>
      <c r="I956">
        <v>10</v>
      </c>
      <c r="J956" t="s">
        <v>17</v>
      </c>
      <c r="K956">
        <v>1171.47</v>
      </c>
    </row>
    <row r="957" spans="1:11" x14ac:dyDescent="0.25">
      <c r="A957" t="s">
        <v>1923</v>
      </c>
      <c r="B957" s="1">
        <v>45215</v>
      </c>
      <c r="C957" t="s">
        <v>1924</v>
      </c>
      <c r="D957" t="s">
        <v>24</v>
      </c>
      <c r="E957" t="s">
        <v>29</v>
      </c>
      <c r="F957" t="s">
        <v>4528</v>
      </c>
      <c r="G957">
        <v>4</v>
      </c>
      <c r="H957">
        <v>1162.77</v>
      </c>
      <c r="I957">
        <v>0</v>
      </c>
      <c r="J957" t="s">
        <v>17</v>
      </c>
      <c r="K957">
        <v>4651.08</v>
      </c>
    </row>
    <row r="958" spans="1:11" x14ac:dyDescent="0.25">
      <c r="A958" t="s">
        <v>1925</v>
      </c>
      <c r="B958" s="1">
        <v>45649</v>
      </c>
      <c r="C958" t="s">
        <v>1926</v>
      </c>
      <c r="D958" t="s">
        <v>36</v>
      </c>
      <c r="E958" t="s">
        <v>3272</v>
      </c>
      <c r="F958" t="s">
        <v>4525</v>
      </c>
      <c r="G958">
        <v>9</v>
      </c>
      <c r="H958">
        <v>1157.78</v>
      </c>
      <c r="I958">
        <v>0</v>
      </c>
      <c r="J958" t="s">
        <v>21</v>
      </c>
      <c r="K958">
        <v>10420.02</v>
      </c>
    </row>
    <row r="959" spans="1:11" x14ac:dyDescent="0.25">
      <c r="A959" t="s">
        <v>1927</v>
      </c>
      <c r="B959" s="1">
        <v>45482</v>
      </c>
      <c r="C959" t="s">
        <v>683</v>
      </c>
      <c r="D959" t="s">
        <v>13</v>
      </c>
      <c r="E959" t="s">
        <v>3988</v>
      </c>
      <c r="F959" t="s">
        <v>4606</v>
      </c>
      <c r="G959">
        <v>1</v>
      </c>
      <c r="H959">
        <v>1342.86</v>
      </c>
      <c r="I959">
        <v>5</v>
      </c>
      <c r="J959" t="s">
        <v>39</v>
      </c>
      <c r="K959">
        <v>1275.72</v>
      </c>
    </row>
    <row r="960" spans="1:11" x14ac:dyDescent="0.25">
      <c r="A960" t="s">
        <v>1928</v>
      </c>
      <c r="B960" s="1">
        <v>45255</v>
      </c>
      <c r="C960" t="s">
        <v>1929</v>
      </c>
      <c r="D960" t="s">
        <v>20</v>
      </c>
      <c r="E960" t="s">
        <v>3272</v>
      </c>
      <c r="F960" t="s">
        <v>4607</v>
      </c>
      <c r="G960">
        <v>4</v>
      </c>
      <c r="H960">
        <v>1119.3399999999999</v>
      </c>
      <c r="I960">
        <v>10</v>
      </c>
      <c r="J960" t="s">
        <v>39</v>
      </c>
      <c r="K960">
        <v>4029.62</v>
      </c>
    </row>
    <row r="961" spans="1:11" x14ac:dyDescent="0.25">
      <c r="A961" t="s">
        <v>1930</v>
      </c>
      <c r="B961" s="1">
        <v>45823</v>
      </c>
      <c r="C961" t="s">
        <v>1931</v>
      </c>
      <c r="D961" t="s">
        <v>24</v>
      </c>
      <c r="E961" t="s">
        <v>3988</v>
      </c>
      <c r="F961" t="s">
        <v>4425</v>
      </c>
      <c r="G961">
        <v>6</v>
      </c>
      <c r="H961">
        <v>1764.55</v>
      </c>
      <c r="I961">
        <v>0</v>
      </c>
      <c r="J961" t="s">
        <v>14</v>
      </c>
      <c r="K961">
        <v>10587.3</v>
      </c>
    </row>
    <row r="962" spans="1:11" x14ac:dyDescent="0.25">
      <c r="A962" t="s">
        <v>1932</v>
      </c>
      <c r="B962" s="1">
        <v>45508</v>
      </c>
      <c r="C962" t="s">
        <v>1933</v>
      </c>
      <c r="D962" t="s">
        <v>13</v>
      </c>
      <c r="E962" t="s">
        <v>3988</v>
      </c>
      <c r="F962" t="s">
        <v>4553</v>
      </c>
      <c r="G962">
        <v>6</v>
      </c>
      <c r="H962">
        <v>1367.38</v>
      </c>
      <c r="I962">
        <v>5</v>
      </c>
      <c r="J962" t="s">
        <v>17</v>
      </c>
      <c r="K962">
        <v>7794.07</v>
      </c>
    </row>
    <row r="963" spans="1:11" x14ac:dyDescent="0.25">
      <c r="A963" t="s">
        <v>1934</v>
      </c>
      <c r="B963" s="1">
        <v>45291</v>
      </c>
      <c r="C963" t="s">
        <v>1935</v>
      </c>
      <c r="D963" t="s">
        <v>36</v>
      </c>
      <c r="E963" t="s">
        <v>3988</v>
      </c>
      <c r="F963" t="s">
        <v>4606</v>
      </c>
      <c r="G963">
        <v>8</v>
      </c>
      <c r="H963">
        <v>1116.58</v>
      </c>
      <c r="I963">
        <v>15</v>
      </c>
      <c r="J963" t="s">
        <v>14</v>
      </c>
      <c r="K963">
        <v>7592.74</v>
      </c>
    </row>
    <row r="964" spans="1:11" x14ac:dyDescent="0.25">
      <c r="A964" t="s">
        <v>1936</v>
      </c>
      <c r="B964" s="1">
        <v>45189</v>
      </c>
      <c r="C964" t="s">
        <v>1937</v>
      </c>
      <c r="D964" t="s">
        <v>20</v>
      </c>
      <c r="E964" t="s">
        <v>3272</v>
      </c>
      <c r="F964" t="s">
        <v>4340</v>
      </c>
      <c r="G964">
        <v>1</v>
      </c>
      <c r="H964">
        <v>1668.04</v>
      </c>
      <c r="I964">
        <v>5</v>
      </c>
      <c r="J964" t="s">
        <v>14</v>
      </c>
      <c r="K964">
        <v>1584.64</v>
      </c>
    </row>
    <row r="965" spans="1:11" x14ac:dyDescent="0.25">
      <c r="A965" t="s">
        <v>1938</v>
      </c>
      <c r="B965" s="1">
        <v>45352</v>
      </c>
      <c r="C965" t="s">
        <v>1939</v>
      </c>
      <c r="D965" t="s">
        <v>36</v>
      </c>
      <c r="E965" t="s">
        <v>3988</v>
      </c>
      <c r="F965" t="s">
        <v>4608</v>
      </c>
      <c r="G965">
        <v>7</v>
      </c>
      <c r="H965">
        <v>1231.99</v>
      </c>
      <c r="I965">
        <v>5</v>
      </c>
      <c r="J965" t="s">
        <v>39</v>
      </c>
      <c r="K965">
        <v>8192.73</v>
      </c>
    </row>
    <row r="966" spans="1:11" x14ac:dyDescent="0.25">
      <c r="A966" t="s">
        <v>1940</v>
      </c>
      <c r="B966" s="1">
        <v>45444</v>
      </c>
      <c r="C966" t="s">
        <v>1941</v>
      </c>
      <c r="D966" t="s">
        <v>13</v>
      </c>
      <c r="E966" t="s">
        <v>3988</v>
      </c>
      <c r="F966" t="s">
        <v>4582</v>
      </c>
      <c r="G966">
        <v>1</v>
      </c>
      <c r="H966">
        <v>617.73</v>
      </c>
      <c r="I966">
        <v>0</v>
      </c>
      <c r="J966" t="s">
        <v>17</v>
      </c>
      <c r="K966">
        <v>617.73</v>
      </c>
    </row>
    <row r="967" spans="1:11" x14ac:dyDescent="0.25">
      <c r="A967" t="s">
        <v>1942</v>
      </c>
      <c r="B967" s="1">
        <v>45404</v>
      </c>
      <c r="C967" t="s">
        <v>1943</v>
      </c>
      <c r="D967" t="s">
        <v>24</v>
      </c>
      <c r="E967" t="s">
        <v>3272</v>
      </c>
      <c r="F967" t="s">
        <v>4385</v>
      </c>
      <c r="G967">
        <v>7</v>
      </c>
      <c r="H967">
        <v>453.84</v>
      </c>
      <c r="I967">
        <v>20</v>
      </c>
      <c r="J967" t="s">
        <v>14</v>
      </c>
      <c r="K967">
        <v>2541.5</v>
      </c>
    </row>
    <row r="968" spans="1:11" x14ac:dyDescent="0.25">
      <c r="A968" t="s">
        <v>1944</v>
      </c>
      <c r="B968" s="1">
        <v>45314</v>
      </c>
      <c r="C968" t="s">
        <v>1945</v>
      </c>
      <c r="D968" t="s">
        <v>13</v>
      </c>
      <c r="E968" t="s">
        <v>3988</v>
      </c>
      <c r="F968" t="s">
        <v>4558</v>
      </c>
      <c r="G968">
        <v>3</v>
      </c>
      <c r="H968">
        <v>347.04</v>
      </c>
      <c r="I968">
        <v>20</v>
      </c>
      <c r="J968" t="s">
        <v>39</v>
      </c>
      <c r="K968">
        <v>832.9</v>
      </c>
    </row>
    <row r="969" spans="1:11" x14ac:dyDescent="0.25">
      <c r="A969" t="s">
        <v>1946</v>
      </c>
      <c r="B969" s="1">
        <v>45503</v>
      </c>
      <c r="C969" t="s">
        <v>1947</v>
      </c>
      <c r="D969" t="s">
        <v>13</v>
      </c>
      <c r="E969" t="s">
        <v>3988</v>
      </c>
      <c r="F969" t="s">
        <v>4009</v>
      </c>
      <c r="G969">
        <v>8</v>
      </c>
      <c r="H969">
        <v>1803.94</v>
      </c>
      <c r="I969">
        <v>20</v>
      </c>
      <c r="J969" t="s">
        <v>21</v>
      </c>
      <c r="K969">
        <v>11545.22</v>
      </c>
    </row>
    <row r="970" spans="1:11" x14ac:dyDescent="0.25">
      <c r="A970" t="s">
        <v>1948</v>
      </c>
      <c r="B970" s="1">
        <v>45403</v>
      </c>
      <c r="C970" t="s">
        <v>1949</v>
      </c>
      <c r="D970" t="s">
        <v>20</v>
      </c>
      <c r="E970" t="s">
        <v>3988</v>
      </c>
      <c r="F970" t="s">
        <v>4609</v>
      </c>
      <c r="G970">
        <v>3</v>
      </c>
      <c r="H970">
        <v>1434.76</v>
      </c>
      <c r="I970">
        <v>5</v>
      </c>
      <c r="J970" t="s">
        <v>17</v>
      </c>
      <c r="K970">
        <v>4089.07</v>
      </c>
    </row>
    <row r="971" spans="1:11" x14ac:dyDescent="0.25">
      <c r="A971" t="s">
        <v>1950</v>
      </c>
      <c r="B971" s="1">
        <v>45412</v>
      </c>
      <c r="C971" t="s">
        <v>1951</v>
      </c>
      <c r="D971" t="s">
        <v>36</v>
      </c>
      <c r="E971" t="s">
        <v>3988</v>
      </c>
      <c r="F971" t="s">
        <v>4558</v>
      </c>
      <c r="G971">
        <v>1</v>
      </c>
      <c r="H971">
        <v>1877.89</v>
      </c>
      <c r="I971">
        <v>0</v>
      </c>
      <c r="J971" t="s">
        <v>39</v>
      </c>
      <c r="K971">
        <v>1877.89</v>
      </c>
    </row>
    <row r="972" spans="1:11" x14ac:dyDescent="0.25">
      <c r="A972" t="s">
        <v>1952</v>
      </c>
      <c r="B972" s="1">
        <v>45741</v>
      </c>
      <c r="C972" t="s">
        <v>1953</v>
      </c>
      <c r="D972" t="s">
        <v>13</v>
      </c>
      <c r="E972" t="s">
        <v>3988</v>
      </c>
      <c r="F972" t="s">
        <v>4009</v>
      </c>
      <c r="G972">
        <v>8</v>
      </c>
      <c r="H972">
        <v>1226.42</v>
      </c>
      <c r="I972">
        <v>10</v>
      </c>
      <c r="J972" t="s">
        <v>21</v>
      </c>
      <c r="K972">
        <v>8830.2199999999993</v>
      </c>
    </row>
    <row r="973" spans="1:11" x14ac:dyDescent="0.25">
      <c r="A973" t="s">
        <v>1954</v>
      </c>
      <c r="B973" s="1">
        <v>45833</v>
      </c>
      <c r="C973" t="s">
        <v>1955</v>
      </c>
      <c r="D973" t="s">
        <v>13</v>
      </c>
      <c r="E973" t="s">
        <v>3272</v>
      </c>
      <c r="F973" t="s">
        <v>4546</v>
      </c>
      <c r="G973">
        <v>3</v>
      </c>
      <c r="H973">
        <v>973.13</v>
      </c>
      <c r="I973">
        <v>5</v>
      </c>
      <c r="J973" t="s">
        <v>14</v>
      </c>
      <c r="K973">
        <v>2773.42</v>
      </c>
    </row>
    <row r="974" spans="1:11" x14ac:dyDescent="0.25">
      <c r="A974" t="s">
        <v>1956</v>
      </c>
      <c r="B974" s="1">
        <v>45444</v>
      </c>
      <c r="C974" t="s">
        <v>1957</v>
      </c>
      <c r="D974" t="s">
        <v>24</v>
      </c>
      <c r="E974" t="s">
        <v>3988</v>
      </c>
      <c r="F974" t="s">
        <v>4609</v>
      </c>
      <c r="G974">
        <v>2</v>
      </c>
      <c r="H974">
        <v>166.45</v>
      </c>
      <c r="I974">
        <v>5</v>
      </c>
      <c r="J974" t="s">
        <v>14</v>
      </c>
      <c r="K974">
        <v>316.25</v>
      </c>
    </row>
    <row r="975" spans="1:11" x14ac:dyDescent="0.25">
      <c r="A975" t="s">
        <v>1958</v>
      </c>
      <c r="B975" s="1">
        <v>45366</v>
      </c>
      <c r="C975" t="s">
        <v>1959</v>
      </c>
      <c r="D975" t="s">
        <v>24</v>
      </c>
      <c r="E975" t="s">
        <v>29</v>
      </c>
      <c r="F975" t="s">
        <v>4610</v>
      </c>
      <c r="G975">
        <v>1</v>
      </c>
      <c r="H975">
        <v>1359.7</v>
      </c>
      <c r="I975">
        <v>0</v>
      </c>
      <c r="J975" t="s">
        <v>14</v>
      </c>
      <c r="K975">
        <v>1359.7</v>
      </c>
    </row>
    <row r="976" spans="1:11" x14ac:dyDescent="0.25">
      <c r="A976" t="s">
        <v>1960</v>
      </c>
      <c r="B976" s="1">
        <v>45734</v>
      </c>
      <c r="C976" t="s">
        <v>1961</v>
      </c>
      <c r="D976" t="s">
        <v>36</v>
      </c>
      <c r="E976" t="s">
        <v>3988</v>
      </c>
      <c r="F976" t="s">
        <v>4611</v>
      </c>
      <c r="G976">
        <v>3</v>
      </c>
      <c r="H976">
        <v>1185.31</v>
      </c>
      <c r="I976">
        <v>15</v>
      </c>
      <c r="J976" t="s">
        <v>21</v>
      </c>
      <c r="K976">
        <v>3022.54</v>
      </c>
    </row>
    <row r="977" spans="1:11" x14ac:dyDescent="0.25">
      <c r="A977" t="s">
        <v>1962</v>
      </c>
      <c r="B977" s="1">
        <v>45796</v>
      </c>
      <c r="C977" t="s">
        <v>1963</v>
      </c>
      <c r="D977" t="s">
        <v>36</v>
      </c>
      <c r="E977" t="s">
        <v>3272</v>
      </c>
      <c r="F977" t="s">
        <v>4045</v>
      </c>
      <c r="G977">
        <v>2</v>
      </c>
      <c r="H977">
        <v>1980.91</v>
      </c>
      <c r="I977">
        <v>5</v>
      </c>
      <c r="J977" t="s">
        <v>21</v>
      </c>
      <c r="K977">
        <v>3763.73</v>
      </c>
    </row>
    <row r="978" spans="1:11" x14ac:dyDescent="0.25">
      <c r="A978" t="s">
        <v>1964</v>
      </c>
      <c r="B978" s="1">
        <v>45477</v>
      </c>
      <c r="C978" t="s">
        <v>1965</v>
      </c>
      <c r="D978" t="s">
        <v>20</v>
      </c>
      <c r="E978" t="s">
        <v>3988</v>
      </c>
      <c r="F978" t="s">
        <v>4612</v>
      </c>
      <c r="G978">
        <v>2</v>
      </c>
      <c r="H978">
        <v>516.36</v>
      </c>
      <c r="I978">
        <v>15</v>
      </c>
      <c r="J978" t="s">
        <v>14</v>
      </c>
      <c r="K978">
        <v>877.81</v>
      </c>
    </row>
    <row r="979" spans="1:11" x14ac:dyDescent="0.25">
      <c r="A979" t="s">
        <v>1966</v>
      </c>
      <c r="B979" s="1">
        <v>45345</v>
      </c>
      <c r="C979" t="s">
        <v>1967</v>
      </c>
      <c r="D979" t="s">
        <v>36</v>
      </c>
      <c r="E979" t="s">
        <v>29</v>
      </c>
      <c r="F979" t="s">
        <v>4359</v>
      </c>
      <c r="G979">
        <v>6</v>
      </c>
      <c r="H979">
        <v>1084.94</v>
      </c>
      <c r="I979">
        <v>15</v>
      </c>
      <c r="J979" t="s">
        <v>14</v>
      </c>
      <c r="K979">
        <v>5533.19</v>
      </c>
    </row>
    <row r="980" spans="1:11" x14ac:dyDescent="0.25">
      <c r="A980" t="s">
        <v>1968</v>
      </c>
      <c r="B980" s="1">
        <v>45798</v>
      </c>
      <c r="C980" t="s">
        <v>1969</v>
      </c>
      <c r="D980" t="s">
        <v>24</v>
      </c>
      <c r="E980" t="s">
        <v>3272</v>
      </c>
      <c r="F980" t="s">
        <v>4613</v>
      </c>
      <c r="G980">
        <v>1</v>
      </c>
      <c r="H980">
        <v>1319.37</v>
      </c>
      <c r="I980">
        <v>20</v>
      </c>
      <c r="J980" t="s">
        <v>21</v>
      </c>
      <c r="K980">
        <v>1055.5</v>
      </c>
    </row>
    <row r="981" spans="1:11" x14ac:dyDescent="0.25">
      <c r="A981" t="s">
        <v>1970</v>
      </c>
      <c r="B981" s="1">
        <v>45213</v>
      </c>
      <c r="C981" t="s">
        <v>1971</v>
      </c>
      <c r="D981" t="s">
        <v>36</v>
      </c>
      <c r="E981" t="s">
        <v>3988</v>
      </c>
      <c r="F981" t="s">
        <v>4614</v>
      </c>
      <c r="G981">
        <v>2</v>
      </c>
      <c r="H981">
        <v>1306.95</v>
      </c>
      <c r="I981">
        <v>0</v>
      </c>
      <c r="J981" t="s">
        <v>39</v>
      </c>
      <c r="K981">
        <v>2613.9</v>
      </c>
    </row>
    <row r="982" spans="1:11" x14ac:dyDescent="0.25">
      <c r="A982" t="s">
        <v>1972</v>
      </c>
      <c r="B982" s="1">
        <v>45515</v>
      </c>
      <c r="C982" t="s">
        <v>1973</v>
      </c>
      <c r="D982" t="s">
        <v>13</v>
      </c>
      <c r="E982" t="s">
        <v>29</v>
      </c>
      <c r="F982" t="s">
        <v>4615</v>
      </c>
      <c r="G982">
        <v>6</v>
      </c>
      <c r="H982">
        <v>1144.52</v>
      </c>
      <c r="I982">
        <v>15</v>
      </c>
      <c r="J982" t="s">
        <v>17</v>
      </c>
      <c r="K982">
        <v>5837.05</v>
      </c>
    </row>
    <row r="983" spans="1:11" x14ac:dyDescent="0.25">
      <c r="A983" t="s">
        <v>1974</v>
      </c>
      <c r="B983" s="1">
        <v>45165</v>
      </c>
      <c r="C983" t="s">
        <v>1975</v>
      </c>
      <c r="D983" t="s">
        <v>36</v>
      </c>
      <c r="E983" t="s">
        <v>29</v>
      </c>
      <c r="F983" t="s">
        <v>4165</v>
      </c>
      <c r="G983">
        <v>3</v>
      </c>
      <c r="H983">
        <v>1565.01</v>
      </c>
      <c r="I983">
        <v>0</v>
      </c>
      <c r="J983" t="s">
        <v>14</v>
      </c>
      <c r="K983">
        <v>4695.03</v>
      </c>
    </row>
    <row r="984" spans="1:11" x14ac:dyDescent="0.25">
      <c r="A984" t="s">
        <v>1976</v>
      </c>
      <c r="B984" s="1">
        <v>45731</v>
      </c>
      <c r="C984" t="s">
        <v>1977</v>
      </c>
      <c r="D984" t="s">
        <v>36</v>
      </c>
      <c r="E984" t="s">
        <v>3272</v>
      </c>
      <c r="F984" t="s">
        <v>4616</v>
      </c>
      <c r="G984">
        <v>4</v>
      </c>
      <c r="H984">
        <v>449.71</v>
      </c>
      <c r="I984">
        <v>20</v>
      </c>
      <c r="J984" t="s">
        <v>21</v>
      </c>
      <c r="K984">
        <v>1439.07</v>
      </c>
    </row>
    <row r="985" spans="1:11" x14ac:dyDescent="0.25">
      <c r="A985" t="s">
        <v>1978</v>
      </c>
      <c r="B985" s="1">
        <v>45568</v>
      </c>
      <c r="C985" t="s">
        <v>1979</v>
      </c>
      <c r="D985" t="s">
        <v>20</v>
      </c>
      <c r="E985" t="s">
        <v>29</v>
      </c>
      <c r="F985" t="s">
        <v>4165</v>
      </c>
      <c r="G985">
        <v>1</v>
      </c>
      <c r="H985">
        <v>1464.97</v>
      </c>
      <c r="I985">
        <v>0</v>
      </c>
      <c r="J985" t="s">
        <v>39</v>
      </c>
      <c r="K985">
        <v>1464.97</v>
      </c>
    </row>
    <row r="986" spans="1:11" x14ac:dyDescent="0.25">
      <c r="A986" t="s">
        <v>1980</v>
      </c>
      <c r="B986" s="1">
        <v>45190</v>
      </c>
      <c r="C986" t="s">
        <v>1981</v>
      </c>
      <c r="D986" t="s">
        <v>13</v>
      </c>
      <c r="E986" t="s">
        <v>3988</v>
      </c>
      <c r="F986" t="s">
        <v>4614</v>
      </c>
      <c r="G986">
        <v>8</v>
      </c>
      <c r="H986">
        <v>1258.48</v>
      </c>
      <c r="I986">
        <v>5</v>
      </c>
      <c r="J986" t="s">
        <v>39</v>
      </c>
      <c r="K986">
        <v>9564.4500000000007</v>
      </c>
    </row>
    <row r="987" spans="1:11" x14ac:dyDescent="0.25">
      <c r="A987" t="s">
        <v>1982</v>
      </c>
      <c r="B987" s="1">
        <v>45421</v>
      </c>
      <c r="C987" t="s">
        <v>1983</v>
      </c>
      <c r="D987" t="s">
        <v>20</v>
      </c>
      <c r="E987" t="s">
        <v>29</v>
      </c>
      <c r="F987" t="s">
        <v>4615</v>
      </c>
      <c r="G987">
        <v>7</v>
      </c>
      <c r="H987">
        <v>1797.35</v>
      </c>
      <c r="I987">
        <v>15</v>
      </c>
      <c r="J987" t="s">
        <v>39</v>
      </c>
      <c r="K987">
        <v>10694.23</v>
      </c>
    </row>
    <row r="988" spans="1:11" x14ac:dyDescent="0.25">
      <c r="A988" t="s">
        <v>1984</v>
      </c>
      <c r="B988" s="1">
        <v>45324</v>
      </c>
      <c r="C988" t="s">
        <v>1985</v>
      </c>
      <c r="D988" t="s">
        <v>24</v>
      </c>
      <c r="E988" t="s">
        <v>3272</v>
      </c>
      <c r="F988" t="s">
        <v>4305</v>
      </c>
      <c r="G988">
        <v>7</v>
      </c>
      <c r="H988">
        <v>1702.03</v>
      </c>
      <c r="I988">
        <v>0</v>
      </c>
      <c r="J988" t="s">
        <v>14</v>
      </c>
      <c r="K988">
        <v>11914.21</v>
      </c>
    </row>
    <row r="989" spans="1:11" x14ac:dyDescent="0.25">
      <c r="A989" t="s">
        <v>1986</v>
      </c>
      <c r="B989" s="1">
        <v>45654</v>
      </c>
      <c r="C989" t="s">
        <v>1987</v>
      </c>
      <c r="D989" t="s">
        <v>36</v>
      </c>
      <c r="E989" t="s">
        <v>3272</v>
      </c>
      <c r="F989" t="s">
        <v>4617</v>
      </c>
      <c r="G989">
        <v>3</v>
      </c>
      <c r="H989">
        <v>664.54</v>
      </c>
      <c r="I989">
        <v>10</v>
      </c>
      <c r="J989" t="s">
        <v>21</v>
      </c>
      <c r="K989">
        <v>1794.26</v>
      </c>
    </row>
    <row r="990" spans="1:11" x14ac:dyDescent="0.25">
      <c r="A990" t="s">
        <v>1988</v>
      </c>
      <c r="B990" s="1">
        <v>45203</v>
      </c>
      <c r="C990" t="s">
        <v>1989</v>
      </c>
      <c r="D990" t="s">
        <v>36</v>
      </c>
      <c r="E990" t="s">
        <v>3272</v>
      </c>
      <c r="F990" t="s">
        <v>4618</v>
      </c>
      <c r="G990">
        <v>3</v>
      </c>
      <c r="H990">
        <v>588.66</v>
      </c>
      <c r="I990">
        <v>0</v>
      </c>
      <c r="J990" t="s">
        <v>17</v>
      </c>
      <c r="K990">
        <v>1765.98</v>
      </c>
    </row>
    <row r="991" spans="1:11" x14ac:dyDescent="0.25">
      <c r="A991" t="s">
        <v>1990</v>
      </c>
      <c r="B991" s="1">
        <v>45756</v>
      </c>
      <c r="C991" t="s">
        <v>1991</v>
      </c>
      <c r="D991" t="s">
        <v>24</v>
      </c>
      <c r="E991" t="s">
        <v>3272</v>
      </c>
      <c r="F991" t="s">
        <v>4619</v>
      </c>
      <c r="G991">
        <v>2</v>
      </c>
      <c r="H991">
        <v>1964.22</v>
      </c>
      <c r="I991">
        <v>15</v>
      </c>
      <c r="J991" t="s">
        <v>21</v>
      </c>
      <c r="K991">
        <v>3339.17</v>
      </c>
    </row>
    <row r="992" spans="1:11" x14ac:dyDescent="0.25">
      <c r="A992" t="s">
        <v>1992</v>
      </c>
      <c r="B992" s="1">
        <v>45656</v>
      </c>
      <c r="C992" t="s">
        <v>1993</v>
      </c>
      <c r="D992" t="s">
        <v>20</v>
      </c>
      <c r="E992" t="s">
        <v>29</v>
      </c>
      <c r="F992" t="s">
        <v>4620</v>
      </c>
      <c r="G992">
        <v>1</v>
      </c>
      <c r="H992">
        <v>1078.17</v>
      </c>
      <c r="I992">
        <v>20</v>
      </c>
      <c r="J992" t="s">
        <v>21</v>
      </c>
      <c r="K992">
        <v>862.54</v>
      </c>
    </row>
    <row r="993" spans="1:11" x14ac:dyDescent="0.25">
      <c r="A993" t="s">
        <v>1994</v>
      </c>
      <c r="B993" s="1">
        <v>45181</v>
      </c>
      <c r="C993" t="s">
        <v>1995</v>
      </c>
      <c r="D993" t="s">
        <v>13</v>
      </c>
      <c r="E993" t="s">
        <v>29</v>
      </c>
      <c r="F993" t="s">
        <v>4621</v>
      </c>
      <c r="G993">
        <v>7</v>
      </c>
      <c r="H993">
        <v>1817.52</v>
      </c>
      <c r="I993">
        <v>20</v>
      </c>
      <c r="J993" t="s">
        <v>39</v>
      </c>
      <c r="K993">
        <v>10178.11</v>
      </c>
    </row>
    <row r="994" spans="1:11" x14ac:dyDescent="0.25">
      <c r="A994" t="s">
        <v>1996</v>
      </c>
      <c r="B994" s="1">
        <v>45735</v>
      </c>
      <c r="C994" t="s">
        <v>1997</v>
      </c>
      <c r="D994" t="s">
        <v>20</v>
      </c>
      <c r="E994" t="s">
        <v>3988</v>
      </c>
      <c r="F994" t="s">
        <v>4622</v>
      </c>
      <c r="G994">
        <v>7</v>
      </c>
      <c r="H994">
        <v>369.57</v>
      </c>
      <c r="I994">
        <v>15</v>
      </c>
      <c r="J994" t="s">
        <v>17</v>
      </c>
      <c r="K994">
        <v>2198.94</v>
      </c>
    </row>
    <row r="995" spans="1:11" x14ac:dyDescent="0.25">
      <c r="A995" t="s">
        <v>1998</v>
      </c>
      <c r="B995" s="1">
        <v>45174</v>
      </c>
      <c r="C995" t="s">
        <v>1999</v>
      </c>
      <c r="D995" t="s">
        <v>20</v>
      </c>
      <c r="E995" t="s">
        <v>3272</v>
      </c>
      <c r="F995" t="s">
        <v>4341</v>
      </c>
      <c r="G995">
        <v>2</v>
      </c>
      <c r="H995">
        <v>1303.5</v>
      </c>
      <c r="I995">
        <v>5</v>
      </c>
      <c r="J995" t="s">
        <v>14</v>
      </c>
      <c r="K995">
        <v>2476.65</v>
      </c>
    </row>
    <row r="996" spans="1:11" x14ac:dyDescent="0.25">
      <c r="A996" t="s">
        <v>2000</v>
      </c>
      <c r="B996" s="1">
        <v>45342</v>
      </c>
      <c r="C996" t="s">
        <v>2001</v>
      </c>
      <c r="D996" t="s">
        <v>13</v>
      </c>
      <c r="E996" t="s">
        <v>3988</v>
      </c>
      <c r="F996" t="s">
        <v>4558</v>
      </c>
      <c r="G996">
        <v>7</v>
      </c>
      <c r="H996">
        <v>1629.23</v>
      </c>
      <c r="I996">
        <v>5</v>
      </c>
      <c r="J996" t="s">
        <v>14</v>
      </c>
      <c r="K996">
        <v>10834.38</v>
      </c>
    </row>
    <row r="997" spans="1:11" x14ac:dyDescent="0.25">
      <c r="A997" t="s">
        <v>2002</v>
      </c>
      <c r="B997" s="1">
        <v>45304</v>
      </c>
      <c r="C997" t="s">
        <v>2003</v>
      </c>
      <c r="D997" t="s">
        <v>36</v>
      </c>
      <c r="E997" t="s">
        <v>3988</v>
      </c>
      <c r="F997" t="s">
        <v>4533</v>
      </c>
      <c r="G997">
        <v>8</v>
      </c>
      <c r="H997">
        <v>1897.42</v>
      </c>
      <c r="I997">
        <v>20</v>
      </c>
      <c r="J997" t="s">
        <v>39</v>
      </c>
      <c r="K997">
        <v>12143.49</v>
      </c>
    </row>
    <row r="998" spans="1:11" x14ac:dyDescent="0.25">
      <c r="A998" t="s">
        <v>2004</v>
      </c>
      <c r="B998" s="1">
        <v>45801</v>
      </c>
      <c r="C998" t="s">
        <v>2005</v>
      </c>
      <c r="D998" t="s">
        <v>20</v>
      </c>
      <c r="E998" t="s">
        <v>3988</v>
      </c>
      <c r="F998" t="s">
        <v>4226</v>
      </c>
      <c r="G998">
        <v>1</v>
      </c>
      <c r="H998">
        <v>707.81</v>
      </c>
      <c r="I998">
        <v>20</v>
      </c>
      <c r="J998" t="s">
        <v>14</v>
      </c>
      <c r="K998">
        <v>566.25</v>
      </c>
    </row>
    <row r="999" spans="1:11" x14ac:dyDescent="0.25">
      <c r="A999" t="s">
        <v>2006</v>
      </c>
      <c r="B999" s="1">
        <v>45165</v>
      </c>
      <c r="C999" t="s">
        <v>2007</v>
      </c>
      <c r="D999" t="s">
        <v>24</v>
      </c>
      <c r="E999" t="s">
        <v>3988</v>
      </c>
      <c r="F999" t="s">
        <v>4224</v>
      </c>
      <c r="G999">
        <v>9</v>
      </c>
      <c r="H999">
        <v>1463.71</v>
      </c>
      <c r="I999">
        <v>15</v>
      </c>
      <c r="J999" t="s">
        <v>21</v>
      </c>
      <c r="K999">
        <v>11197.38</v>
      </c>
    </row>
    <row r="1000" spans="1:11" x14ac:dyDescent="0.25">
      <c r="A1000" t="s">
        <v>2008</v>
      </c>
      <c r="B1000" s="1">
        <v>45632</v>
      </c>
      <c r="C1000" t="s">
        <v>2009</v>
      </c>
      <c r="D1000" t="s">
        <v>13</v>
      </c>
      <c r="E1000" t="s">
        <v>3988</v>
      </c>
      <c r="F1000" t="s">
        <v>4098</v>
      </c>
      <c r="G1000">
        <v>7</v>
      </c>
      <c r="H1000">
        <v>1100.69</v>
      </c>
      <c r="I1000">
        <v>5</v>
      </c>
      <c r="J1000" t="s">
        <v>39</v>
      </c>
      <c r="K1000">
        <v>7319.59</v>
      </c>
    </row>
    <row r="1001" spans="1:11" x14ac:dyDescent="0.25">
      <c r="A1001" t="s">
        <v>2010</v>
      </c>
      <c r="B1001" s="1">
        <v>45268</v>
      </c>
      <c r="C1001" t="s">
        <v>2011</v>
      </c>
      <c r="D1001" t="s">
        <v>36</v>
      </c>
      <c r="E1001" t="s">
        <v>29</v>
      </c>
      <c r="F1001" t="s">
        <v>4180</v>
      </c>
      <c r="G1001">
        <v>3</v>
      </c>
      <c r="H1001">
        <v>168.23</v>
      </c>
      <c r="I1001">
        <v>20</v>
      </c>
      <c r="J1001" t="s">
        <v>17</v>
      </c>
      <c r="K1001">
        <v>403.75</v>
      </c>
    </row>
    <row r="1002" spans="1:11" x14ac:dyDescent="0.25">
      <c r="A1002" t="s">
        <v>2012</v>
      </c>
      <c r="B1002" s="1">
        <v>45335</v>
      </c>
      <c r="C1002" t="s">
        <v>2013</v>
      </c>
      <c r="D1002" t="s">
        <v>13</v>
      </c>
      <c r="E1002" t="s">
        <v>3272</v>
      </c>
      <c r="F1002" t="s">
        <v>4491</v>
      </c>
      <c r="G1002">
        <v>8</v>
      </c>
      <c r="H1002">
        <v>1395.5</v>
      </c>
      <c r="I1002">
        <v>5</v>
      </c>
      <c r="J1002" t="s">
        <v>21</v>
      </c>
      <c r="K1002">
        <v>10605.8</v>
      </c>
    </row>
    <row r="1003" spans="1:11" x14ac:dyDescent="0.25">
      <c r="A1003" t="s">
        <v>2014</v>
      </c>
      <c r="B1003" s="1">
        <v>45248</v>
      </c>
      <c r="C1003" t="s">
        <v>2015</v>
      </c>
      <c r="D1003" t="s">
        <v>24</v>
      </c>
      <c r="E1003" t="s">
        <v>3988</v>
      </c>
      <c r="F1003" t="s">
        <v>4235</v>
      </c>
      <c r="G1003">
        <v>7</v>
      </c>
      <c r="H1003">
        <v>1395.69</v>
      </c>
      <c r="I1003">
        <v>20</v>
      </c>
      <c r="J1003" t="s">
        <v>17</v>
      </c>
      <c r="K1003">
        <v>7815.86</v>
      </c>
    </row>
    <row r="1004" spans="1:11" x14ac:dyDescent="0.25">
      <c r="A1004" t="s">
        <v>2016</v>
      </c>
      <c r="B1004" s="1">
        <v>45517</v>
      </c>
      <c r="C1004" t="s">
        <v>2017</v>
      </c>
      <c r="D1004" t="s">
        <v>13</v>
      </c>
      <c r="E1004" t="s">
        <v>3988</v>
      </c>
      <c r="F1004" t="s">
        <v>4028</v>
      </c>
      <c r="G1004">
        <v>8</v>
      </c>
      <c r="H1004">
        <v>1864.68</v>
      </c>
      <c r="I1004">
        <v>0</v>
      </c>
      <c r="J1004" t="s">
        <v>17</v>
      </c>
      <c r="K1004">
        <v>14917.44</v>
      </c>
    </row>
    <row r="1005" spans="1:11" x14ac:dyDescent="0.25">
      <c r="A1005" t="s">
        <v>2018</v>
      </c>
      <c r="B1005" s="1">
        <v>45669</v>
      </c>
      <c r="C1005" t="s">
        <v>2019</v>
      </c>
      <c r="D1005" t="s">
        <v>13</v>
      </c>
      <c r="E1005" t="s">
        <v>29</v>
      </c>
      <c r="F1005" t="s">
        <v>4623</v>
      </c>
      <c r="G1005">
        <v>6</v>
      </c>
      <c r="H1005">
        <v>1019.76</v>
      </c>
      <c r="I1005">
        <v>10</v>
      </c>
      <c r="J1005" t="s">
        <v>21</v>
      </c>
      <c r="K1005">
        <v>5506.7</v>
      </c>
    </row>
    <row r="1006" spans="1:11" x14ac:dyDescent="0.25">
      <c r="A1006" t="s">
        <v>2020</v>
      </c>
      <c r="B1006" s="1">
        <v>45238</v>
      </c>
      <c r="C1006" t="s">
        <v>2021</v>
      </c>
      <c r="D1006" t="s">
        <v>20</v>
      </c>
      <c r="E1006" t="s">
        <v>3988</v>
      </c>
      <c r="F1006" t="s">
        <v>4624</v>
      </c>
      <c r="G1006">
        <v>9</v>
      </c>
      <c r="H1006">
        <v>498.99</v>
      </c>
      <c r="I1006">
        <v>0</v>
      </c>
      <c r="J1006" t="s">
        <v>17</v>
      </c>
      <c r="K1006">
        <v>4490.91</v>
      </c>
    </row>
    <row r="1007" spans="1:11" x14ac:dyDescent="0.25">
      <c r="A1007" t="s">
        <v>2022</v>
      </c>
      <c r="B1007" s="1">
        <v>45588</v>
      </c>
      <c r="C1007" t="s">
        <v>2023</v>
      </c>
      <c r="D1007" t="s">
        <v>24</v>
      </c>
      <c r="E1007" t="s">
        <v>3272</v>
      </c>
      <c r="F1007" t="s">
        <v>4033</v>
      </c>
      <c r="G1007">
        <v>5</v>
      </c>
      <c r="H1007">
        <v>136.9</v>
      </c>
      <c r="I1007">
        <v>20</v>
      </c>
      <c r="J1007" t="s">
        <v>39</v>
      </c>
      <c r="K1007">
        <v>547.6</v>
      </c>
    </row>
    <row r="1008" spans="1:11" x14ac:dyDescent="0.25">
      <c r="A1008" t="s">
        <v>2024</v>
      </c>
      <c r="B1008" s="1">
        <v>45319</v>
      </c>
      <c r="C1008" t="s">
        <v>2025</v>
      </c>
      <c r="D1008" t="s">
        <v>24</v>
      </c>
      <c r="E1008" t="s">
        <v>29</v>
      </c>
      <c r="F1008" t="s">
        <v>4273</v>
      </c>
      <c r="G1008">
        <v>3</v>
      </c>
      <c r="H1008">
        <v>860.5</v>
      </c>
      <c r="I1008">
        <v>10</v>
      </c>
      <c r="J1008" t="s">
        <v>39</v>
      </c>
      <c r="K1008">
        <v>2323.35</v>
      </c>
    </row>
    <row r="1009" spans="1:11" x14ac:dyDescent="0.25">
      <c r="A1009" t="s">
        <v>2026</v>
      </c>
      <c r="B1009" s="1">
        <v>45511</v>
      </c>
      <c r="C1009" t="s">
        <v>2027</v>
      </c>
      <c r="D1009" t="s">
        <v>24</v>
      </c>
      <c r="E1009" t="s">
        <v>3988</v>
      </c>
      <c r="F1009" t="s">
        <v>4303</v>
      </c>
      <c r="G1009">
        <v>3</v>
      </c>
      <c r="H1009">
        <v>638.74</v>
      </c>
      <c r="I1009">
        <v>10</v>
      </c>
      <c r="J1009" t="s">
        <v>21</v>
      </c>
      <c r="K1009">
        <v>1724.6</v>
      </c>
    </row>
    <row r="1010" spans="1:11" x14ac:dyDescent="0.25">
      <c r="A1010" t="s">
        <v>2028</v>
      </c>
      <c r="B1010" s="1">
        <v>45693</v>
      </c>
      <c r="C1010" t="s">
        <v>2029</v>
      </c>
      <c r="D1010" t="s">
        <v>13</v>
      </c>
      <c r="E1010" t="s">
        <v>3272</v>
      </c>
      <c r="F1010" t="s">
        <v>4296</v>
      </c>
      <c r="G1010">
        <v>1</v>
      </c>
      <c r="H1010">
        <v>1534.12</v>
      </c>
      <c r="I1010">
        <v>20</v>
      </c>
      <c r="J1010" t="s">
        <v>14</v>
      </c>
      <c r="K1010">
        <v>1227.3</v>
      </c>
    </row>
    <row r="1011" spans="1:11" x14ac:dyDescent="0.25">
      <c r="A1011" t="s">
        <v>2030</v>
      </c>
      <c r="B1011" s="1">
        <v>45349</v>
      </c>
      <c r="C1011" t="s">
        <v>2031</v>
      </c>
      <c r="D1011" t="s">
        <v>24</v>
      </c>
      <c r="E1011" t="s">
        <v>3272</v>
      </c>
      <c r="F1011" t="s">
        <v>4625</v>
      </c>
      <c r="G1011">
        <v>8</v>
      </c>
      <c r="H1011">
        <v>740.82</v>
      </c>
      <c r="I1011">
        <v>20</v>
      </c>
      <c r="J1011" t="s">
        <v>17</v>
      </c>
      <c r="K1011">
        <v>4741.25</v>
      </c>
    </row>
    <row r="1012" spans="1:11" x14ac:dyDescent="0.25">
      <c r="A1012" t="s">
        <v>2032</v>
      </c>
      <c r="B1012" s="1">
        <v>45745</v>
      </c>
      <c r="C1012" t="s">
        <v>2033</v>
      </c>
      <c r="D1012" t="s">
        <v>24</v>
      </c>
      <c r="E1012" t="s">
        <v>3988</v>
      </c>
      <c r="F1012" t="s">
        <v>4134</v>
      </c>
      <c r="G1012">
        <v>2</v>
      </c>
      <c r="H1012">
        <v>1900.69</v>
      </c>
      <c r="I1012">
        <v>5</v>
      </c>
      <c r="J1012" t="s">
        <v>21</v>
      </c>
      <c r="K1012">
        <v>3611.31</v>
      </c>
    </row>
    <row r="1013" spans="1:11" x14ac:dyDescent="0.25">
      <c r="A1013" t="s">
        <v>2034</v>
      </c>
      <c r="B1013" s="1">
        <v>45436</v>
      </c>
      <c r="C1013" t="s">
        <v>2035</v>
      </c>
      <c r="D1013" t="s">
        <v>24</v>
      </c>
      <c r="E1013" t="s">
        <v>3272</v>
      </c>
      <c r="F1013" t="s">
        <v>4626</v>
      </c>
      <c r="G1013">
        <v>3</v>
      </c>
      <c r="H1013">
        <v>1926.5</v>
      </c>
      <c r="I1013">
        <v>20</v>
      </c>
      <c r="J1013" t="s">
        <v>17</v>
      </c>
      <c r="K1013">
        <v>4623.6000000000004</v>
      </c>
    </row>
    <row r="1014" spans="1:11" x14ac:dyDescent="0.25">
      <c r="A1014" t="s">
        <v>2036</v>
      </c>
      <c r="B1014" s="1">
        <v>45280</v>
      </c>
      <c r="C1014" t="s">
        <v>2037</v>
      </c>
      <c r="D1014" t="s">
        <v>20</v>
      </c>
      <c r="E1014" t="s">
        <v>3988</v>
      </c>
      <c r="F1014" t="s">
        <v>4627</v>
      </c>
      <c r="G1014">
        <v>8</v>
      </c>
      <c r="H1014">
        <v>1260.77</v>
      </c>
      <c r="I1014">
        <v>15</v>
      </c>
      <c r="J1014" t="s">
        <v>21</v>
      </c>
      <c r="K1014">
        <v>8573.24</v>
      </c>
    </row>
    <row r="1015" spans="1:11" x14ac:dyDescent="0.25">
      <c r="A1015" t="s">
        <v>2038</v>
      </c>
      <c r="B1015" s="1">
        <v>45620</v>
      </c>
      <c r="C1015" t="s">
        <v>2039</v>
      </c>
      <c r="D1015" t="s">
        <v>24</v>
      </c>
      <c r="E1015" t="s">
        <v>3272</v>
      </c>
      <c r="F1015" t="s">
        <v>4032</v>
      </c>
      <c r="G1015">
        <v>8</v>
      </c>
      <c r="H1015">
        <v>1860.89</v>
      </c>
      <c r="I1015">
        <v>20</v>
      </c>
      <c r="J1015" t="s">
        <v>17</v>
      </c>
      <c r="K1015">
        <v>11909.7</v>
      </c>
    </row>
    <row r="1016" spans="1:11" x14ac:dyDescent="0.25">
      <c r="A1016" t="s">
        <v>2040</v>
      </c>
      <c r="B1016" s="1">
        <v>45621</v>
      </c>
      <c r="C1016" t="s">
        <v>2041</v>
      </c>
      <c r="D1016" t="s">
        <v>13</v>
      </c>
      <c r="E1016" t="s">
        <v>3988</v>
      </c>
      <c r="F1016" t="s">
        <v>4628</v>
      </c>
      <c r="G1016">
        <v>4</v>
      </c>
      <c r="H1016">
        <v>1533.67</v>
      </c>
      <c r="I1016">
        <v>15</v>
      </c>
      <c r="J1016" t="s">
        <v>14</v>
      </c>
      <c r="K1016">
        <v>5214.4799999999996</v>
      </c>
    </row>
    <row r="1017" spans="1:11" x14ac:dyDescent="0.25">
      <c r="A1017" t="s">
        <v>2042</v>
      </c>
      <c r="B1017" s="1">
        <v>45730</v>
      </c>
      <c r="C1017" t="s">
        <v>2043</v>
      </c>
      <c r="D1017" t="s">
        <v>20</v>
      </c>
      <c r="E1017" t="s">
        <v>3988</v>
      </c>
      <c r="F1017" t="s">
        <v>4627</v>
      </c>
      <c r="G1017">
        <v>4</v>
      </c>
      <c r="H1017">
        <v>1116.3800000000001</v>
      </c>
      <c r="I1017">
        <v>20</v>
      </c>
      <c r="J1017" t="s">
        <v>21</v>
      </c>
      <c r="K1017">
        <v>3572.42</v>
      </c>
    </row>
    <row r="1018" spans="1:11" x14ac:dyDescent="0.25">
      <c r="A1018" t="s">
        <v>2044</v>
      </c>
      <c r="B1018" s="1">
        <v>45707</v>
      </c>
      <c r="C1018" t="s">
        <v>2045</v>
      </c>
      <c r="D1018" t="s">
        <v>24</v>
      </c>
      <c r="E1018" t="s">
        <v>29</v>
      </c>
      <c r="F1018" t="s">
        <v>4629</v>
      </c>
      <c r="G1018">
        <v>5</v>
      </c>
      <c r="H1018">
        <v>401.6</v>
      </c>
      <c r="I1018">
        <v>5</v>
      </c>
      <c r="J1018" t="s">
        <v>39</v>
      </c>
      <c r="K1018">
        <v>1907.6</v>
      </c>
    </row>
    <row r="1019" spans="1:11" x14ac:dyDescent="0.25">
      <c r="A1019" t="s">
        <v>2046</v>
      </c>
      <c r="B1019" s="1">
        <v>45238</v>
      </c>
      <c r="C1019" t="s">
        <v>2047</v>
      </c>
      <c r="D1019" t="s">
        <v>24</v>
      </c>
      <c r="E1019" t="s">
        <v>3272</v>
      </c>
      <c r="F1019" t="s">
        <v>4032</v>
      </c>
      <c r="G1019">
        <v>6</v>
      </c>
      <c r="H1019">
        <v>944.27</v>
      </c>
      <c r="I1019">
        <v>15</v>
      </c>
      <c r="J1019" t="s">
        <v>14</v>
      </c>
      <c r="K1019">
        <v>4815.78</v>
      </c>
    </row>
    <row r="1020" spans="1:11" x14ac:dyDescent="0.25">
      <c r="A1020" t="s">
        <v>2048</v>
      </c>
      <c r="B1020" s="1">
        <v>45754</v>
      </c>
      <c r="C1020" t="s">
        <v>2049</v>
      </c>
      <c r="D1020" t="s">
        <v>20</v>
      </c>
      <c r="E1020" t="s">
        <v>3988</v>
      </c>
      <c r="F1020" t="s">
        <v>4628</v>
      </c>
      <c r="G1020">
        <v>5</v>
      </c>
      <c r="H1020">
        <v>1143.71</v>
      </c>
      <c r="I1020">
        <v>0</v>
      </c>
      <c r="J1020" t="s">
        <v>39</v>
      </c>
      <c r="K1020">
        <v>5718.55</v>
      </c>
    </row>
    <row r="1021" spans="1:11" x14ac:dyDescent="0.25">
      <c r="A1021" t="s">
        <v>2050</v>
      </c>
      <c r="B1021" s="1">
        <v>45786</v>
      </c>
      <c r="C1021" t="s">
        <v>2051</v>
      </c>
      <c r="D1021" t="s">
        <v>24</v>
      </c>
      <c r="E1021" t="s">
        <v>3272</v>
      </c>
      <c r="F1021" t="s">
        <v>4057</v>
      </c>
      <c r="G1021">
        <v>7</v>
      </c>
      <c r="H1021">
        <v>1734.73</v>
      </c>
      <c r="I1021">
        <v>15</v>
      </c>
      <c r="J1021" t="s">
        <v>14</v>
      </c>
      <c r="K1021">
        <v>10321.64</v>
      </c>
    </row>
    <row r="1022" spans="1:11" x14ac:dyDescent="0.25">
      <c r="A1022" t="s">
        <v>2052</v>
      </c>
      <c r="B1022" s="1">
        <v>45277</v>
      </c>
      <c r="C1022" t="s">
        <v>2053</v>
      </c>
      <c r="D1022" t="s">
        <v>13</v>
      </c>
      <c r="E1022" t="s">
        <v>3988</v>
      </c>
      <c r="F1022" t="s">
        <v>4630</v>
      </c>
      <c r="G1022">
        <v>2</v>
      </c>
      <c r="H1022">
        <v>988.6</v>
      </c>
      <c r="I1022">
        <v>5</v>
      </c>
      <c r="J1022" t="s">
        <v>39</v>
      </c>
      <c r="K1022">
        <v>1878.34</v>
      </c>
    </row>
    <row r="1023" spans="1:11" x14ac:dyDescent="0.25">
      <c r="A1023" t="s">
        <v>2054</v>
      </c>
      <c r="B1023" s="1">
        <v>45391</v>
      </c>
      <c r="C1023" t="s">
        <v>2055</v>
      </c>
      <c r="D1023" t="s">
        <v>13</v>
      </c>
      <c r="E1023" t="s">
        <v>3988</v>
      </c>
      <c r="F1023" t="s">
        <v>4631</v>
      </c>
      <c r="G1023">
        <v>7</v>
      </c>
      <c r="H1023">
        <v>1800.47</v>
      </c>
      <c r="I1023">
        <v>15</v>
      </c>
      <c r="J1023" t="s">
        <v>14</v>
      </c>
      <c r="K1023">
        <v>10712.8</v>
      </c>
    </row>
    <row r="1024" spans="1:11" x14ac:dyDescent="0.25">
      <c r="A1024" t="s">
        <v>2056</v>
      </c>
      <c r="B1024" s="1">
        <v>45233</v>
      </c>
      <c r="C1024" t="s">
        <v>2057</v>
      </c>
      <c r="D1024" t="s">
        <v>24</v>
      </c>
      <c r="E1024" t="s">
        <v>3988</v>
      </c>
      <c r="F1024" t="s">
        <v>4632</v>
      </c>
      <c r="G1024">
        <v>7</v>
      </c>
      <c r="H1024">
        <v>1364.98</v>
      </c>
      <c r="I1024">
        <v>20</v>
      </c>
      <c r="J1024" t="s">
        <v>17</v>
      </c>
      <c r="K1024">
        <v>7643.89</v>
      </c>
    </row>
    <row r="1025" spans="1:11" x14ac:dyDescent="0.25">
      <c r="A1025" t="s">
        <v>2058</v>
      </c>
      <c r="B1025" s="1">
        <v>45599</v>
      </c>
      <c r="C1025" t="s">
        <v>1906</v>
      </c>
      <c r="D1025" t="s">
        <v>13</v>
      </c>
      <c r="E1025" t="s">
        <v>29</v>
      </c>
      <c r="F1025" t="s">
        <v>4633</v>
      </c>
      <c r="G1025">
        <v>1</v>
      </c>
      <c r="H1025">
        <v>317.14999999999998</v>
      </c>
      <c r="I1025">
        <v>20</v>
      </c>
      <c r="J1025" t="s">
        <v>39</v>
      </c>
      <c r="K1025">
        <v>253.72</v>
      </c>
    </row>
    <row r="1026" spans="1:11" x14ac:dyDescent="0.25">
      <c r="A1026" t="s">
        <v>2059</v>
      </c>
      <c r="B1026" s="1">
        <v>45169</v>
      </c>
      <c r="C1026" t="s">
        <v>2060</v>
      </c>
      <c r="D1026" t="s">
        <v>20</v>
      </c>
      <c r="E1026" t="s">
        <v>3272</v>
      </c>
      <c r="F1026" t="s">
        <v>4152</v>
      </c>
      <c r="G1026">
        <v>7</v>
      </c>
      <c r="H1026">
        <v>1990.21</v>
      </c>
      <c r="I1026">
        <v>5</v>
      </c>
      <c r="J1026" t="s">
        <v>17</v>
      </c>
      <c r="K1026">
        <v>13234.9</v>
      </c>
    </row>
    <row r="1027" spans="1:11" x14ac:dyDescent="0.25">
      <c r="A1027" t="s">
        <v>2061</v>
      </c>
      <c r="B1027" s="1">
        <v>45871</v>
      </c>
      <c r="C1027" t="s">
        <v>2062</v>
      </c>
      <c r="D1027" t="s">
        <v>24</v>
      </c>
      <c r="E1027" t="s">
        <v>3988</v>
      </c>
      <c r="F1027" t="s">
        <v>4384</v>
      </c>
      <c r="G1027">
        <v>5</v>
      </c>
      <c r="H1027">
        <v>1078.0999999999999</v>
      </c>
      <c r="I1027">
        <v>10</v>
      </c>
      <c r="J1027" t="s">
        <v>21</v>
      </c>
      <c r="K1027">
        <v>4851.45</v>
      </c>
    </row>
    <row r="1028" spans="1:11" x14ac:dyDescent="0.25">
      <c r="A1028" t="s">
        <v>2063</v>
      </c>
      <c r="B1028" s="1">
        <v>45392</v>
      </c>
      <c r="C1028" t="s">
        <v>2064</v>
      </c>
      <c r="D1028" t="s">
        <v>20</v>
      </c>
      <c r="E1028" t="s">
        <v>3988</v>
      </c>
      <c r="F1028" t="s">
        <v>3990</v>
      </c>
      <c r="G1028">
        <v>3</v>
      </c>
      <c r="H1028">
        <v>814.12</v>
      </c>
      <c r="I1028">
        <v>20</v>
      </c>
      <c r="J1028" t="s">
        <v>17</v>
      </c>
      <c r="K1028">
        <v>1953.89</v>
      </c>
    </row>
    <row r="1029" spans="1:11" x14ac:dyDescent="0.25">
      <c r="A1029" t="s">
        <v>2065</v>
      </c>
      <c r="B1029" s="1">
        <v>45597</v>
      </c>
      <c r="C1029" t="s">
        <v>2066</v>
      </c>
      <c r="D1029" t="s">
        <v>13</v>
      </c>
      <c r="E1029" t="s">
        <v>3272</v>
      </c>
      <c r="F1029" t="s">
        <v>4561</v>
      </c>
      <c r="G1029">
        <v>3</v>
      </c>
      <c r="H1029">
        <v>1335.27</v>
      </c>
      <c r="I1029">
        <v>0</v>
      </c>
      <c r="J1029" t="s">
        <v>39</v>
      </c>
      <c r="K1029">
        <v>4005.81</v>
      </c>
    </row>
    <row r="1030" spans="1:11" x14ac:dyDescent="0.25">
      <c r="A1030" t="s">
        <v>2067</v>
      </c>
      <c r="B1030" s="1">
        <v>45676</v>
      </c>
      <c r="C1030" t="s">
        <v>2068</v>
      </c>
      <c r="D1030" t="s">
        <v>24</v>
      </c>
      <c r="E1030" t="s">
        <v>29</v>
      </c>
      <c r="F1030" t="s">
        <v>4307</v>
      </c>
      <c r="G1030">
        <v>4</v>
      </c>
      <c r="H1030">
        <v>262.33999999999997</v>
      </c>
      <c r="I1030">
        <v>5</v>
      </c>
      <c r="J1030" t="s">
        <v>14</v>
      </c>
      <c r="K1030">
        <v>996.89</v>
      </c>
    </row>
    <row r="1031" spans="1:11" x14ac:dyDescent="0.25">
      <c r="A1031" t="s">
        <v>2069</v>
      </c>
      <c r="B1031" s="1">
        <v>45855</v>
      </c>
      <c r="C1031" t="s">
        <v>2070</v>
      </c>
      <c r="D1031" t="s">
        <v>20</v>
      </c>
      <c r="E1031" t="s">
        <v>3988</v>
      </c>
      <c r="F1031" t="s">
        <v>4412</v>
      </c>
      <c r="G1031">
        <v>2</v>
      </c>
      <c r="H1031">
        <v>1291.25</v>
      </c>
      <c r="I1031">
        <v>15</v>
      </c>
      <c r="J1031" t="s">
        <v>17</v>
      </c>
      <c r="K1031">
        <v>2195.12</v>
      </c>
    </row>
    <row r="1032" spans="1:11" x14ac:dyDescent="0.25">
      <c r="A1032" t="s">
        <v>2071</v>
      </c>
      <c r="B1032" s="1">
        <v>45441</v>
      </c>
      <c r="C1032" t="s">
        <v>2072</v>
      </c>
      <c r="D1032" t="s">
        <v>13</v>
      </c>
      <c r="E1032" t="s">
        <v>3988</v>
      </c>
      <c r="F1032" t="s">
        <v>4634</v>
      </c>
      <c r="G1032">
        <v>2</v>
      </c>
      <c r="H1032">
        <v>1021.56</v>
      </c>
      <c r="I1032">
        <v>15</v>
      </c>
      <c r="J1032" t="s">
        <v>14</v>
      </c>
      <c r="K1032">
        <v>1736.65</v>
      </c>
    </row>
    <row r="1033" spans="1:11" x14ac:dyDescent="0.25">
      <c r="A1033" t="s">
        <v>2073</v>
      </c>
      <c r="B1033" s="1">
        <v>45458</v>
      </c>
      <c r="C1033" t="s">
        <v>2074</v>
      </c>
      <c r="D1033" t="s">
        <v>24</v>
      </c>
      <c r="E1033" t="s">
        <v>3988</v>
      </c>
      <c r="F1033" t="s">
        <v>4246</v>
      </c>
      <c r="G1033">
        <v>1</v>
      </c>
      <c r="H1033">
        <v>843.01</v>
      </c>
      <c r="I1033">
        <v>0</v>
      </c>
      <c r="J1033" t="s">
        <v>21</v>
      </c>
      <c r="K1033">
        <v>843.01</v>
      </c>
    </row>
    <row r="1034" spans="1:11" x14ac:dyDescent="0.25">
      <c r="A1034" t="s">
        <v>2075</v>
      </c>
      <c r="B1034" s="1">
        <v>45705</v>
      </c>
      <c r="C1034" t="s">
        <v>2076</v>
      </c>
      <c r="D1034" t="s">
        <v>36</v>
      </c>
      <c r="E1034" t="s">
        <v>3272</v>
      </c>
      <c r="F1034" t="s">
        <v>4362</v>
      </c>
      <c r="G1034">
        <v>5</v>
      </c>
      <c r="H1034">
        <v>1908.39</v>
      </c>
      <c r="I1034">
        <v>20</v>
      </c>
      <c r="J1034" t="s">
        <v>21</v>
      </c>
      <c r="K1034">
        <v>7633.56</v>
      </c>
    </row>
    <row r="1035" spans="1:11" x14ac:dyDescent="0.25">
      <c r="A1035" t="s">
        <v>2077</v>
      </c>
      <c r="B1035" s="1">
        <v>45304</v>
      </c>
      <c r="C1035" t="s">
        <v>2078</v>
      </c>
      <c r="D1035" t="s">
        <v>13</v>
      </c>
      <c r="E1035" t="s">
        <v>3988</v>
      </c>
      <c r="F1035" t="s">
        <v>4384</v>
      </c>
      <c r="G1035">
        <v>4</v>
      </c>
      <c r="H1035">
        <v>1068.95</v>
      </c>
      <c r="I1035">
        <v>5</v>
      </c>
      <c r="J1035" t="s">
        <v>39</v>
      </c>
      <c r="K1035">
        <v>4062.01</v>
      </c>
    </row>
    <row r="1036" spans="1:11" x14ac:dyDescent="0.25">
      <c r="A1036" t="s">
        <v>2079</v>
      </c>
      <c r="B1036" s="1">
        <v>45209</v>
      </c>
      <c r="C1036" t="s">
        <v>2080</v>
      </c>
      <c r="D1036" t="s">
        <v>13</v>
      </c>
      <c r="E1036" t="s">
        <v>3988</v>
      </c>
      <c r="F1036" t="s">
        <v>4388</v>
      </c>
      <c r="G1036">
        <v>2</v>
      </c>
      <c r="H1036">
        <v>477.28</v>
      </c>
      <c r="I1036">
        <v>0</v>
      </c>
      <c r="J1036" t="s">
        <v>14</v>
      </c>
      <c r="K1036">
        <v>954.56</v>
      </c>
    </row>
    <row r="1037" spans="1:11" x14ac:dyDescent="0.25">
      <c r="A1037" t="s">
        <v>2081</v>
      </c>
      <c r="B1037" s="1">
        <v>45609</v>
      </c>
      <c r="C1037" t="s">
        <v>2082</v>
      </c>
      <c r="D1037" t="s">
        <v>36</v>
      </c>
      <c r="E1037" t="s">
        <v>3272</v>
      </c>
      <c r="F1037" t="s">
        <v>4340</v>
      </c>
      <c r="G1037">
        <v>3</v>
      </c>
      <c r="H1037">
        <v>944.98</v>
      </c>
      <c r="I1037">
        <v>20</v>
      </c>
      <c r="J1037" t="s">
        <v>17</v>
      </c>
      <c r="K1037">
        <v>2267.9499999999998</v>
      </c>
    </row>
    <row r="1038" spans="1:11" x14ac:dyDescent="0.25">
      <c r="A1038" t="s">
        <v>2083</v>
      </c>
      <c r="B1038" s="1">
        <v>45686</v>
      </c>
      <c r="C1038" t="s">
        <v>2084</v>
      </c>
      <c r="D1038" t="s">
        <v>36</v>
      </c>
      <c r="E1038" t="s">
        <v>3272</v>
      </c>
      <c r="F1038" t="s">
        <v>4419</v>
      </c>
      <c r="G1038">
        <v>7</v>
      </c>
      <c r="H1038">
        <v>1842.81</v>
      </c>
      <c r="I1038">
        <v>5</v>
      </c>
      <c r="J1038" t="s">
        <v>17</v>
      </c>
      <c r="K1038">
        <v>12254.69</v>
      </c>
    </row>
    <row r="1039" spans="1:11" x14ac:dyDescent="0.25">
      <c r="A1039" t="s">
        <v>2085</v>
      </c>
      <c r="B1039" s="1">
        <v>45795</v>
      </c>
      <c r="C1039" t="s">
        <v>2086</v>
      </c>
      <c r="D1039" t="s">
        <v>20</v>
      </c>
      <c r="E1039" t="s">
        <v>3988</v>
      </c>
      <c r="F1039" t="s">
        <v>4342</v>
      </c>
      <c r="G1039">
        <v>7</v>
      </c>
      <c r="H1039">
        <v>393.39</v>
      </c>
      <c r="I1039">
        <v>15</v>
      </c>
      <c r="J1039" t="s">
        <v>21</v>
      </c>
      <c r="K1039">
        <v>2340.67</v>
      </c>
    </row>
    <row r="1040" spans="1:11" x14ac:dyDescent="0.25">
      <c r="A1040" t="s">
        <v>2087</v>
      </c>
      <c r="B1040" s="1">
        <v>45637</v>
      </c>
      <c r="C1040" t="s">
        <v>2088</v>
      </c>
      <c r="D1040" t="s">
        <v>13</v>
      </c>
      <c r="E1040" t="s">
        <v>3272</v>
      </c>
      <c r="F1040" t="s">
        <v>4101</v>
      </c>
      <c r="G1040">
        <v>4</v>
      </c>
      <c r="H1040">
        <v>467.22</v>
      </c>
      <c r="I1040">
        <v>5</v>
      </c>
      <c r="J1040" t="s">
        <v>14</v>
      </c>
      <c r="K1040">
        <v>1775.44</v>
      </c>
    </row>
    <row r="1041" spans="1:11" x14ac:dyDescent="0.25">
      <c r="A1041" t="s">
        <v>2089</v>
      </c>
      <c r="B1041" s="1">
        <v>45338</v>
      </c>
      <c r="C1041" t="s">
        <v>2090</v>
      </c>
      <c r="D1041" t="s">
        <v>36</v>
      </c>
      <c r="E1041" t="s">
        <v>3988</v>
      </c>
      <c r="F1041" t="s">
        <v>4373</v>
      </c>
      <c r="G1041">
        <v>5</v>
      </c>
      <c r="H1041">
        <v>75.41</v>
      </c>
      <c r="I1041">
        <v>10</v>
      </c>
      <c r="J1041" t="s">
        <v>14</v>
      </c>
      <c r="K1041">
        <v>339.34</v>
      </c>
    </row>
    <row r="1042" spans="1:11" x14ac:dyDescent="0.25">
      <c r="A1042" t="s">
        <v>2091</v>
      </c>
      <c r="B1042" s="1">
        <v>45229</v>
      </c>
      <c r="C1042" t="s">
        <v>2092</v>
      </c>
      <c r="D1042" t="s">
        <v>24</v>
      </c>
      <c r="E1042" t="s">
        <v>29</v>
      </c>
      <c r="F1042" t="s">
        <v>4051</v>
      </c>
      <c r="G1042">
        <v>5</v>
      </c>
      <c r="H1042">
        <v>77.67</v>
      </c>
      <c r="I1042">
        <v>5</v>
      </c>
      <c r="J1042" t="s">
        <v>21</v>
      </c>
      <c r="K1042">
        <v>368.93</v>
      </c>
    </row>
    <row r="1043" spans="1:11" x14ac:dyDescent="0.25">
      <c r="A1043" t="s">
        <v>2093</v>
      </c>
      <c r="B1043" s="1">
        <v>45691</v>
      </c>
      <c r="C1043" t="s">
        <v>2094</v>
      </c>
      <c r="D1043" t="s">
        <v>13</v>
      </c>
      <c r="E1043" t="s">
        <v>3988</v>
      </c>
      <c r="F1043" t="s">
        <v>4635</v>
      </c>
      <c r="G1043">
        <v>6</v>
      </c>
      <c r="H1043">
        <v>1667.31</v>
      </c>
      <c r="I1043">
        <v>10</v>
      </c>
      <c r="J1043" t="s">
        <v>17</v>
      </c>
      <c r="K1043">
        <v>9003.4699999999993</v>
      </c>
    </row>
    <row r="1044" spans="1:11" x14ac:dyDescent="0.25">
      <c r="A1044" t="s">
        <v>2095</v>
      </c>
      <c r="B1044" s="1">
        <v>45750</v>
      </c>
      <c r="C1044" t="s">
        <v>2096</v>
      </c>
      <c r="D1044" t="s">
        <v>20</v>
      </c>
      <c r="E1044" t="s">
        <v>3988</v>
      </c>
      <c r="F1044" t="s">
        <v>4636</v>
      </c>
      <c r="G1044">
        <v>9</v>
      </c>
      <c r="H1044">
        <v>1477.64</v>
      </c>
      <c r="I1044">
        <v>5</v>
      </c>
      <c r="J1044" t="s">
        <v>21</v>
      </c>
      <c r="K1044">
        <v>12633.82</v>
      </c>
    </row>
    <row r="1045" spans="1:11" x14ac:dyDescent="0.25">
      <c r="A1045" t="s">
        <v>2097</v>
      </c>
      <c r="B1045" s="1">
        <v>45384</v>
      </c>
      <c r="C1045" t="s">
        <v>2098</v>
      </c>
      <c r="D1045" t="s">
        <v>36</v>
      </c>
      <c r="E1045" t="s">
        <v>3272</v>
      </c>
      <c r="F1045" t="s">
        <v>4088</v>
      </c>
      <c r="G1045">
        <v>2</v>
      </c>
      <c r="H1045">
        <v>742.33</v>
      </c>
      <c r="I1045">
        <v>10</v>
      </c>
      <c r="J1045" t="s">
        <v>14</v>
      </c>
      <c r="K1045">
        <v>1336.19</v>
      </c>
    </row>
    <row r="1046" spans="1:11" x14ac:dyDescent="0.25">
      <c r="A1046" t="s">
        <v>2099</v>
      </c>
      <c r="B1046" s="1">
        <v>45810</v>
      </c>
      <c r="C1046" t="s">
        <v>2100</v>
      </c>
      <c r="D1046" t="s">
        <v>13</v>
      </c>
      <c r="E1046" t="s">
        <v>3988</v>
      </c>
      <c r="F1046" t="s">
        <v>4226</v>
      </c>
      <c r="G1046">
        <v>5</v>
      </c>
      <c r="H1046">
        <v>1411.71</v>
      </c>
      <c r="I1046">
        <v>15</v>
      </c>
      <c r="J1046" t="s">
        <v>17</v>
      </c>
      <c r="K1046">
        <v>5999.77</v>
      </c>
    </row>
    <row r="1047" spans="1:11" x14ac:dyDescent="0.25">
      <c r="A1047" t="s">
        <v>2101</v>
      </c>
      <c r="B1047" s="1">
        <v>45681</v>
      </c>
      <c r="C1047" t="s">
        <v>2102</v>
      </c>
      <c r="D1047" t="s">
        <v>13</v>
      </c>
      <c r="E1047" t="s">
        <v>3272</v>
      </c>
      <c r="F1047" t="s">
        <v>4637</v>
      </c>
      <c r="G1047">
        <v>3</v>
      </c>
      <c r="H1047">
        <v>820.65</v>
      </c>
      <c r="I1047">
        <v>20</v>
      </c>
      <c r="J1047" t="s">
        <v>21</v>
      </c>
      <c r="K1047">
        <v>1969.56</v>
      </c>
    </row>
    <row r="1048" spans="1:11" x14ac:dyDescent="0.25">
      <c r="A1048" t="s">
        <v>2103</v>
      </c>
      <c r="B1048" s="1">
        <v>45616</v>
      </c>
      <c r="C1048" t="s">
        <v>2104</v>
      </c>
      <c r="D1048" t="s">
        <v>36</v>
      </c>
      <c r="E1048" t="s">
        <v>3988</v>
      </c>
      <c r="F1048" t="s">
        <v>4638</v>
      </c>
      <c r="G1048">
        <v>4</v>
      </c>
      <c r="H1048">
        <v>1908.15</v>
      </c>
      <c r="I1048">
        <v>10</v>
      </c>
      <c r="J1048" t="s">
        <v>14</v>
      </c>
      <c r="K1048">
        <v>6869.34</v>
      </c>
    </row>
    <row r="1049" spans="1:11" x14ac:dyDescent="0.25">
      <c r="A1049" t="s">
        <v>2105</v>
      </c>
      <c r="B1049" s="1">
        <v>45775</v>
      </c>
      <c r="C1049" t="s">
        <v>2106</v>
      </c>
      <c r="D1049" t="s">
        <v>36</v>
      </c>
      <c r="E1049" t="s">
        <v>29</v>
      </c>
      <c r="F1049" t="s">
        <v>4639</v>
      </c>
      <c r="G1049">
        <v>6</v>
      </c>
      <c r="H1049">
        <v>1935.75</v>
      </c>
      <c r="I1049">
        <v>10</v>
      </c>
      <c r="J1049" t="s">
        <v>14</v>
      </c>
      <c r="K1049">
        <v>10453.049999999999</v>
      </c>
    </row>
    <row r="1050" spans="1:11" x14ac:dyDescent="0.25">
      <c r="A1050" t="s">
        <v>2107</v>
      </c>
      <c r="B1050" s="1">
        <v>45244</v>
      </c>
      <c r="C1050" t="s">
        <v>2108</v>
      </c>
      <c r="D1050" t="s">
        <v>36</v>
      </c>
      <c r="E1050" t="s">
        <v>29</v>
      </c>
      <c r="F1050" t="s">
        <v>4081</v>
      </c>
      <c r="G1050">
        <v>8</v>
      </c>
      <c r="H1050">
        <v>815.95</v>
      </c>
      <c r="I1050">
        <v>15</v>
      </c>
      <c r="J1050" t="s">
        <v>39</v>
      </c>
      <c r="K1050">
        <v>5548.46</v>
      </c>
    </row>
    <row r="1051" spans="1:11" x14ac:dyDescent="0.25">
      <c r="A1051" t="s">
        <v>2109</v>
      </c>
      <c r="B1051" s="1">
        <v>45768</v>
      </c>
      <c r="C1051" t="s">
        <v>2110</v>
      </c>
      <c r="D1051" t="s">
        <v>13</v>
      </c>
      <c r="E1051" t="s">
        <v>29</v>
      </c>
      <c r="F1051" t="s">
        <v>4528</v>
      </c>
      <c r="G1051">
        <v>1</v>
      </c>
      <c r="H1051">
        <v>1715.73</v>
      </c>
      <c r="I1051">
        <v>10</v>
      </c>
      <c r="J1051" t="s">
        <v>39</v>
      </c>
      <c r="K1051">
        <v>1544.16</v>
      </c>
    </row>
    <row r="1052" spans="1:11" x14ac:dyDescent="0.25">
      <c r="A1052" t="s">
        <v>2111</v>
      </c>
      <c r="B1052" s="1">
        <v>45589</v>
      </c>
      <c r="C1052" t="s">
        <v>2112</v>
      </c>
      <c r="D1052" t="s">
        <v>36</v>
      </c>
      <c r="E1052" t="s">
        <v>3988</v>
      </c>
      <c r="F1052" t="s">
        <v>4209</v>
      </c>
      <c r="G1052">
        <v>8</v>
      </c>
      <c r="H1052">
        <v>1557.52</v>
      </c>
      <c r="I1052">
        <v>0</v>
      </c>
      <c r="J1052" t="s">
        <v>21</v>
      </c>
      <c r="K1052">
        <v>12460.16</v>
      </c>
    </row>
    <row r="1053" spans="1:11" x14ac:dyDescent="0.25">
      <c r="A1053" t="s">
        <v>2113</v>
      </c>
      <c r="B1053" s="1">
        <v>45757</v>
      </c>
      <c r="C1053" t="s">
        <v>2114</v>
      </c>
      <c r="D1053" t="s">
        <v>36</v>
      </c>
      <c r="E1053" t="s">
        <v>3988</v>
      </c>
      <c r="F1053" t="s">
        <v>4640</v>
      </c>
      <c r="G1053">
        <v>7</v>
      </c>
      <c r="H1053">
        <v>654.5</v>
      </c>
      <c r="I1053">
        <v>15</v>
      </c>
      <c r="J1053" t="s">
        <v>17</v>
      </c>
      <c r="K1053">
        <v>3894.28</v>
      </c>
    </row>
    <row r="1054" spans="1:11" x14ac:dyDescent="0.25">
      <c r="A1054" t="s">
        <v>2115</v>
      </c>
      <c r="B1054" s="1">
        <v>45181</v>
      </c>
      <c r="C1054" t="s">
        <v>2116</v>
      </c>
      <c r="D1054" t="s">
        <v>13</v>
      </c>
      <c r="E1054" t="s">
        <v>3988</v>
      </c>
      <c r="F1054" t="s">
        <v>4641</v>
      </c>
      <c r="G1054">
        <v>1</v>
      </c>
      <c r="H1054">
        <v>502.48</v>
      </c>
      <c r="I1054">
        <v>0</v>
      </c>
      <c r="J1054" t="s">
        <v>17</v>
      </c>
      <c r="K1054">
        <v>502.48</v>
      </c>
    </row>
    <row r="1055" spans="1:11" x14ac:dyDescent="0.25">
      <c r="A1055" t="s">
        <v>2117</v>
      </c>
      <c r="B1055" s="1">
        <v>45419</v>
      </c>
      <c r="C1055" t="s">
        <v>2118</v>
      </c>
      <c r="D1055" t="s">
        <v>13</v>
      </c>
      <c r="E1055" t="s">
        <v>3988</v>
      </c>
      <c r="F1055" t="s">
        <v>4449</v>
      </c>
      <c r="G1055">
        <v>2</v>
      </c>
      <c r="H1055">
        <v>943.56</v>
      </c>
      <c r="I1055">
        <v>15</v>
      </c>
      <c r="J1055" t="s">
        <v>39</v>
      </c>
      <c r="K1055">
        <v>1604.05</v>
      </c>
    </row>
    <row r="1056" spans="1:11" x14ac:dyDescent="0.25">
      <c r="A1056" t="s">
        <v>2119</v>
      </c>
      <c r="B1056" s="1">
        <v>45563</v>
      </c>
      <c r="C1056" t="s">
        <v>2120</v>
      </c>
      <c r="D1056" t="s">
        <v>20</v>
      </c>
      <c r="E1056" t="s">
        <v>3988</v>
      </c>
      <c r="F1056" t="s">
        <v>4185</v>
      </c>
      <c r="G1056">
        <v>3</v>
      </c>
      <c r="H1056">
        <v>1573.63</v>
      </c>
      <c r="I1056">
        <v>10</v>
      </c>
      <c r="J1056" t="s">
        <v>14</v>
      </c>
      <c r="K1056">
        <v>4248.8</v>
      </c>
    </row>
    <row r="1057" spans="1:11" x14ac:dyDescent="0.25">
      <c r="A1057" t="s">
        <v>2121</v>
      </c>
      <c r="B1057" s="1">
        <v>45482</v>
      </c>
      <c r="C1057" t="s">
        <v>2122</v>
      </c>
      <c r="D1057" t="s">
        <v>24</v>
      </c>
      <c r="E1057" t="s">
        <v>3272</v>
      </c>
      <c r="F1057" t="s">
        <v>4642</v>
      </c>
      <c r="G1057">
        <v>1</v>
      </c>
      <c r="H1057">
        <v>1922.33</v>
      </c>
      <c r="I1057">
        <v>0</v>
      </c>
      <c r="J1057" t="s">
        <v>39</v>
      </c>
      <c r="K1057">
        <v>1922.33</v>
      </c>
    </row>
    <row r="1058" spans="1:11" x14ac:dyDescent="0.25">
      <c r="A1058" t="s">
        <v>2123</v>
      </c>
      <c r="B1058" s="1">
        <v>45663</v>
      </c>
      <c r="C1058" t="s">
        <v>2124</v>
      </c>
      <c r="D1058" t="s">
        <v>13</v>
      </c>
      <c r="E1058" t="s">
        <v>3272</v>
      </c>
      <c r="F1058" t="s">
        <v>4310</v>
      </c>
      <c r="G1058">
        <v>9</v>
      </c>
      <c r="H1058">
        <v>1538.98</v>
      </c>
      <c r="I1058">
        <v>10</v>
      </c>
      <c r="J1058" t="s">
        <v>21</v>
      </c>
      <c r="K1058">
        <v>12465.74</v>
      </c>
    </row>
    <row r="1059" spans="1:11" x14ac:dyDescent="0.25">
      <c r="A1059" t="s">
        <v>2125</v>
      </c>
      <c r="B1059" s="1">
        <v>45437</v>
      </c>
      <c r="C1059" t="s">
        <v>2126</v>
      </c>
      <c r="D1059" t="s">
        <v>24</v>
      </c>
      <c r="E1059" t="s">
        <v>29</v>
      </c>
      <c r="F1059" t="s">
        <v>4643</v>
      </c>
      <c r="G1059">
        <v>8</v>
      </c>
      <c r="H1059">
        <v>1717.65</v>
      </c>
      <c r="I1059">
        <v>15</v>
      </c>
      <c r="J1059" t="s">
        <v>39</v>
      </c>
      <c r="K1059">
        <v>11680.02</v>
      </c>
    </row>
    <row r="1060" spans="1:11" x14ac:dyDescent="0.25">
      <c r="A1060" t="s">
        <v>2127</v>
      </c>
      <c r="B1060" s="1">
        <v>45203</v>
      </c>
      <c r="C1060" t="s">
        <v>2128</v>
      </c>
      <c r="D1060" t="s">
        <v>20</v>
      </c>
      <c r="E1060" t="s">
        <v>29</v>
      </c>
      <c r="F1060" t="s">
        <v>4644</v>
      </c>
      <c r="G1060">
        <v>2</v>
      </c>
      <c r="H1060">
        <v>1225.98</v>
      </c>
      <c r="I1060">
        <v>10</v>
      </c>
      <c r="J1060" t="s">
        <v>17</v>
      </c>
      <c r="K1060">
        <v>2206.7600000000002</v>
      </c>
    </row>
    <row r="1061" spans="1:11" x14ac:dyDescent="0.25">
      <c r="A1061" t="s">
        <v>2129</v>
      </c>
      <c r="B1061" s="1">
        <v>45542</v>
      </c>
      <c r="C1061" t="s">
        <v>2130</v>
      </c>
      <c r="D1061" t="s">
        <v>20</v>
      </c>
      <c r="E1061" t="s">
        <v>3988</v>
      </c>
      <c r="F1061" t="s">
        <v>4645</v>
      </c>
      <c r="G1061">
        <v>9</v>
      </c>
      <c r="H1061">
        <v>1679.05</v>
      </c>
      <c r="I1061">
        <v>0</v>
      </c>
      <c r="J1061" t="s">
        <v>21</v>
      </c>
      <c r="K1061">
        <v>15111.45</v>
      </c>
    </row>
    <row r="1062" spans="1:11" x14ac:dyDescent="0.25">
      <c r="A1062" t="s">
        <v>2131</v>
      </c>
      <c r="B1062" s="1">
        <v>45652</v>
      </c>
      <c r="C1062" t="s">
        <v>2132</v>
      </c>
      <c r="D1062" t="s">
        <v>36</v>
      </c>
      <c r="E1062" t="s">
        <v>3272</v>
      </c>
      <c r="F1062" t="s">
        <v>4262</v>
      </c>
      <c r="G1062">
        <v>7</v>
      </c>
      <c r="H1062">
        <v>1579.62</v>
      </c>
      <c r="I1062">
        <v>0</v>
      </c>
      <c r="J1062" t="s">
        <v>17</v>
      </c>
      <c r="K1062">
        <v>11057.34</v>
      </c>
    </row>
    <row r="1063" spans="1:11" x14ac:dyDescent="0.25">
      <c r="A1063" t="s">
        <v>2133</v>
      </c>
      <c r="B1063" s="1">
        <v>45415</v>
      </c>
      <c r="C1063" t="s">
        <v>2134</v>
      </c>
      <c r="D1063" t="s">
        <v>20</v>
      </c>
      <c r="E1063" t="s">
        <v>29</v>
      </c>
      <c r="F1063" t="s">
        <v>4124</v>
      </c>
      <c r="G1063">
        <v>9</v>
      </c>
      <c r="H1063">
        <v>785.12</v>
      </c>
      <c r="I1063">
        <v>10</v>
      </c>
      <c r="J1063" t="s">
        <v>21</v>
      </c>
      <c r="K1063">
        <v>6359.47</v>
      </c>
    </row>
    <row r="1064" spans="1:11" x14ac:dyDescent="0.25">
      <c r="A1064" t="s">
        <v>2135</v>
      </c>
      <c r="B1064" s="1">
        <v>45159</v>
      </c>
      <c r="C1064" t="s">
        <v>2136</v>
      </c>
      <c r="D1064" t="s">
        <v>36</v>
      </c>
      <c r="E1064" t="s">
        <v>3988</v>
      </c>
      <c r="F1064" t="s">
        <v>4646</v>
      </c>
      <c r="G1064">
        <v>6</v>
      </c>
      <c r="H1064">
        <v>1126.3800000000001</v>
      </c>
      <c r="I1064">
        <v>5</v>
      </c>
      <c r="J1064" t="s">
        <v>14</v>
      </c>
      <c r="K1064">
        <v>6420.37</v>
      </c>
    </row>
    <row r="1065" spans="1:11" x14ac:dyDescent="0.25">
      <c r="A1065" t="s">
        <v>2137</v>
      </c>
      <c r="B1065" s="1">
        <v>45809</v>
      </c>
      <c r="C1065" t="s">
        <v>2138</v>
      </c>
      <c r="D1065" t="s">
        <v>36</v>
      </c>
      <c r="E1065" t="s">
        <v>3988</v>
      </c>
      <c r="F1065" t="s">
        <v>4020</v>
      </c>
      <c r="G1065">
        <v>6</v>
      </c>
      <c r="H1065">
        <v>1619.27</v>
      </c>
      <c r="I1065">
        <v>15</v>
      </c>
      <c r="J1065" t="s">
        <v>39</v>
      </c>
      <c r="K1065">
        <v>8258.2800000000007</v>
      </c>
    </row>
    <row r="1066" spans="1:11" x14ac:dyDescent="0.25">
      <c r="A1066" t="s">
        <v>2139</v>
      </c>
      <c r="B1066" s="1">
        <v>45476</v>
      </c>
      <c r="C1066" t="s">
        <v>2140</v>
      </c>
      <c r="D1066" t="s">
        <v>13</v>
      </c>
      <c r="E1066" t="s">
        <v>29</v>
      </c>
      <c r="F1066" t="s">
        <v>4647</v>
      </c>
      <c r="G1066">
        <v>4</v>
      </c>
      <c r="H1066">
        <v>139.81</v>
      </c>
      <c r="I1066">
        <v>15</v>
      </c>
      <c r="J1066" t="s">
        <v>17</v>
      </c>
      <c r="K1066">
        <v>475.35</v>
      </c>
    </row>
    <row r="1067" spans="1:11" x14ac:dyDescent="0.25">
      <c r="A1067" t="s">
        <v>2141</v>
      </c>
      <c r="B1067" s="1">
        <v>45788</v>
      </c>
      <c r="C1067" t="s">
        <v>2142</v>
      </c>
      <c r="D1067" t="s">
        <v>13</v>
      </c>
      <c r="E1067" t="s">
        <v>3988</v>
      </c>
      <c r="F1067" t="s">
        <v>4648</v>
      </c>
      <c r="G1067">
        <v>2</v>
      </c>
      <c r="H1067">
        <v>1625.75</v>
      </c>
      <c r="I1067">
        <v>10</v>
      </c>
      <c r="J1067" t="s">
        <v>21</v>
      </c>
      <c r="K1067">
        <v>2926.35</v>
      </c>
    </row>
    <row r="1068" spans="1:11" x14ac:dyDescent="0.25">
      <c r="A1068" t="s">
        <v>2143</v>
      </c>
      <c r="B1068" s="1">
        <v>45530</v>
      </c>
      <c r="C1068" t="s">
        <v>2144</v>
      </c>
      <c r="D1068" t="s">
        <v>24</v>
      </c>
      <c r="E1068" t="s">
        <v>3988</v>
      </c>
      <c r="F1068" t="s">
        <v>4649</v>
      </c>
      <c r="G1068">
        <v>7</v>
      </c>
      <c r="H1068">
        <v>396.88</v>
      </c>
      <c r="I1068">
        <v>5</v>
      </c>
      <c r="J1068" t="s">
        <v>39</v>
      </c>
      <c r="K1068">
        <v>2639.25</v>
      </c>
    </row>
    <row r="1069" spans="1:11" x14ac:dyDescent="0.25">
      <c r="A1069" t="s">
        <v>2145</v>
      </c>
      <c r="B1069" s="1">
        <v>45231</v>
      </c>
      <c r="C1069" t="s">
        <v>2146</v>
      </c>
      <c r="D1069" t="s">
        <v>36</v>
      </c>
      <c r="E1069" t="s">
        <v>29</v>
      </c>
      <c r="F1069" t="s">
        <v>4650</v>
      </c>
      <c r="G1069">
        <v>5</v>
      </c>
      <c r="H1069">
        <v>1053.6300000000001</v>
      </c>
      <c r="I1069">
        <v>0</v>
      </c>
      <c r="J1069" t="s">
        <v>17</v>
      </c>
      <c r="K1069">
        <v>5268.15</v>
      </c>
    </row>
    <row r="1070" spans="1:11" x14ac:dyDescent="0.25">
      <c r="A1070" t="s">
        <v>2147</v>
      </c>
      <c r="B1070" s="1">
        <v>45486</v>
      </c>
      <c r="C1070" t="s">
        <v>2148</v>
      </c>
      <c r="D1070" t="s">
        <v>36</v>
      </c>
      <c r="E1070" t="s">
        <v>3988</v>
      </c>
      <c r="F1070" t="s">
        <v>4486</v>
      </c>
      <c r="G1070">
        <v>6</v>
      </c>
      <c r="H1070">
        <v>1626.14</v>
      </c>
      <c r="I1070">
        <v>20</v>
      </c>
      <c r="J1070" t="s">
        <v>14</v>
      </c>
      <c r="K1070">
        <v>7805.47</v>
      </c>
    </row>
    <row r="1071" spans="1:11" x14ac:dyDescent="0.25">
      <c r="A1071" t="s">
        <v>2149</v>
      </c>
      <c r="B1071" s="1">
        <v>45431</v>
      </c>
      <c r="C1071" t="s">
        <v>2150</v>
      </c>
      <c r="D1071" t="s">
        <v>24</v>
      </c>
      <c r="E1071" t="s">
        <v>3272</v>
      </c>
      <c r="F1071" t="s">
        <v>4215</v>
      </c>
      <c r="G1071">
        <v>2</v>
      </c>
      <c r="H1071">
        <v>544.95000000000005</v>
      </c>
      <c r="I1071">
        <v>20</v>
      </c>
      <c r="J1071" t="s">
        <v>21</v>
      </c>
      <c r="K1071">
        <v>871.92</v>
      </c>
    </row>
    <row r="1072" spans="1:11" x14ac:dyDescent="0.25">
      <c r="A1072" t="s">
        <v>2151</v>
      </c>
      <c r="B1072" s="1">
        <v>45643</v>
      </c>
      <c r="C1072" t="s">
        <v>2152</v>
      </c>
      <c r="D1072" t="s">
        <v>36</v>
      </c>
      <c r="E1072" t="s">
        <v>3988</v>
      </c>
      <c r="F1072" t="s">
        <v>4598</v>
      </c>
      <c r="G1072">
        <v>5</v>
      </c>
      <c r="H1072">
        <v>529.32000000000005</v>
      </c>
      <c r="I1072">
        <v>10</v>
      </c>
      <c r="J1072" t="s">
        <v>17</v>
      </c>
      <c r="K1072">
        <v>2381.94</v>
      </c>
    </row>
    <row r="1073" spans="1:11" x14ac:dyDescent="0.25">
      <c r="A1073" t="s">
        <v>2153</v>
      </c>
      <c r="B1073" s="1">
        <v>45842</v>
      </c>
      <c r="C1073" t="s">
        <v>2154</v>
      </c>
      <c r="D1073" t="s">
        <v>20</v>
      </c>
      <c r="E1073" t="s">
        <v>3988</v>
      </c>
      <c r="F1073" t="s">
        <v>4651</v>
      </c>
      <c r="G1073">
        <v>4</v>
      </c>
      <c r="H1073">
        <v>835.39</v>
      </c>
      <c r="I1073">
        <v>5</v>
      </c>
      <c r="J1073" t="s">
        <v>17</v>
      </c>
      <c r="K1073">
        <v>3174.48</v>
      </c>
    </row>
    <row r="1074" spans="1:11" x14ac:dyDescent="0.25">
      <c r="A1074" t="s">
        <v>2155</v>
      </c>
      <c r="B1074" s="1">
        <v>45793</v>
      </c>
      <c r="C1074" t="s">
        <v>2156</v>
      </c>
      <c r="D1074" t="s">
        <v>36</v>
      </c>
      <c r="E1074" t="s">
        <v>29</v>
      </c>
      <c r="F1074" t="s">
        <v>4049</v>
      </c>
      <c r="G1074">
        <v>9</v>
      </c>
      <c r="H1074">
        <v>1794.55</v>
      </c>
      <c r="I1074">
        <v>5</v>
      </c>
      <c r="J1074" t="s">
        <v>14</v>
      </c>
      <c r="K1074">
        <v>15343.4</v>
      </c>
    </row>
    <row r="1075" spans="1:11" x14ac:dyDescent="0.25">
      <c r="A1075" t="s">
        <v>2157</v>
      </c>
      <c r="B1075" s="1">
        <v>45507</v>
      </c>
      <c r="C1075" t="s">
        <v>2158</v>
      </c>
      <c r="D1075" t="s">
        <v>36</v>
      </c>
      <c r="E1075" t="s">
        <v>29</v>
      </c>
      <c r="F1075" t="s">
        <v>4387</v>
      </c>
      <c r="G1075">
        <v>6</v>
      </c>
      <c r="H1075">
        <v>50.86</v>
      </c>
      <c r="I1075">
        <v>15</v>
      </c>
      <c r="J1075" t="s">
        <v>21</v>
      </c>
      <c r="K1075">
        <v>259.39</v>
      </c>
    </row>
    <row r="1076" spans="1:11" x14ac:dyDescent="0.25">
      <c r="A1076" t="s">
        <v>2159</v>
      </c>
      <c r="B1076" s="1">
        <v>45699</v>
      </c>
      <c r="C1076" t="s">
        <v>2160</v>
      </c>
      <c r="D1076" t="s">
        <v>36</v>
      </c>
      <c r="E1076" t="s">
        <v>3988</v>
      </c>
      <c r="F1076" t="s">
        <v>4516</v>
      </c>
      <c r="G1076">
        <v>2</v>
      </c>
      <c r="H1076">
        <v>1807.7</v>
      </c>
      <c r="I1076">
        <v>0</v>
      </c>
      <c r="J1076" t="s">
        <v>39</v>
      </c>
      <c r="K1076">
        <v>3615.4</v>
      </c>
    </row>
    <row r="1077" spans="1:11" x14ac:dyDescent="0.25">
      <c r="A1077" t="s">
        <v>2161</v>
      </c>
      <c r="B1077" s="1">
        <v>45268</v>
      </c>
      <c r="C1077" t="s">
        <v>2162</v>
      </c>
      <c r="D1077" t="s">
        <v>13</v>
      </c>
      <c r="E1077" t="s">
        <v>29</v>
      </c>
      <c r="F1077" t="s">
        <v>4652</v>
      </c>
      <c r="G1077">
        <v>1</v>
      </c>
      <c r="H1077">
        <v>349.92</v>
      </c>
      <c r="I1077">
        <v>5</v>
      </c>
      <c r="J1077" t="s">
        <v>17</v>
      </c>
      <c r="K1077">
        <v>332.42</v>
      </c>
    </row>
    <row r="1078" spans="1:11" x14ac:dyDescent="0.25">
      <c r="A1078" t="s">
        <v>2163</v>
      </c>
      <c r="B1078" s="1">
        <v>45488</v>
      </c>
      <c r="C1078" t="s">
        <v>2164</v>
      </c>
      <c r="D1078" t="s">
        <v>20</v>
      </c>
      <c r="E1078" t="s">
        <v>3988</v>
      </c>
      <c r="F1078" t="s">
        <v>4653</v>
      </c>
      <c r="G1078">
        <v>5</v>
      </c>
      <c r="H1078">
        <v>1980.67</v>
      </c>
      <c r="I1078">
        <v>20</v>
      </c>
      <c r="J1078" t="s">
        <v>21</v>
      </c>
      <c r="K1078">
        <v>7922.68</v>
      </c>
    </row>
    <row r="1079" spans="1:11" x14ac:dyDescent="0.25">
      <c r="A1079" t="s">
        <v>2165</v>
      </c>
      <c r="B1079" s="1">
        <v>45286</v>
      </c>
      <c r="C1079" t="s">
        <v>2166</v>
      </c>
      <c r="D1079" t="s">
        <v>36</v>
      </c>
      <c r="E1079" t="s">
        <v>3272</v>
      </c>
      <c r="F1079" t="s">
        <v>4457</v>
      </c>
      <c r="G1079">
        <v>9</v>
      </c>
      <c r="H1079">
        <v>1911.95</v>
      </c>
      <c r="I1079">
        <v>0</v>
      </c>
      <c r="J1079" t="s">
        <v>21</v>
      </c>
      <c r="K1079">
        <v>17207.55</v>
      </c>
    </row>
    <row r="1080" spans="1:11" x14ac:dyDescent="0.25">
      <c r="A1080" t="s">
        <v>2167</v>
      </c>
      <c r="B1080" s="1">
        <v>45719</v>
      </c>
      <c r="C1080" t="s">
        <v>2168</v>
      </c>
      <c r="D1080" t="s">
        <v>20</v>
      </c>
      <c r="E1080" t="s">
        <v>3272</v>
      </c>
      <c r="F1080" t="s">
        <v>4625</v>
      </c>
      <c r="G1080">
        <v>6</v>
      </c>
      <c r="H1080">
        <v>1014.62</v>
      </c>
      <c r="I1080">
        <v>0</v>
      </c>
      <c r="J1080" t="s">
        <v>14</v>
      </c>
      <c r="K1080">
        <v>6087.72</v>
      </c>
    </row>
    <row r="1081" spans="1:11" x14ac:dyDescent="0.25">
      <c r="A1081" t="s">
        <v>2169</v>
      </c>
      <c r="B1081" s="1">
        <v>45555</v>
      </c>
      <c r="C1081" t="s">
        <v>2170</v>
      </c>
      <c r="D1081" t="s">
        <v>20</v>
      </c>
      <c r="E1081" t="s">
        <v>3272</v>
      </c>
      <c r="F1081" t="s">
        <v>4654</v>
      </c>
      <c r="G1081">
        <v>7</v>
      </c>
      <c r="H1081">
        <v>1049.8</v>
      </c>
      <c r="I1081">
        <v>10</v>
      </c>
      <c r="J1081" t="s">
        <v>17</v>
      </c>
      <c r="K1081">
        <v>6613.74</v>
      </c>
    </row>
    <row r="1082" spans="1:11" x14ac:dyDescent="0.25">
      <c r="A1082" t="s">
        <v>2171</v>
      </c>
      <c r="B1082" s="1">
        <v>45655</v>
      </c>
      <c r="C1082" t="s">
        <v>2172</v>
      </c>
      <c r="D1082" t="s">
        <v>20</v>
      </c>
      <c r="E1082" t="s">
        <v>29</v>
      </c>
      <c r="F1082" t="s">
        <v>4655</v>
      </c>
      <c r="G1082">
        <v>5</v>
      </c>
      <c r="H1082">
        <v>989.02</v>
      </c>
      <c r="I1082">
        <v>5</v>
      </c>
      <c r="J1082" t="s">
        <v>39</v>
      </c>
      <c r="K1082">
        <v>4697.84</v>
      </c>
    </row>
    <row r="1083" spans="1:11" x14ac:dyDescent="0.25">
      <c r="A1083" t="s">
        <v>2173</v>
      </c>
      <c r="B1083" s="1">
        <v>45359</v>
      </c>
      <c r="C1083" t="s">
        <v>2174</v>
      </c>
      <c r="D1083" t="s">
        <v>24</v>
      </c>
      <c r="E1083" t="s">
        <v>3988</v>
      </c>
      <c r="F1083" t="s">
        <v>4656</v>
      </c>
      <c r="G1083">
        <v>6</v>
      </c>
      <c r="H1083">
        <v>1289.1199999999999</v>
      </c>
      <c r="I1083">
        <v>10</v>
      </c>
      <c r="J1083" t="s">
        <v>17</v>
      </c>
      <c r="K1083">
        <v>6961.25</v>
      </c>
    </row>
    <row r="1084" spans="1:11" x14ac:dyDescent="0.25">
      <c r="A1084" t="s">
        <v>2175</v>
      </c>
      <c r="B1084" s="1">
        <v>45628</v>
      </c>
      <c r="C1084" t="s">
        <v>2176</v>
      </c>
      <c r="D1084" t="s">
        <v>36</v>
      </c>
      <c r="E1084" t="s">
        <v>3988</v>
      </c>
      <c r="F1084" t="s">
        <v>4313</v>
      </c>
      <c r="G1084">
        <v>5</v>
      </c>
      <c r="H1084">
        <v>226.91</v>
      </c>
      <c r="I1084">
        <v>5</v>
      </c>
      <c r="J1084" t="s">
        <v>17</v>
      </c>
      <c r="K1084">
        <v>1077.82</v>
      </c>
    </row>
    <row r="1085" spans="1:11" x14ac:dyDescent="0.25">
      <c r="A1085" t="s">
        <v>2177</v>
      </c>
      <c r="B1085" s="1">
        <v>45777</v>
      </c>
      <c r="C1085" t="s">
        <v>2178</v>
      </c>
      <c r="D1085" t="s">
        <v>13</v>
      </c>
      <c r="E1085" t="s">
        <v>3988</v>
      </c>
      <c r="F1085" t="s">
        <v>4653</v>
      </c>
      <c r="G1085">
        <v>9</v>
      </c>
      <c r="H1085">
        <v>113.6</v>
      </c>
      <c r="I1085">
        <v>15</v>
      </c>
      <c r="J1085" t="s">
        <v>39</v>
      </c>
      <c r="K1085">
        <v>869.04</v>
      </c>
    </row>
    <row r="1086" spans="1:11" x14ac:dyDescent="0.25">
      <c r="A1086" t="s">
        <v>2179</v>
      </c>
      <c r="B1086" s="1">
        <v>45864</v>
      </c>
      <c r="C1086" t="s">
        <v>2180</v>
      </c>
      <c r="D1086" t="s">
        <v>13</v>
      </c>
      <c r="E1086" t="s">
        <v>3988</v>
      </c>
      <c r="F1086" t="s">
        <v>4313</v>
      </c>
      <c r="G1086">
        <v>6</v>
      </c>
      <c r="H1086">
        <v>162.52000000000001</v>
      </c>
      <c r="I1086">
        <v>10</v>
      </c>
      <c r="J1086" t="s">
        <v>21</v>
      </c>
      <c r="K1086">
        <v>877.61</v>
      </c>
    </row>
    <row r="1087" spans="1:11" x14ac:dyDescent="0.25">
      <c r="A1087" t="s">
        <v>2181</v>
      </c>
      <c r="B1087" s="1">
        <v>45568</v>
      </c>
      <c r="C1087" t="s">
        <v>2182</v>
      </c>
      <c r="D1087" t="s">
        <v>13</v>
      </c>
      <c r="E1087" t="s">
        <v>3988</v>
      </c>
      <c r="F1087" t="s">
        <v>4653</v>
      </c>
      <c r="G1087">
        <v>8</v>
      </c>
      <c r="H1087">
        <v>916.51</v>
      </c>
      <c r="I1087">
        <v>10</v>
      </c>
      <c r="J1087" t="s">
        <v>17</v>
      </c>
      <c r="K1087">
        <v>6598.87</v>
      </c>
    </row>
    <row r="1088" spans="1:11" x14ac:dyDescent="0.25">
      <c r="A1088" t="s">
        <v>2183</v>
      </c>
      <c r="B1088" s="1">
        <v>45751</v>
      </c>
      <c r="C1088" t="s">
        <v>2184</v>
      </c>
      <c r="D1088" t="s">
        <v>13</v>
      </c>
      <c r="E1088" t="s">
        <v>3988</v>
      </c>
      <c r="F1088" t="s">
        <v>4651</v>
      </c>
      <c r="G1088">
        <v>2</v>
      </c>
      <c r="H1088">
        <v>587.32000000000005</v>
      </c>
      <c r="I1088">
        <v>20</v>
      </c>
      <c r="J1088" t="s">
        <v>21</v>
      </c>
      <c r="K1088">
        <v>939.71</v>
      </c>
    </row>
    <row r="1089" spans="1:11" x14ac:dyDescent="0.25">
      <c r="A1089" t="s">
        <v>2185</v>
      </c>
      <c r="B1089" s="1">
        <v>45525</v>
      </c>
      <c r="C1089" t="s">
        <v>2186</v>
      </c>
      <c r="D1089" t="s">
        <v>36</v>
      </c>
      <c r="E1089" t="s">
        <v>3988</v>
      </c>
      <c r="F1089" t="s">
        <v>4244</v>
      </c>
      <c r="G1089">
        <v>9</v>
      </c>
      <c r="H1089">
        <v>1262.98</v>
      </c>
      <c r="I1089">
        <v>10</v>
      </c>
      <c r="J1089" t="s">
        <v>14</v>
      </c>
      <c r="K1089">
        <v>10230.14</v>
      </c>
    </row>
    <row r="1090" spans="1:11" x14ac:dyDescent="0.25">
      <c r="A1090" t="s">
        <v>2187</v>
      </c>
      <c r="B1090" s="1">
        <v>45511</v>
      </c>
      <c r="C1090" t="s">
        <v>2188</v>
      </c>
      <c r="D1090" t="s">
        <v>13</v>
      </c>
      <c r="E1090" t="s">
        <v>29</v>
      </c>
      <c r="F1090" t="s">
        <v>4456</v>
      </c>
      <c r="G1090">
        <v>5</v>
      </c>
      <c r="H1090">
        <v>1985.26</v>
      </c>
      <c r="I1090">
        <v>5</v>
      </c>
      <c r="J1090" t="s">
        <v>21</v>
      </c>
      <c r="K1090">
        <v>9429.98</v>
      </c>
    </row>
    <row r="1091" spans="1:11" x14ac:dyDescent="0.25">
      <c r="A1091" t="s">
        <v>2189</v>
      </c>
      <c r="B1091" s="1">
        <v>45488</v>
      </c>
      <c r="C1091" t="s">
        <v>2190</v>
      </c>
      <c r="D1091" t="s">
        <v>20</v>
      </c>
      <c r="E1091" t="s">
        <v>3272</v>
      </c>
      <c r="F1091" t="s">
        <v>4617</v>
      </c>
      <c r="G1091">
        <v>7</v>
      </c>
      <c r="H1091">
        <v>803.33</v>
      </c>
      <c r="I1091">
        <v>20</v>
      </c>
      <c r="J1091" t="s">
        <v>39</v>
      </c>
      <c r="K1091">
        <v>4498.6499999999996</v>
      </c>
    </row>
    <row r="1092" spans="1:11" x14ac:dyDescent="0.25">
      <c r="A1092" t="s">
        <v>2191</v>
      </c>
      <c r="B1092" s="1">
        <v>45791</v>
      </c>
      <c r="C1092" t="s">
        <v>2192</v>
      </c>
      <c r="D1092" t="s">
        <v>24</v>
      </c>
      <c r="E1092" t="s">
        <v>3988</v>
      </c>
      <c r="F1092" t="s">
        <v>4657</v>
      </c>
      <c r="G1092">
        <v>1</v>
      </c>
      <c r="H1092">
        <v>1168.99</v>
      </c>
      <c r="I1092">
        <v>10</v>
      </c>
      <c r="J1092" t="s">
        <v>39</v>
      </c>
      <c r="K1092">
        <v>1052.0899999999999</v>
      </c>
    </row>
    <row r="1093" spans="1:11" x14ac:dyDescent="0.25">
      <c r="A1093" t="s">
        <v>2193</v>
      </c>
      <c r="B1093" s="1">
        <v>45717</v>
      </c>
      <c r="C1093" t="s">
        <v>2194</v>
      </c>
      <c r="D1093" t="s">
        <v>13</v>
      </c>
      <c r="E1093" t="s">
        <v>3988</v>
      </c>
      <c r="F1093" t="s">
        <v>4599</v>
      </c>
      <c r="G1093">
        <v>5</v>
      </c>
      <c r="H1093">
        <v>860.43</v>
      </c>
      <c r="I1093">
        <v>10</v>
      </c>
      <c r="J1093" t="s">
        <v>14</v>
      </c>
      <c r="K1093">
        <v>3871.94</v>
      </c>
    </row>
    <row r="1094" spans="1:11" x14ac:dyDescent="0.25">
      <c r="A1094" t="s">
        <v>2195</v>
      </c>
      <c r="B1094" s="1">
        <v>45610</v>
      </c>
      <c r="C1094" t="s">
        <v>2196</v>
      </c>
      <c r="D1094" t="s">
        <v>20</v>
      </c>
      <c r="E1094" t="s">
        <v>29</v>
      </c>
      <c r="F1094" t="s">
        <v>4314</v>
      </c>
      <c r="G1094">
        <v>2</v>
      </c>
      <c r="H1094">
        <v>1702.18</v>
      </c>
      <c r="I1094">
        <v>15</v>
      </c>
      <c r="J1094" t="s">
        <v>21</v>
      </c>
      <c r="K1094">
        <v>2893.71</v>
      </c>
    </row>
    <row r="1095" spans="1:11" x14ac:dyDescent="0.25">
      <c r="A1095" t="s">
        <v>2197</v>
      </c>
      <c r="B1095" s="1">
        <v>45358</v>
      </c>
      <c r="C1095" t="s">
        <v>2198</v>
      </c>
      <c r="D1095" t="s">
        <v>13</v>
      </c>
      <c r="E1095" t="s">
        <v>3988</v>
      </c>
      <c r="F1095" t="s">
        <v>4112</v>
      </c>
      <c r="G1095">
        <v>6</v>
      </c>
      <c r="H1095">
        <v>1809.36</v>
      </c>
      <c r="I1095">
        <v>10</v>
      </c>
      <c r="J1095" t="s">
        <v>17</v>
      </c>
      <c r="K1095">
        <v>9770.5400000000009</v>
      </c>
    </row>
    <row r="1096" spans="1:11" x14ac:dyDescent="0.25">
      <c r="A1096" t="s">
        <v>2199</v>
      </c>
      <c r="B1096" s="1">
        <v>45400</v>
      </c>
      <c r="C1096" t="s">
        <v>2200</v>
      </c>
      <c r="D1096" t="s">
        <v>36</v>
      </c>
      <c r="E1096" t="s">
        <v>3988</v>
      </c>
      <c r="F1096" t="s">
        <v>4402</v>
      </c>
      <c r="G1096">
        <v>1</v>
      </c>
      <c r="H1096">
        <v>1760.84</v>
      </c>
      <c r="I1096">
        <v>0</v>
      </c>
      <c r="J1096" t="s">
        <v>14</v>
      </c>
      <c r="K1096">
        <v>1760.84</v>
      </c>
    </row>
    <row r="1097" spans="1:11" x14ac:dyDescent="0.25">
      <c r="A1097" t="s">
        <v>2201</v>
      </c>
      <c r="B1097" s="1">
        <v>45811</v>
      </c>
      <c r="C1097" t="s">
        <v>2202</v>
      </c>
      <c r="D1097" t="s">
        <v>20</v>
      </c>
      <c r="E1097" t="s">
        <v>3272</v>
      </c>
      <c r="F1097" t="s">
        <v>4324</v>
      </c>
      <c r="G1097">
        <v>3</v>
      </c>
      <c r="H1097">
        <v>1950.03</v>
      </c>
      <c r="I1097">
        <v>20</v>
      </c>
      <c r="J1097" t="s">
        <v>39</v>
      </c>
      <c r="K1097">
        <v>4680.07</v>
      </c>
    </row>
    <row r="1098" spans="1:11" x14ac:dyDescent="0.25">
      <c r="A1098" t="s">
        <v>2203</v>
      </c>
      <c r="B1098" s="1">
        <v>45340</v>
      </c>
      <c r="C1098" t="s">
        <v>2204</v>
      </c>
      <c r="D1098" t="s">
        <v>36</v>
      </c>
      <c r="E1098" t="s">
        <v>3272</v>
      </c>
      <c r="F1098" t="s">
        <v>4108</v>
      </c>
      <c r="G1098">
        <v>5</v>
      </c>
      <c r="H1098">
        <v>103.66</v>
      </c>
      <c r="I1098">
        <v>0</v>
      </c>
      <c r="J1098" t="s">
        <v>21</v>
      </c>
      <c r="K1098">
        <v>518.29999999999995</v>
      </c>
    </row>
    <row r="1099" spans="1:11" x14ac:dyDescent="0.25">
      <c r="A1099" t="s">
        <v>2205</v>
      </c>
      <c r="B1099" s="1">
        <v>45795</v>
      </c>
      <c r="C1099" t="s">
        <v>2206</v>
      </c>
      <c r="D1099" t="s">
        <v>13</v>
      </c>
      <c r="E1099" t="s">
        <v>3988</v>
      </c>
      <c r="F1099" t="s">
        <v>4658</v>
      </c>
      <c r="G1099">
        <v>4</v>
      </c>
      <c r="H1099">
        <v>1687.64</v>
      </c>
      <c r="I1099">
        <v>20</v>
      </c>
      <c r="J1099" t="s">
        <v>39</v>
      </c>
      <c r="K1099">
        <v>5400.45</v>
      </c>
    </row>
    <row r="1100" spans="1:11" x14ac:dyDescent="0.25">
      <c r="A1100" t="s">
        <v>2207</v>
      </c>
      <c r="B1100" s="1">
        <v>45875</v>
      </c>
      <c r="C1100" t="s">
        <v>2208</v>
      </c>
      <c r="D1100" t="s">
        <v>20</v>
      </c>
      <c r="E1100" t="s">
        <v>3272</v>
      </c>
      <c r="F1100" t="s">
        <v>4011</v>
      </c>
      <c r="G1100">
        <v>3</v>
      </c>
      <c r="H1100">
        <v>1515.96</v>
      </c>
      <c r="I1100">
        <v>15</v>
      </c>
      <c r="J1100" t="s">
        <v>17</v>
      </c>
      <c r="K1100">
        <v>3865.7</v>
      </c>
    </row>
    <row r="1101" spans="1:11" x14ac:dyDescent="0.25">
      <c r="A1101" t="s">
        <v>2209</v>
      </c>
      <c r="B1101" s="1">
        <v>45217</v>
      </c>
      <c r="C1101" t="s">
        <v>2210</v>
      </c>
      <c r="D1101" t="s">
        <v>20</v>
      </c>
      <c r="E1101" t="s">
        <v>29</v>
      </c>
      <c r="F1101" t="s">
        <v>4659</v>
      </c>
      <c r="G1101">
        <v>5</v>
      </c>
      <c r="H1101">
        <v>495.95</v>
      </c>
      <c r="I1101">
        <v>10</v>
      </c>
      <c r="J1101" t="s">
        <v>14</v>
      </c>
      <c r="K1101">
        <v>2231.7800000000002</v>
      </c>
    </row>
    <row r="1102" spans="1:11" x14ac:dyDescent="0.25">
      <c r="A1102" t="s">
        <v>2211</v>
      </c>
      <c r="B1102" s="1">
        <v>45366</v>
      </c>
      <c r="C1102" t="s">
        <v>2212</v>
      </c>
      <c r="D1102" t="s">
        <v>20</v>
      </c>
      <c r="E1102" t="s">
        <v>29</v>
      </c>
      <c r="F1102" t="s">
        <v>4465</v>
      </c>
      <c r="G1102">
        <v>8</v>
      </c>
      <c r="H1102">
        <v>1914.82</v>
      </c>
      <c r="I1102">
        <v>10</v>
      </c>
      <c r="J1102" t="s">
        <v>14</v>
      </c>
      <c r="K1102">
        <v>13786.7</v>
      </c>
    </row>
    <row r="1103" spans="1:11" x14ac:dyDescent="0.25">
      <c r="A1103" t="s">
        <v>2213</v>
      </c>
      <c r="B1103" s="1">
        <v>45834</v>
      </c>
      <c r="C1103" t="s">
        <v>2214</v>
      </c>
      <c r="D1103" t="s">
        <v>13</v>
      </c>
      <c r="E1103" t="s">
        <v>3988</v>
      </c>
      <c r="F1103" t="s">
        <v>4442</v>
      </c>
      <c r="G1103">
        <v>4</v>
      </c>
      <c r="H1103">
        <v>338.95</v>
      </c>
      <c r="I1103">
        <v>10</v>
      </c>
      <c r="J1103" t="s">
        <v>39</v>
      </c>
      <c r="K1103">
        <v>1220.22</v>
      </c>
    </row>
    <row r="1104" spans="1:11" x14ac:dyDescent="0.25">
      <c r="A1104" t="s">
        <v>2215</v>
      </c>
      <c r="B1104" s="1">
        <v>45500</v>
      </c>
      <c r="C1104" t="s">
        <v>2216</v>
      </c>
      <c r="D1104" t="s">
        <v>24</v>
      </c>
      <c r="E1104" t="s">
        <v>3272</v>
      </c>
      <c r="F1104" t="s">
        <v>4654</v>
      </c>
      <c r="G1104">
        <v>1</v>
      </c>
      <c r="H1104">
        <v>1375.12</v>
      </c>
      <c r="I1104">
        <v>20</v>
      </c>
      <c r="J1104" t="s">
        <v>14</v>
      </c>
      <c r="K1104">
        <v>1100.0999999999999</v>
      </c>
    </row>
    <row r="1105" spans="1:11" x14ac:dyDescent="0.25">
      <c r="A1105" t="s">
        <v>2217</v>
      </c>
      <c r="B1105" s="1">
        <v>45339</v>
      </c>
      <c r="C1105" t="s">
        <v>2218</v>
      </c>
      <c r="D1105" t="s">
        <v>24</v>
      </c>
      <c r="E1105" t="s">
        <v>3988</v>
      </c>
      <c r="F1105" t="s">
        <v>4660</v>
      </c>
      <c r="G1105">
        <v>7</v>
      </c>
      <c r="H1105">
        <v>488.54</v>
      </c>
      <c r="I1105">
        <v>10</v>
      </c>
      <c r="J1105" t="s">
        <v>21</v>
      </c>
      <c r="K1105">
        <v>3077.8</v>
      </c>
    </row>
    <row r="1106" spans="1:11" x14ac:dyDescent="0.25">
      <c r="A1106" t="s">
        <v>2219</v>
      </c>
      <c r="B1106" s="1">
        <v>45732</v>
      </c>
      <c r="C1106" t="s">
        <v>2220</v>
      </c>
      <c r="D1106" t="s">
        <v>36</v>
      </c>
      <c r="E1106" t="s">
        <v>3988</v>
      </c>
      <c r="F1106" t="s">
        <v>4661</v>
      </c>
      <c r="G1106">
        <v>8</v>
      </c>
      <c r="H1106">
        <v>891.19</v>
      </c>
      <c r="I1106">
        <v>0</v>
      </c>
      <c r="J1106" t="s">
        <v>21</v>
      </c>
      <c r="K1106">
        <v>7129.52</v>
      </c>
    </row>
    <row r="1107" spans="1:11" x14ac:dyDescent="0.25">
      <c r="A1107" t="s">
        <v>2221</v>
      </c>
      <c r="B1107" s="1">
        <v>45510</v>
      </c>
      <c r="C1107" t="s">
        <v>2222</v>
      </c>
      <c r="D1107" t="s">
        <v>24</v>
      </c>
      <c r="E1107" t="s">
        <v>3988</v>
      </c>
      <c r="F1107" t="s">
        <v>4662</v>
      </c>
      <c r="G1107">
        <v>3</v>
      </c>
      <c r="H1107">
        <v>1452.36</v>
      </c>
      <c r="I1107">
        <v>10</v>
      </c>
      <c r="J1107" t="s">
        <v>39</v>
      </c>
      <c r="K1107">
        <v>3921.37</v>
      </c>
    </row>
    <row r="1108" spans="1:11" x14ac:dyDescent="0.25">
      <c r="A1108" t="s">
        <v>2223</v>
      </c>
      <c r="B1108" s="1">
        <v>45592</v>
      </c>
      <c r="C1108" t="s">
        <v>2224</v>
      </c>
      <c r="D1108" t="s">
        <v>13</v>
      </c>
      <c r="E1108" t="s">
        <v>3272</v>
      </c>
      <c r="F1108" t="s">
        <v>4325</v>
      </c>
      <c r="G1108">
        <v>6</v>
      </c>
      <c r="H1108">
        <v>1148.48</v>
      </c>
      <c r="I1108">
        <v>15</v>
      </c>
      <c r="J1108" t="s">
        <v>39</v>
      </c>
      <c r="K1108">
        <v>5857.25</v>
      </c>
    </row>
    <row r="1109" spans="1:11" x14ac:dyDescent="0.25">
      <c r="A1109" t="s">
        <v>2225</v>
      </c>
      <c r="B1109" s="1">
        <v>45624</v>
      </c>
      <c r="C1109" t="s">
        <v>2226</v>
      </c>
      <c r="D1109" t="s">
        <v>20</v>
      </c>
      <c r="E1109" t="s">
        <v>3272</v>
      </c>
      <c r="F1109" t="s">
        <v>4525</v>
      </c>
      <c r="G1109">
        <v>2</v>
      </c>
      <c r="H1109">
        <v>883.63</v>
      </c>
      <c r="I1109">
        <v>0</v>
      </c>
      <c r="J1109" t="s">
        <v>14</v>
      </c>
      <c r="K1109">
        <v>1767.26</v>
      </c>
    </row>
    <row r="1110" spans="1:11" x14ac:dyDescent="0.25">
      <c r="A1110" t="s">
        <v>2227</v>
      </c>
      <c r="B1110" s="1">
        <v>45668</v>
      </c>
      <c r="C1110" t="s">
        <v>2228</v>
      </c>
      <c r="D1110" t="s">
        <v>20</v>
      </c>
      <c r="E1110" t="s">
        <v>3988</v>
      </c>
      <c r="F1110" t="s">
        <v>4663</v>
      </c>
      <c r="G1110">
        <v>7</v>
      </c>
      <c r="H1110">
        <v>686.36</v>
      </c>
      <c r="I1110">
        <v>10</v>
      </c>
      <c r="J1110" t="s">
        <v>39</v>
      </c>
      <c r="K1110">
        <v>4324.07</v>
      </c>
    </row>
    <row r="1111" spans="1:11" x14ac:dyDescent="0.25">
      <c r="A1111" t="s">
        <v>2229</v>
      </c>
      <c r="B1111" s="1">
        <v>45444</v>
      </c>
      <c r="C1111" t="s">
        <v>2230</v>
      </c>
      <c r="D1111" t="s">
        <v>13</v>
      </c>
      <c r="E1111" t="s">
        <v>3988</v>
      </c>
      <c r="F1111" t="s">
        <v>4021</v>
      </c>
      <c r="G1111">
        <v>8</v>
      </c>
      <c r="H1111">
        <v>1687.34</v>
      </c>
      <c r="I1111">
        <v>10</v>
      </c>
      <c r="J1111" t="s">
        <v>21</v>
      </c>
      <c r="K1111">
        <v>12148.85</v>
      </c>
    </row>
    <row r="1112" spans="1:11" x14ac:dyDescent="0.25">
      <c r="A1112" t="s">
        <v>2231</v>
      </c>
      <c r="B1112" s="1">
        <v>45411</v>
      </c>
      <c r="C1112" t="s">
        <v>2232</v>
      </c>
      <c r="D1112" t="s">
        <v>20</v>
      </c>
      <c r="E1112" t="s">
        <v>3988</v>
      </c>
      <c r="F1112" t="s">
        <v>4034</v>
      </c>
      <c r="G1112">
        <v>6</v>
      </c>
      <c r="H1112">
        <v>330.44</v>
      </c>
      <c r="I1112">
        <v>5</v>
      </c>
      <c r="J1112" t="s">
        <v>17</v>
      </c>
      <c r="K1112">
        <v>1883.51</v>
      </c>
    </row>
    <row r="1113" spans="1:11" x14ac:dyDescent="0.25">
      <c r="A1113" t="s">
        <v>2233</v>
      </c>
      <c r="B1113" s="1">
        <v>45172</v>
      </c>
      <c r="C1113" t="s">
        <v>2234</v>
      </c>
      <c r="D1113" t="s">
        <v>24</v>
      </c>
      <c r="E1113" t="s">
        <v>3272</v>
      </c>
      <c r="F1113" t="s">
        <v>4459</v>
      </c>
      <c r="G1113">
        <v>6</v>
      </c>
      <c r="H1113">
        <v>888.7</v>
      </c>
      <c r="I1113">
        <v>20</v>
      </c>
      <c r="J1113" t="s">
        <v>21</v>
      </c>
      <c r="K1113">
        <v>4265.76</v>
      </c>
    </row>
    <row r="1114" spans="1:11" x14ac:dyDescent="0.25">
      <c r="A1114" t="s">
        <v>2235</v>
      </c>
      <c r="B1114" s="1">
        <v>45533</v>
      </c>
      <c r="C1114" t="s">
        <v>2236</v>
      </c>
      <c r="D1114" t="s">
        <v>36</v>
      </c>
      <c r="E1114" t="s">
        <v>3988</v>
      </c>
      <c r="F1114" t="s">
        <v>4664</v>
      </c>
      <c r="G1114">
        <v>5</v>
      </c>
      <c r="H1114">
        <v>1812.33</v>
      </c>
      <c r="I1114">
        <v>0</v>
      </c>
      <c r="J1114" t="s">
        <v>14</v>
      </c>
      <c r="K1114">
        <v>9061.65</v>
      </c>
    </row>
    <row r="1115" spans="1:11" x14ac:dyDescent="0.25">
      <c r="A1115" t="s">
        <v>2237</v>
      </c>
      <c r="B1115" s="1">
        <v>45810</v>
      </c>
      <c r="C1115" t="s">
        <v>2238</v>
      </c>
      <c r="D1115" t="s">
        <v>13</v>
      </c>
      <c r="E1115" t="s">
        <v>3988</v>
      </c>
      <c r="F1115" t="s">
        <v>4627</v>
      </c>
      <c r="G1115">
        <v>8</v>
      </c>
      <c r="H1115">
        <v>1699.41</v>
      </c>
      <c r="I1115">
        <v>5</v>
      </c>
      <c r="J1115" t="s">
        <v>39</v>
      </c>
      <c r="K1115">
        <v>12915.52</v>
      </c>
    </row>
    <row r="1116" spans="1:11" x14ac:dyDescent="0.25">
      <c r="A1116" t="s">
        <v>2239</v>
      </c>
      <c r="B1116" s="1">
        <v>45402</v>
      </c>
      <c r="C1116" t="s">
        <v>2240</v>
      </c>
      <c r="D1116" t="s">
        <v>20</v>
      </c>
      <c r="E1116" t="s">
        <v>3272</v>
      </c>
      <c r="F1116" t="s">
        <v>4250</v>
      </c>
      <c r="G1116">
        <v>1</v>
      </c>
      <c r="H1116">
        <v>831.84</v>
      </c>
      <c r="I1116">
        <v>15</v>
      </c>
      <c r="J1116" t="s">
        <v>39</v>
      </c>
      <c r="K1116">
        <v>707.06</v>
      </c>
    </row>
    <row r="1117" spans="1:11" x14ac:dyDescent="0.25">
      <c r="A1117" t="s">
        <v>2241</v>
      </c>
      <c r="B1117" s="1">
        <v>45291</v>
      </c>
      <c r="C1117" t="s">
        <v>2242</v>
      </c>
      <c r="D1117" t="s">
        <v>13</v>
      </c>
      <c r="E1117" t="s">
        <v>3988</v>
      </c>
      <c r="F1117" t="s">
        <v>4054</v>
      </c>
      <c r="G1117">
        <v>4</v>
      </c>
      <c r="H1117">
        <v>1538.06</v>
      </c>
      <c r="I1117">
        <v>20</v>
      </c>
      <c r="J1117" t="s">
        <v>39</v>
      </c>
      <c r="K1117">
        <v>4921.79</v>
      </c>
    </row>
    <row r="1118" spans="1:11" x14ac:dyDescent="0.25">
      <c r="A1118" t="s">
        <v>2243</v>
      </c>
      <c r="B1118" s="1">
        <v>45528</v>
      </c>
      <c r="C1118" t="s">
        <v>2244</v>
      </c>
      <c r="D1118" t="s">
        <v>24</v>
      </c>
      <c r="E1118" t="s">
        <v>3988</v>
      </c>
      <c r="F1118" t="s">
        <v>4665</v>
      </c>
      <c r="G1118">
        <v>4</v>
      </c>
      <c r="H1118">
        <v>1655.16</v>
      </c>
      <c r="I1118">
        <v>0</v>
      </c>
      <c r="J1118" t="s">
        <v>14</v>
      </c>
      <c r="K1118">
        <v>6620.64</v>
      </c>
    </row>
    <row r="1119" spans="1:11" x14ac:dyDescent="0.25">
      <c r="A1119" t="s">
        <v>2245</v>
      </c>
      <c r="B1119" s="1">
        <v>45314</v>
      </c>
      <c r="C1119" t="s">
        <v>2246</v>
      </c>
      <c r="D1119" t="s">
        <v>20</v>
      </c>
      <c r="E1119" t="s">
        <v>29</v>
      </c>
      <c r="F1119" t="s">
        <v>4666</v>
      </c>
      <c r="G1119">
        <v>3</v>
      </c>
      <c r="H1119">
        <v>1783.33</v>
      </c>
      <c r="I1119">
        <v>10</v>
      </c>
      <c r="J1119" t="s">
        <v>17</v>
      </c>
      <c r="K1119">
        <v>4814.99</v>
      </c>
    </row>
    <row r="1120" spans="1:11" x14ac:dyDescent="0.25">
      <c r="A1120" t="s">
        <v>2247</v>
      </c>
      <c r="B1120" s="1">
        <v>45425</v>
      </c>
      <c r="C1120" t="s">
        <v>2248</v>
      </c>
      <c r="D1120" t="s">
        <v>20</v>
      </c>
      <c r="E1120" t="s">
        <v>3272</v>
      </c>
      <c r="F1120" t="s">
        <v>4667</v>
      </c>
      <c r="G1120">
        <v>3</v>
      </c>
      <c r="H1120">
        <v>1111.79</v>
      </c>
      <c r="I1120">
        <v>0</v>
      </c>
      <c r="J1120" t="s">
        <v>14</v>
      </c>
      <c r="K1120">
        <v>3335.37</v>
      </c>
    </row>
    <row r="1121" spans="1:11" x14ac:dyDescent="0.25">
      <c r="A1121" t="s">
        <v>2249</v>
      </c>
      <c r="B1121" s="1">
        <v>45769</v>
      </c>
      <c r="C1121" t="s">
        <v>2250</v>
      </c>
      <c r="D1121" t="s">
        <v>20</v>
      </c>
      <c r="E1121" t="s">
        <v>3272</v>
      </c>
      <c r="F1121" t="s">
        <v>4668</v>
      </c>
      <c r="G1121">
        <v>4</v>
      </c>
      <c r="H1121">
        <v>448.7</v>
      </c>
      <c r="I1121">
        <v>10</v>
      </c>
      <c r="J1121" t="s">
        <v>21</v>
      </c>
      <c r="K1121">
        <v>1615.32</v>
      </c>
    </row>
    <row r="1122" spans="1:11" x14ac:dyDescent="0.25">
      <c r="A1122" t="s">
        <v>2251</v>
      </c>
      <c r="B1122" s="1">
        <v>45350</v>
      </c>
      <c r="C1122" t="s">
        <v>2252</v>
      </c>
      <c r="D1122" t="s">
        <v>20</v>
      </c>
      <c r="E1122" t="s">
        <v>3988</v>
      </c>
      <c r="F1122" t="s">
        <v>4216</v>
      </c>
      <c r="G1122">
        <v>1</v>
      </c>
      <c r="H1122">
        <v>547.85</v>
      </c>
      <c r="I1122">
        <v>20</v>
      </c>
      <c r="J1122" t="s">
        <v>17</v>
      </c>
      <c r="K1122">
        <v>438.28</v>
      </c>
    </row>
    <row r="1123" spans="1:11" x14ac:dyDescent="0.25">
      <c r="A1123" t="s">
        <v>2253</v>
      </c>
      <c r="B1123" s="1">
        <v>45414</v>
      </c>
      <c r="C1123" t="s">
        <v>2254</v>
      </c>
      <c r="D1123" t="s">
        <v>13</v>
      </c>
      <c r="E1123" t="s">
        <v>3988</v>
      </c>
      <c r="F1123" t="s">
        <v>4669</v>
      </c>
      <c r="G1123">
        <v>2</v>
      </c>
      <c r="H1123">
        <v>626.6</v>
      </c>
      <c r="I1123">
        <v>10</v>
      </c>
      <c r="J1123" t="s">
        <v>39</v>
      </c>
      <c r="K1123">
        <v>1127.8800000000001</v>
      </c>
    </row>
    <row r="1124" spans="1:11" x14ac:dyDescent="0.25">
      <c r="A1124" t="s">
        <v>2255</v>
      </c>
      <c r="B1124" s="1">
        <v>45367</v>
      </c>
      <c r="C1124" t="s">
        <v>2256</v>
      </c>
      <c r="D1124" t="s">
        <v>24</v>
      </c>
      <c r="E1124" t="s">
        <v>3272</v>
      </c>
      <c r="F1124" t="s">
        <v>4415</v>
      </c>
      <c r="G1124">
        <v>9</v>
      </c>
      <c r="H1124">
        <v>1207.9100000000001</v>
      </c>
      <c r="I1124">
        <v>15</v>
      </c>
      <c r="J1124" t="s">
        <v>21</v>
      </c>
      <c r="K1124">
        <v>9240.51</v>
      </c>
    </row>
    <row r="1125" spans="1:11" x14ac:dyDescent="0.25">
      <c r="A1125" t="s">
        <v>2257</v>
      </c>
      <c r="B1125" s="1">
        <v>45833</v>
      </c>
      <c r="C1125" t="s">
        <v>2258</v>
      </c>
      <c r="D1125" t="s">
        <v>24</v>
      </c>
      <c r="E1125" t="s">
        <v>3988</v>
      </c>
      <c r="F1125" t="s">
        <v>4402</v>
      </c>
      <c r="G1125">
        <v>2</v>
      </c>
      <c r="H1125">
        <v>113.98</v>
      </c>
      <c r="I1125">
        <v>10</v>
      </c>
      <c r="J1125" t="s">
        <v>39</v>
      </c>
      <c r="K1125">
        <v>205.16</v>
      </c>
    </row>
    <row r="1126" spans="1:11" x14ac:dyDescent="0.25">
      <c r="A1126" t="s">
        <v>2259</v>
      </c>
      <c r="B1126" s="1">
        <v>45613</v>
      </c>
      <c r="C1126" t="s">
        <v>2260</v>
      </c>
      <c r="D1126" t="s">
        <v>36</v>
      </c>
      <c r="E1126" t="s">
        <v>3272</v>
      </c>
      <c r="F1126" t="s">
        <v>4428</v>
      </c>
      <c r="G1126">
        <v>5</v>
      </c>
      <c r="H1126">
        <v>1290.28</v>
      </c>
      <c r="I1126">
        <v>15</v>
      </c>
      <c r="J1126" t="s">
        <v>17</v>
      </c>
      <c r="K1126">
        <v>5483.69</v>
      </c>
    </row>
    <row r="1127" spans="1:11" x14ac:dyDescent="0.25">
      <c r="A1127" t="s">
        <v>2261</v>
      </c>
      <c r="B1127" s="1">
        <v>45694</v>
      </c>
      <c r="C1127" t="s">
        <v>2262</v>
      </c>
      <c r="D1127" t="s">
        <v>13</v>
      </c>
      <c r="E1127" t="s">
        <v>3988</v>
      </c>
      <c r="F1127" t="s">
        <v>4670</v>
      </c>
      <c r="G1127">
        <v>9</v>
      </c>
      <c r="H1127">
        <v>760.49</v>
      </c>
      <c r="I1127">
        <v>20</v>
      </c>
      <c r="J1127" t="s">
        <v>14</v>
      </c>
      <c r="K1127">
        <v>5475.53</v>
      </c>
    </row>
    <row r="1128" spans="1:11" x14ac:dyDescent="0.25">
      <c r="A1128" t="s">
        <v>2263</v>
      </c>
      <c r="B1128" s="1">
        <v>45833</v>
      </c>
      <c r="C1128" t="s">
        <v>2264</v>
      </c>
      <c r="D1128" t="s">
        <v>24</v>
      </c>
      <c r="E1128" t="s">
        <v>29</v>
      </c>
      <c r="F1128" t="s">
        <v>4671</v>
      </c>
      <c r="G1128">
        <v>9</v>
      </c>
      <c r="H1128">
        <v>625.72</v>
      </c>
      <c r="I1128">
        <v>20</v>
      </c>
      <c r="J1128" t="s">
        <v>21</v>
      </c>
      <c r="K1128">
        <v>4505.18</v>
      </c>
    </row>
    <row r="1129" spans="1:11" x14ac:dyDescent="0.25">
      <c r="A1129" t="s">
        <v>2265</v>
      </c>
      <c r="B1129" s="1">
        <v>45364</v>
      </c>
      <c r="C1129" t="s">
        <v>2266</v>
      </c>
      <c r="D1129" t="s">
        <v>13</v>
      </c>
      <c r="E1129" t="s">
        <v>29</v>
      </c>
      <c r="F1129" t="s">
        <v>4652</v>
      </c>
      <c r="G1129">
        <v>8</v>
      </c>
      <c r="H1129">
        <v>1765.02</v>
      </c>
      <c r="I1129">
        <v>0</v>
      </c>
      <c r="J1129" t="s">
        <v>14</v>
      </c>
      <c r="K1129">
        <v>14120.16</v>
      </c>
    </row>
    <row r="1130" spans="1:11" x14ac:dyDescent="0.25">
      <c r="A1130" t="s">
        <v>2267</v>
      </c>
      <c r="B1130" s="1">
        <v>45581</v>
      </c>
      <c r="C1130" t="s">
        <v>2268</v>
      </c>
      <c r="D1130" t="s">
        <v>13</v>
      </c>
      <c r="E1130" t="s">
        <v>3272</v>
      </c>
      <c r="F1130" t="s">
        <v>4262</v>
      </c>
      <c r="G1130">
        <v>1</v>
      </c>
      <c r="H1130">
        <v>947</v>
      </c>
      <c r="I1130">
        <v>15</v>
      </c>
      <c r="J1130" t="s">
        <v>21</v>
      </c>
      <c r="K1130">
        <v>804.95</v>
      </c>
    </row>
    <row r="1131" spans="1:11" x14ac:dyDescent="0.25">
      <c r="A1131" t="s">
        <v>2269</v>
      </c>
      <c r="B1131" s="1">
        <v>45157</v>
      </c>
      <c r="C1131" t="s">
        <v>2270</v>
      </c>
      <c r="D1131" t="s">
        <v>24</v>
      </c>
      <c r="E1131" t="s">
        <v>3272</v>
      </c>
      <c r="F1131" t="s">
        <v>4120</v>
      </c>
      <c r="G1131">
        <v>1</v>
      </c>
      <c r="H1131">
        <v>235.35</v>
      </c>
      <c r="I1131">
        <v>15</v>
      </c>
      <c r="J1131" t="s">
        <v>39</v>
      </c>
      <c r="K1131">
        <v>200.05</v>
      </c>
    </row>
    <row r="1132" spans="1:11" x14ac:dyDescent="0.25">
      <c r="A1132" t="s">
        <v>2271</v>
      </c>
      <c r="B1132" s="1">
        <v>45551</v>
      </c>
      <c r="C1132" t="s">
        <v>2272</v>
      </c>
      <c r="D1132" t="s">
        <v>36</v>
      </c>
      <c r="E1132" t="s">
        <v>3988</v>
      </c>
      <c r="F1132" t="s">
        <v>4672</v>
      </c>
      <c r="G1132">
        <v>9</v>
      </c>
      <c r="H1132">
        <v>1662.16</v>
      </c>
      <c r="I1132">
        <v>5</v>
      </c>
      <c r="J1132" t="s">
        <v>39</v>
      </c>
      <c r="K1132">
        <v>14211.47</v>
      </c>
    </row>
    <row r="1133" spans="1:11" x14ac:dyDescent="0.25">
      <c r="A1133" t="s">
        <v>2273</v>
      </c>
      <c r="B1133" s="1">
        <v>45298</v>
      </c>
      <c r="C1133" t="s">
        <v>2274</v>
      </c>
      <c r="D1133" t="s">
        <v>36</v>
      </c>
      <c r="E1133" t="s">
        <v>3272</v>
      </c>
      <c r="F1133" t="s">
        <v>4326</v>
      </c>
      <c r="G1133">
        <v>8</v>
      </c>
      <c r="H1133">
        <v>142.9</v>
      </c>
      <c r="I1133">
        <v>5</v>
      </c>
      <c r="J1133" t="s">
        <v>14</v>
      </c>
      <c r="K1133">
        <v>1086.04</v>
      </c>
    </row>
    <row r="1134" spans="1:11" x14ac:dyDescent="0.25">
      <c r="A1134" t="s">
        <v>2275</v>
      </c>
      <c r="B1134" s="1">
        <v>45216</v>
      </c>
      <c r="C1134" t="s">
        <v>2276</v>
      </c>
      <c r="D1134" t="s">
        <v>36</v>
      </c>
      <c r="E1134" t="s">
        <v>3988</v>
      </c>
      <c r="F1134" t="s">
        <v>4083</v>
      </c>
      <c r="G1134">
        <v>9</v>
      </c>
      <c r="H1134">
        <v>1467.16</v>
      </c>
      <c r="I1134">
        <v>5</v>
      </c>
      <c r="J1134" t="s">
        <v>39</v>
      </c>
      <c r="K1134">
        <v>12544.22</v>
      </c>
    </row>
    <row r="1135" spans="1:11" x14ac:dyDescent="0.25">
      <c r="A1135" t="s">
        <v>2277</v>
      </c>
      <c r="B1135" s="1">
        <v>45337</v>
      </c>
      <c r="C1135" t="s">
        <v>2278</v>
      </c>
      <c r="D1135" t="s">
        <v>20</v>
      </c>
      <c r="E1135" t="s">
        <v>3272</v>
      </c>
      <c r="F1135" t="s">
        <v>4340</v>
      </c>
      <c r="G1135">
        <v>7</v>
      </c>
      <c r="H1135">
        <v>1559.12</v>
      </c>
      <c r="I1135">
        <v>10</v>
      </c>
      <c r="J1135" t="s">
        <v>17</v>
      </c>
      <c r="K1135">
        <v>9822.4599999999991</v>
      </c>
    </row>
    <row r="1136" spans="1:11" x14ac:dyDescent="0.25">
      <c r="A1136" t="s">
        <v>2279</v>
      </c>
      <c r="B1136" s="1">
        <v>45709</v>
      </c>
      <c r="C1136" t="s">
        <v>2280</v>
      </c>
      <c r="D1136" t="s">
        <v>24</v>
      </c>
      <c r="E1136" t="s">
        <v>3988</v>
      </c>
      <c r="F1136" t="s">
        <v>4384</v>
      </c>
      <c r="G1136">
        <v>3</v>
      </c>
      <c r="H1136">
        <v>737.58</v>
      </c>
      <c r="I1136">
        <v>5</v>
      </c>
      <c r="J1136" t="s">
        <v>17</v>
      </c>
      <c r="K1136">
        <v>2102.1</v>
      </c>
    </row>
    <row r="1137" spans="1:11" x14ac:dyDescent="0.25">
      <c r="A1137" t="s">
        <v>2281</v>
      </c>
      <c r="B1137" s="1">
        <v>45465</v>
      </c>
      <c r="C1137" t="s">
        <v>2282</v>
      </c>
      <c r="D1137" t="s">
        <v>20</v>
      </c>
      <c r="E1137" t="s">
        <v>3272</v>
      </c>
      <c r="F1137" t="s">
        <v>4148</v>
      </c>
      <c r="G1137">
        <v>3</v>
      </c>
      <c r="H1137">
        <v>1658.34</v>
      </c>
      <c r="I1137">
        <v>15</v>
      </c>
      <c r="J1137" t="s">
        <v>17</v>
      </c>
      <c r="K1137">
        <v>4228.7700000000004</v>
      </c>
    </row>
    <row r="1138" spans="1:11" x14ac:dyDescent="0.25">
      <c r="A1138" t="s">
        <v>2283</v>
      </c>
      <c r="B1138" s="1">
        <v>45529</v>
      </c>
      <c r="C1138" t="s">
        <v>2284</v>
      </c>
      <c r="D1138" t="s">
        <v>20</v>
      </c>
      <c r="E1138" t="s">
        <v>3988</v>
      </c>
      <c r="F1138" t="s">
        <v>4673</v>
      </c>
      <c r="G1138">
        <v>2</v>
      </c>
      <c r="H1138">
        <v>1055.54</v>
      </c>
      <c r="I1138">
        <v>10</v>
      </c>
      <c r="J1138" t="s">
        <v>17</v>
      </c>
      <c r="K1138">
        <v>1899.97</v>
      </c>
    </row>
    <row r="1139" spans="1:11" x14ac:dyDescent="0.25">
      <c r="A1139" t="s">
        <v>2285</v>
      </c>
      <c r="B1139" s="1">
        <v>45581</v>
      </c>
      <c r="C1139" t="s">
        <v>2286</v>
      </c>
      <c r="D1139" t="s">
        <v>20</v>
      </c>
      <c r="E1139" t="s">
        <v>3272</v>
      </c>
      <c r="F1139" t="s">
        <v>4443</v>
      </c>
      <c r="G1139">
        <v>5</v>
      </c>
      <c r="H1139">
        <v>953.42</v>
      </c>
      <c r="I1139">
        <v>20</v>
      </c>
      <c r="J1139" t="s">
        <v>21</v>
      </c>
      <c r="K1139">
        <v>3813.68</v>
      </c>
    </row>
    <row r="1140" spans="1:11" x14ac:dyDescent="0.25">
      <c r="A1140" t="s">
        <v>2287</v>
      </c>
      <c r="B1140" s="1">
        <v>45738</v>
      </c>
      <c r="C1140" t="s">
        <v>2288</v>
      </c>
      <c r="D1140" t="s">
        <v>13</v>
      </c>
      <c r="E1140" t="s">
        <v>29</v>
      </c>
      <c r="F1140" t="s">
        <v>4674</v>
      </c>
      <c r="G1140">
        <v>3</v>
      </c>
      <c r="H1140">
        <v>138.54</v>
      </c>
      <c r="I1140">
        <v>0</v>
      </c>
      <c r="J1140" t="s">
        <v>21</v>
      </c>
      <c r="K1140">
        <v>415.62</v>
      </c>
    </row>
    <row r="1141" spans="1:11" x14ac:dyDescent="0.25">
      <c r="A1141" t="s">
        <v>2289</v>
      </c>
      <c r="B1141" s="1">
        <v>45336</v>
      </c>
      <c r="C1141" t="s">
        <v>2290</v>
      </c>
      <c r="D1141" t="s">
        <v>13</v>
      </c>
      <c r="E1141" t="s">
        <v>3988</v>
      </c>
      <c r="F1141" t="s">
        <v>4535</v>
      </c>
      <c r="G1141">
        <v>6</v>
      </c>
      <c r="H1141">
        <v>615.55999999999995</v>
      </c>
      <c r="I1141">
        <v>5</v>
      </c>
      <c r="J1141" t="s">
        <v>17</v>
      </c>
      <c r="K1141">
        <v>3508.69</v>
      </c>
    </row>
    <row r="1142" spans="1:11" x14ac:dyDescent="0.25">
      <c r="A1142" t="s">
        <v>2291</v>
      </c>
      <c r="B1142" s="1">
        <v>45686</v>
      </c>
      <c r="C1142" t="s">
        <v>2292</v>
      </c>
      <c r="D1142" t="s">
        <v>24</v>
      </c>
      <c r="E1142" t="s">
        <v>29</v>
      </c>
      <c r="F1142" t="s">
        <v>4047</v>
      </c>
      <c r="G1142">
        <v>2</v>
      </c>
      <c r="H1142">
        <v>1865.47</v>
      </c>
      <c r="I1142">
        <v>20</v>
      </c>
      <c r="J1142" t="s">
        <v>21</v>
      </c>
      <c r="K1142">
        <v>2984.75</v>
      </c>
    </row>
    <row r="1143" spans="1:11" x14ac:dyDescent="0.25">
      <c r="A1143" t="s">
        <v>2293</v>
      </c>
      <c r="B1143" s="1">
        <v>45519</v>
      </c>
      <c r="C1143" t="s">
        <v>2294</v>
      </c>
      <c r="D1143" t="s">
        <v>24</v>
      </c>
      <c r="E1143" t="s">
        <v>3272</v>
      </c>
      <c r="F1143" t="s">
        <v>4397</v>
      </c>
      <c r="G1143">
        <v>3</v>
      </c>
      <c r="H1143">
        <v>814.06</v>
      </c>
      <c r="I1143">
        <v>15</v>
      </c>
      <c r="J1143" t="s">
        <v>17</v>
      </c>
      <c r="K1143">
        <v>2075.85</v>
      </c>
    </row>
    <row r="1144" spans="1:11" x14ac:dyDescent="0.25">
      <c r="A1144" t="s">
        <v>2295</v>
      </c>
      <c r="B1144" s="1">
        <v>45651</v>
      </c>
      <c r="C1144" t="s">
        <v>2296</v>
      </c>
      <c r="D1144" t="s">
        <v>13</v>
      </c>
      <c r="E1144" t="s">
        <v>3988</v>
      </c>
      <c r="F1144" t="s">
        <v>4258</v>
      </c>
      <c r="G1144">
        <v>5</v>
      </c>
      <c r="H1144">
        <v>1116.07</v>
      </c>
      <c r="I1144">
        <v>0</v>
      </c>
      <c r="J1144" t="s">
        <v>14</v>
      </c>
      <c r="K1144">
        <v>5580.35</v>
      </c>
    </row>
    <row r="1145" spans="1:11" x14ac:dyDescent="0.25">
      <c r="A1145" t="s">
        <v>2297</v>
      </c>
      <c r="B1145" s="1">
        <v>45702</v>
      </c>
      <c r="C1145" t="s">
        <v>2298</v>
      </c>
      <c r="D1145" t="s">
        <v>13</v>
      </c>
      <c r="E1145" t="s">
        <v>3272</v>
      </c>
      <c r="F1145" t="s">
        <v>4168</v>
      </c>
      <c r="G1145">
        <v>1</v>
      </c>
      <c r="H1145">
        <v>1087.44</v>
      </c>
      <c r="I1145">
        <v>20</v>
      </c>
      <c r="J1145" t="s">
        <v>21</v>
      </c>
      <c r="K1145">
        <v>869.95</v>
      </c>
    </row>
    <row r="1146" spans="1:11" x14ac:dyDescent="0.25">
      <c r="A1146" t="s">
        <v>2299</v>
      </c>
      <c r="B1146" s="1">
        <v>45531</v>
      </c>
      <c r="C1146" t="s">
        <v>2300</v>
      </c>
      <c r="D1146" t="s">
        <v>20</v>
      </c>
      <c r="E1146" t="s">
        <v>3988</v>
      </c>
      <c r="F1146" t="s">
        <v>4034</v>
      </c>
      <c r="G1146">
        <v>1</v>
      </c>
      <c r="H1146">
        <v>1201.3399999999999</v>
      </c>
      <c r="I1146">
        <v>0</v>
      </c>
      <c r="J1146" t="s">
        <v>17</v>
      </c>
      <c r="K1146">
        <v>1201.3399999999999</v>
      </c>
    </row>
    <row r="1147" spans="1:11" x14ac:dyDescent="0.25">
      <c r="A1147" t="s">
        <v>2301</v>
      </c>
      <c r="B1147" s="1">
        <v>45498</v>
      </c>
      <c r="C1147" t="s">
        <v>1975</v>
      </c>
      <c r="D1147" t="s">
        <v>36</v>
      </c>
      <c r="E1147" t="s">
        <v>3272</v>
      </c>
      <c r="F1147" t="s">
        <v>4457</v>
      </c>
      <c r="G1147">
        <v>9</v>
      </c>
      <c r="H1147">
        <v>169.6</v>
      </c>
      <c r="I1147">
        <v>5</v>
      </c>
      <c r="J1147" t="s">
        <v>17</v>
      </c>
      <c r="K1147">
        <v>1450.08</v>
      </c>
    </row>
    <row r="1148" spans="1:11" x14ac:dyDescent="0.25">
      <c r="A1148" t="s">
        <v>2302</v>
      </c>
      <c r="B1148" s="1">
        <v>45765</v>
      </c>
      <c r="C1148" t="s">
        <v>2303</v>
      </c>
      <c r="D1148" t="s">
        <v>36</v>
      </c>
      <c r="E1148" t="s">
        <v>3272</v>
      </c>
      <c r="F1148" t="s">
        <v>4354</v>
      </c>
      <c r="G1148">
        <v>7</v>
      </c>
      <c r="H1148">
        <v>756.24</v>
      </c>
      <c r="I1148">
        <v>15</v>
      </c>
      <c r="J1148" t="s">
        <v>14</v>
      </c>
      <c r="K1148">
        <v>4499.63</v>
      </c>
    </row>
    <row r="1149" spans="1:11" x14ac:dyDescent="0.25">
      <c r="A1149" t="s">
        <v>2304</v>
      </c>
      <c r="B1149" s="1">
        <v>45163</v>
      </c>
      <c r="C1149" t="s">
        <v>2305</v>
      </c>
      <c r="D1149" t="s">
        <v>36</v>
      </c>
      <c r="E1149" t="s">
        <v>3272</v>
      </c>
      <c r="F1149" t="s">
        <v>4675</v>
      </c>
      <c r="G1149">
        <v>1</v>
      </c>
      <c r="H1149">
        <v>1460.1</v>
      </c>
      <c r="I1149">
        <v>0</v>
      </c>
      <c r="J1149" t="s">
        <v>14</v>
      </c>
      <c r="K1149">
        <v>1460.1</v>
      </c>
    </row>
    <row r="1150" spans="1:11" x14ac:dyDescent="0.25">
      <c r="A1150" t="s">
        <v>2306</v>
      </c>
      <c r="B1150" s="1">
        <v>45222</v>
      </c>
      <c r="C1150" t="s">
        <v>2307</v>
      </c>
      <c r="D1150" t="s">
        <v>36</v>
      </c>
      <c r="E1150" t="s">
        <v>3988</v>
      </c>
      <c r="F1150" t="s">
        <v>4676</v>
      </c>
      <c r="G1150">
        <v>8</v>
      </c>
      <c r="H1150">
        <v>441.09</v>
      </c>
      <c r="I1150">
        <v>20</v>
      </c>
      <c r="J1150" t="s">
        <v>39</v>
      </c>
      <c r="K1150">
        <v>2822.98</v>
      </c>
    </row>
    <row r="1151" spans="1:11" x14ac:dyDescent="0.25">
      <c r="A1151" t="s">
        <v>2308</v>
      </c>
      <c r="B1151" s="1">
        <v>45378</v>
      </c>
      <c r="C1151" t="s">
        <v>2309</v>
      </c>
      <c r="D1151" t="s">
        <v>36</v>
      </c>
      <c r="E1151" t="s">
        <v>3272</v>
      </c>
      <c r="F1151" t="s">
        <v>4413</v>
      </c>
      <c r="G1151">
        <v>3</v>
      </c>
      <c r="H1151">
        <v>446.98</v>
      </c>
      <c r="I1151">
        <v>5</v>
      </c>
      <c r="J1151" t="s">
        <v>17</v>
      </c>
      <c r="K1151">
        <v>1273.8900000000001</v>
      </c>
    </row>
    <row r="1152" spans="1:11" x14ac:dyDescent="0.25">
      <c r="A1152" t="s">
        <v>2310</v>
      </c>
      <c r="B1152" s="1">
        <v>45322</v>
      </c>
      <c r="C1152" t="s">
        <v>2311</v>
      </c>
      <c r="D1152" t="s">
        <v>20</v>
      </c>
      <c r="E1152" t="s">
        <v>3988</v>
      </c>
      <c r="F1152" t="s">
        <v>4677</v>
      </c>
      <c r="G1152">
        <v>8</v>
      </c>
      <c r="H1152">
        <v>69.680000000000007</v>
      </c>
      <c r="I1152">
        <v>5</v>
      </c>
      <c r="J1152" t="s">
        <v>39</v>
      </c>
      <c r="K1152">
        <v>529.57000000000005</v>
      </c>
    </row>
    <row r="1153" spans="1:11" x14ac:dyDescent="0.25">
      <c r="A1153" t="s">
        <v>2312</v>
      </c>
      <c r="B1153" s="1">
        <v>45464</v>
      </c>
      <c r="C1153" t="s">
        <v>2313</v>
      </c>
      <c r="D1153" t="s">
        <v>24</v>
      </c>
      <c r="E1153" t="s">
        <v>29</v>
      </c>
      <c r="F1153" t="s">
        <v>4346</v>
      </c>
      <c r="G1153">
        <v>5</v>
      </c>
      <c r="H1153">
        <v>903.09</v>
      </c>
      <c r="I1153">
        <v>20</v>
      </c>
      <c r="J1153" t="s">
        <v>21</v>
      </c>
      <c r="K1153">
        <v>3612.36</v>
      </c>
    </row>
    <row r="1154" spans="1:11" x14ac:dyDescent="0.25">
      <c r="A1154" t="s">
        <v>2314</v>
      </c>
      <c r="B1154" s="1">
        <v>45687</v>
      </c>
      <c r="C1154" t="s">
        <v>2315</v>
      </c>
      <c r="D1154" t="s">
        <v>13</v>
      </c>
      <c r="E1154" t="s">
        <v>29</v>
      </c>
      <c r="F1154" t="s">
        <v>4678</v>
      </c>
      <c r="G1154">
        <v>1</v>
      </c>
      <c r="H1154">
        <v>1771.33</v>
      </c>
      <c r="I1154">
        <v>20</v>
      </c>
      <c r="J1154" t="s">
        <v>17</v>
      </c>
      <c r="K1154">
        <v>1417.06</v>
      </c>
    </row>
    <row r="1155" spans="1:11" x14ac:dyDescent="0.25">
      <c r="A1155" t="s">
        <v>2316</v>
      </c>
      <c r="B1155" s="1">
        <v>45338</v>
      </c>
      <c r="C1155" t="s">
        <v>2317</v>
      </c>
      <c r="D1155" t="s">
        <v>20</v>
      </c>
      <c r="E1155" t="s">
        <v>3988</v>
      </c>
      <c r="F1155" t="s">
        <v>4679</v>
      </c>
      <c r="G1155">
        <v>7</v>
      </c>
      <c r="H1155">
        <v>151.21</v>
      </c>
      <c r="I1155">
        <v>0</v>
      </c>
      <c r="J1155" t="s">
        <v>17</v>
      </c>
      <c r="K1155">
        <v>1058.47</v>
      </c>
    </row>
    <row r="1156" spans="1:11" x14ac:dyDescent="0.25">
      <c r="A1156" t="s">
        <v>2318</v>
      </c>
      <c r="B1156" s="1">
        <v>45387</v>
      </c>
      <c r="C1156" t="s">
        <v>2319</v>
      </c>
      <c r="D1156" t="s">
        <v>36</v>
      </c>
      <c r="E1156" t="s">
        <v>29</v>
      </c>
      <c r="F1156" t="s">
        <v>4047</v>
      </c>
      <c r="G1156">
        <v>5</v>
      </c>
      <c r="H1156">
        <v>422.68</v>
      </c>
      <c r="I1156">
        <v>10</v>
      </c>
      <c r="J1156" t="s">
        <v>21</v>
      </c>
      <c r="K1156">
        <v>1902.06</v>
      </c>
    </row>
    <row r="1157" spans="1:11" x14ac:dyDescent="0.25">
      <c r="A1157" t="s">
        <v>2320</v>
      </c>
      <c r="B1157" s="1">
        <v>45665</v>
      </c>
      <c r="C1157" t="s">
        <v>2321</v>
      </c>
      <c r="D1157" t="s">
        <v>13</v>
      </c>
      <c r="E1157" t="s">
        <v>3988</v>
      </c>
      <c r="F1157" t="s">
        <v>4680</v>
      </c>
      <c r="G1157">
        <v>6</v>
      </c>
      <c r="H1157">
        <v>654.66</v>
      </c>
      <c r="I1157">
        <v>5</v>
      </c>
      <c r="J1157" t="s">
        <v>14</v>
      </c>
      <c r="K1157">
        <v>3731.56</v>
      </c>
    </row>
    <row r="1158" spans="1:11" x14ac:dyDescent="0.25">
      <c r="A1158" t="s">
        <v>2322</v>
      </c>
      <c r="B1158" s="1">
        <v>45601</v>
      </c>
      <c r="C1158" t="s">
        <v>2323</v>
      </c>
      <c r="D1158" t="s">
        <v>20</v>
      </c>
      <c r="E1158" t="s">
        <v>3988</v>
      </c>
      <c r="F1158" t="s">
        <v>4681</v>
      </c>
      <c r="G1158">
        <v>6</v>
      </c>
      <c r="H1158">
        <v>1476.86</v>
      </c>
      <c r="I1158">
        <v>0</v>
      </c>
      <c r="J1158" t="s">
        <v>17</v>
      </c>
      <c r="K1158">
        <v>8861.16</v>
      </c>
    </row>
    <row r="1159" spans="1:11" x14ac:dyDescent="0.25">
      <c r="A1159" t="s">
        <v>2324</v>
      </c>
      <c r="B1159" s="1">
        <v>45436</v>
      </c>
      <c r="C1159" t="s">
        <v>2325</v>
      </c>
      <c r="D1159" t="s">
        <v>36</v>
      </c>
      <c r="E1159" t="s">
        <v>3272</v>
      </c>
      <c r="F1159" t="s">
        <v>4682</v>
      </c>
      <c r="G1159">
        <v>8</v>
      </c>
      <c r="H1159">
        <v>1299.24</v>
      </c>
      <c r="I1159">
        <v>20</v>
      </c>
      <c r="J1159" t="s">
        <v>14</v>
      </c>
      <c r="K1159">
        <v>8315.14</v>
      </c>
    </row>
    <row r="1160" spans="1:11" x14ac:dyDescent="0.25">
      <c r="A1160" t="s">
        <v>2326</v>
      </c>
      <c r="B1160" s="1">
        <v>45517</v>
      </c>
      <c r="C1160" t="s">
        <v>2327</v>
      </c>
      <c r="D1160" t="s">
        <v>20</v>
      </c>
      <c r="E1160" t="s">
        <v>3988</v>
      </c>
      <c r="F1160" t="s">
        <v>4683</v>
      </c>
      <c r="G1160">
        <v>9</v>
      </c>
      <c r="H1160">
        <v>861.09</v>
      </c>
      <c r="I1160">
        <v>0</v>
      </c>
      <c r="J1160" t="s">
        <v>17</v>
      </c>
      <c r="K1160">
        <v>7749.81</v>
      </c>
    </row>
    <row r="1161" spans="1:11" x14ac:dyDescent="0.25">
      <c r="A1161" t="s">
        <v>2328</v>
      </c>
      <c r="B1161" s="1">
        <v>45579</v>
      </c>
      <c r="C1161" t="s">
        <v>2329</v>
      </c>
      <c r="D1161" t="s">
        <v>13</v>
      </c>
      <c r="E1161" t="s">
        <v>29</v>
      </c>
      <c r="F1161" t="s">
        <v>4398</v>
      </c>
      <c r="G1161">
        <v>2</v>
      </c>
      <c r="H1161">
        <v>1530.18</v>
      </c>
      <c r="I1161">
        <v>20</v>
      </c>
      <c r="J1161" t="s">
        <v>39</v>
      </c>
      <c r="K1161">
        <v>2448.29</v>
      </c>
    </row>
    <row r="1162" spans="1:11" x14ac:dyDescent="0.25">
      <c r="A1162" t="s">
        <v>2330</v>
      </c>
      <c r="B1162" s="1">
        <v>45562</v>
      </c>
      <c r="C1162" t="s">
        <v>2331</v>
      </c>
      <c r="D1162" t="s">
        <v>24</v>
      </c>
      <c r="E1162" t="s">
        <v>3272</v>
      </c>
      <c r="F1162" t="s">
        <v>4397</v>
      </c>
      <c r="G1162">
        <v>9</v>
      </c>
      <c r="H1162">
        <v>1238.78</v>
      </c>
      <c r="I1162">
        <v>15</v>
      </c>
      <c r="J1162" t="s">
        <v>14</v>
      </c>
      <c r="K1162">
        <v>9476.67</v>
      </c>
    </row>
    <row r="1163" spans="1:11" x14ac:dyDescent="0.25">
      <c r="A1163" t="s">
        <v>2332</v>
      </c>
      <c r="B1163" s="1">
        <v>45417</v>
      </c>
      <c r="C1163" t="s">
        <v>2333</v>
      </c>
      <c r="D1163" t="s">
        <v>36</v>
      </c>
      <c r="E1163" t="s">
        <v>29</v>
      </c>
      <c r="F1163" t="s">
        <v>4684</v>
      </c>
      <c r="G1163">
        <v>9</v>
      </c>
      <c r="H1163">
        <v>1797.28</v>
      </c>
      <c r="I1163">
        <v>20</v>
      </c>
      <c r="J1163" t="s">
        <v>39</v>
      </c>
      <c r="K1163">
        <v>12940.42</v>
      </c>
    </row>
    <row r="1164" spans="1:11" x14ac:dyDescent="0.25">
      <c r="A1164" t="s">
        <v>2334</v>
      </c>
      <c r="B1164" s="1">
        <v>45480</v>
      </c>
      <c r="C1164" t="s">
        <v>2335</v>
      </c>
      <c r="D1164" t="s">
        <v>13</v>
      </c>
      <c r="E1164" t="s">
        <v>3988</v>
      </c>
      <c r="F1164" t="s">
        <v>4327</v>
      </c>
      <c r="G1164">
        <v>7</v>
      </c>
      <c r="H1164">
        <v>1645.15</v>
      </c>
      <c r="I1164">
        <v>20</v>
      </c>
      <c r="J1164" t="s">
        <v>17</v>
      </c>
      <c r="K1164">
        <v>9212.84</v>
      </c>
    </row>
    <row r="1165" spans="1:11" x14ac:dyDescent="0.25">
      <c r="A1165" t="s">
        <v>2336</v>
      </c>
      <c r="B1165" s="1">
        <v>45729</v>
      </c>
      <c r="C1165" t="s">
        <v>2337</v>
      </c>
      <c r="D1165" t="s">
        <v>13</v>
      </c>
      <c r="E1165" t="s">
        <v>3272</v>
      </c>
      <c r="F1165" t="s">
        <v>4092</v>
      </c>
      <c r="G1165">
        <v>1</v>
      </c>
      <c r="H1165">
        <v>542.99</v>
      </c>
      <c r="I1165">
        <v>20</v>
      </c>
      <c r="J1165" t="s">
        <v>39</v>
      </c>
      <c r="K1165">
        <v>434.39</v>
      </c>
    </row>
    <row r="1166" spans="1:11" x14ac:dyDescent="0.25">
      <c r="A1166" t="s">
        <v>2338</v>
      </c>
      <c r="B1166" s="1">
        <v>45577</v>
      </c>
      <c r="C1166" t="s">
        <v>2339</v>
      </c>
      <c r="D1166" t="s">
        <v>24</v>
      </c>
      <c r="E1166" t="s">
        <v>3988</v>
      </c>
      <c r="F1166" t="s">
        <v>4685</v>
      </c>
      <c r="G1166">
        <v>7</v>
      </c>
      <c r="H1166">
        <v>579.30999999999995</v>
      </c>
      <c r="I1166">
        <v>10</v>
      </c>
      <c r="J1166" t="s">
        <v>17</v>
      </c>
      <c r="K1166">
        <v>3649.65</v>
      </c>
    </row>
    <row r="1167" spans="1:11" x14ac:dyDescent="0.25">
      <c r="A1167" t="s">
        <v>2340</v>
      </c>
      <c r="B1167" s="1">
        <v>45406</v>
      </c>
      <c r="C1167" t="s">
        <v>2341</v>
      </c>
      <c r="D1167" t="s">
        <v>20</v>
      </c>
      <c r="E1167" t="s">
        <v>3988</v>
      </c>
      <c r="F1167" t="s">
        <v>4685</v>
      </c>
      <c r="G1167">
        <v>5</v>
      </c>
      <c r="H1167">
        <v>294.45</v>
      </c>
      <c r="I1167">
        <v>20</v>
      </c>
      <c r="J1167" t="s">
        <v>17</v>
      </c>
      <c r="K1167">
        <v>1177.8</v>
      </c>
    </row>
    <row r="1168" spans="1:11" x14ac:dyDescent="0.25">
      <c r="A1168" t="s">
        <v>2342</v>
      </c>
      <c r="B1168" s="1">
        <v>45423</v>
      </c>
      <c r="C1168" t="s">
        <v>2343</v>
      </c>
      <c r="D1168" t="s">
        <v>24</v>
      </c>
      <c r="E1168" t="s">
        <v>3988</v>
      </c>
      <c r="F1168" t="s">
        <v>4686</v>
      </c>
      <c r="G1168">
        <v>6</v>
      </c>
      <c r="H1168">
        <v>707.08</v>
      </c>
      <c r="I1168">
        <v>5</v>
      </c>
      <c r="J1168" t="s">
        <v>39</v>
      </c>
      <c r="K1168">
        <v>4030.36</v>
      </c>
    </row>
    <row r="1169" spans="1:11" x14ac:dyDescent="0.25">
      <c r="A1169" t="s">
        <v>2344</v>
      </c>
      <c r="B1169" s="1">
        <v>45695</v>
      </c>
      <c r="C1169" t="s">
        <v>2345</v>
      </c>
      <c r="D1169" t="s">
        <v>24</v>
      </c>
      <c r="E1169" t="s">
        <v>3988</v>
      </c>
      <c r="F1169" t="s">
        <v>4687</v>
      </c>
      <c r="G1169">
        <v>7</v>
      </c>
      <c r="H1169">
        <v>1999.11</v>
      </c>
      <c r="I1169">
        <v>5</v>
      </c>
      <c r="J1169" t="s">
        <v>17</v>
      </c>
      <c r="K1169">
        <v>13294.08</v>
      </c>
    </row>
    <row r="1170" spans="1:11" x14ac:dyDescent="0.25">
      <c r="A1170" t="s">
        <v>2346</v>
      </c>
      <c r="B1170" s="1">
        <v>45502</v>
      </c>
      <c r="C1170" t="s">
        <v>2347</v>
      </c>
      <c r="D1170" t="s">
        <v>20</v>
      </c>
      <c r="E1170" t="s">
        <v>29</v>
      </c>
      <c r="F1170" t="s">
        <v>4559</v>
      </c>
      <c r="G1170">
        <v>5</v>
      </c>
      <c r="H1170">
        <v>841.21</v>
      </c>
      <c r="I1170">
        <v>0</v>
      </c>
      <c r="J1170" t="s">
        <v>21</v>
      </c>
      <c r="K1170">
        <v>4206.05</v>
      </c>
    </row>
    <row r="1171" spans="1:11" x14ac:dyDescent="0.25">
      <c r="A1171" t="s">
        <v>2348</v>
      </c>
      <c r="B1171" s="1">
        <v>45360</v>
      </c>
      <c r="C1171" t="s">
        <v>2349</v>
      </c>
      <c r="D1171" t="s">
        <v>20</v>
      </c>
      <c r="E1171" t="s">
        <v>3988</v>
      </c>
      <c r="F1171" t="s">
        <v>4218</v>
      </c>
      <c r="G1171">
        <v>7</v>
      </c>
      <c r="H1171">
        <v>479.95</v>
      </c>
      <c r="I1171">
        <v>10</v>
      </c>
      <c r="J1171" t="s">
        <v>17</v>
      </c>
      <c r="K1171">
        <v>3023.68</v>
      </c>
    </row>
    <row r="1172" spans="1:11" x14ac:dyDescent="0.25">
      <c r="A1172" t="s">
        <v>2350</v>
      </c>
      <c r="B1172" s="1">
        <v>45388</v>
      </c>
      <c r="C1172" t="s">
        <v>2351</v>
      </c>
      <c r="D1172" t="s">
        <v>20</v>
      </c>
      <c r="E1172" t="s">
        <v>29</v>
      </c>
      <c r="F1172" t="s">
        <v>4688</v>
      </c>
      <c r="G1172">
        <v>9</v>
      </c>
      <c r="H1172">
        <v>1536.84</v>
      </c>
      <c r="I1172">
        <v>0</v>
      </c>
      <c r="J1172" t="s">
        <v>17</v>
      </c>
      <c r="K1172">
        <v>13831.56</v>
      </c>
    </row>
    <row r="1173" spans="1:11" x14ac:dyDescent="0.25">
      <c r="A1173" t="s">
        <v>2352</v>
      </c>
      <c r="B1173" s="1">
        <v>45345</v>
      </c>
      <c r="C1173" t="s">
        <v>2353</v>
      </c>
      <c r="D1173" t="s">
        <v>13</v>
      </c>
      <c r="E1173" t="s">
        <v>29</v>
      </c>
      <c r="F1173" t="s">
        <v>4689</v>
      </c>
      <c r="G1173">
        <v>3</v>
      </c>
      <c r="H1173">
        <v>1107.82</v>
      </c>
      <c r="I1173">
        <v>5</v>
      </c>
      <c r="J1173" t="s">
        <v>21</v>
      </c>
      <c r="K1173">
        <v>3157.29</v>
      </c>
    </row>
    <row r="1174" spans="1:11" x14ac:dyDescent="0.25">
      <c r="A1174" t="s">
        <v>2354</v>
      </c>
      <c r="B1174" s="1">
        <v>45329</v>
      </c>
      <c r="C1174" t="s">
        <v>2355</v>
      </c>
      <c r="D1174" t="s">
        <v>13</v>
      </c>
      <c r="E1174" t="s">
        <v>3272</v>
      </c>
      <c r="F1174" t="s">
        <v>4690</v>
      </c>
      <c r="G1174">
        <v>8</v>
      </c>
      <c r="H1174">
        <v>341.72</v>
      </c>
      <c r="I1174">
        <v>5</v>
      </c>
      <c r="J1174" t="s">
        <v>14</v>
      </c>
      <c r="K1174">
        <v>2597.0700000000002</v>
      </c>
    </row>
    <row r="1175" spans="1:11" x14ac:dyDescent="0.25">
      <c r="A1175" t="s">
        <v>2356</v>
      </c>
      <c r="B1175" s="1">
        <v>45243</v>
      </c>
      <c r="C1175" t="s">
        <v>2357</v>
      </c>
      <c r="D1175" t="s">
        <v>36</v>
      </c>
      <c r="E1175" t="s">
        <v>3272</v>
      </c>
      <c r="F1175" t="s">
        <v>4691</v>
      </c>
      <c r="G1175">
        <v>2</v>
      </c>
      <c r="H1175">
        <v>792.34</v>
      </c>
      <c r="I1175">
        <v>15</v>
      </c>
      <c r="J1175" t="s">
        <v>21</v>
      </c>
      <c r="K1175">
        <v>1346.98</v>
      </c>
    </row>
    <row r="1176" spans="1:11" x14ac:dyDescent="0.25">
      <c r="A1176" t="s">
        <v>2358</v>
      </c>
      <c r="B1176" s="1">
        <v>45710</v>
      </c>
      <c r="C1176" t="s">
        <v>2359</v>
      </c>
      <c r="D1176" t="s">
        <v>36</v>
      </c>
      <c r="E1176" t="s">
        <v>3272</v>
      </c>
      <c r="F1176" t="s">
        <v>4400</v>
      </c>
      <c r="G1176">
        <v>7</v>
      </c>
      <c r="H1176">
        <v>858.22</v>
      </c>
      <c r="I1176">
        <v>20</v>
      </c>
      <c r="J1176" t="s">
        <v>21</v>
      </c>
      <c r="K1176">
        <v>4806.03</v>
      </c>
    </row>
    <row r="1177" spans="1:11" x14ac:dyDescent="0.25">
      <c r="A1177" t="s">
        <v>2360</v>
      </c>
      <c r="B1177" s="1">
        <v>45299</v>
      </c>
      <c r="C1177" t="s">
        <v>2361</v>
      </c>
      <c r="D1177" t="s">
        <v>24</v>
      </c>
      <c r="E1177" t="s">
        <v>29</v>
      </c>
      <c r="F1177" t="s">
        <v>4165</v>
      </c>
      <c r="G1177">
        <v>2</v>
      </c>
      <c r="H1177">
        <v>1519.97</v>
      </c>
      <c r="I1177">
        <v>5</v>
      </c>
      <c r="J1177" t="s">
        <v>21</v>
      </c>
      <c r="K1177">
        <v>2887.94</v>
      </c>
    </row>
    <row r="1178" spans="1:11" x14ac:dyDescent="0.25">
      <c r="A1178" t="s">
        <v>2362</v>
      </c>
      <c r="B1178" s="1">
        <v>45395</v>
      </c>
      <c r="C1178" t="s">
        <v>2363</v>
      </c>
      <c r="D1178" t="s">
        <v>24</v>
      </c>
      <c r="E1178" t="s">
        <v>3988</v>
      </c>
      <c r="F1178" t="s">
        <v>4692</v>
      </c>
      <c r="G1178">
        <v>4</v>
      </c>
      <c r="H1178">
        <v>90.31</v>
      </c>
      <c r="I1178">
        <v>0</v>
      </c>
      <c r="J1178" t="s">
        <v>21</v>
      </c>
      <c r="K1178">
        <v>361.24</v>
      </c>
    </row>
    <row r="1179" spans="1:11" x14ac:dyDescent="0.25">
      <c r="A1179" t="s">
        <v>2364</v>
      </c>
      <c r="B1179" s="1">
        <v>45242</v>
      </c>
      <c r="C1179" t="s">
        <v>2365</v>
      </c>
      <c r="D1179" t="s">
        <v>36</v>
      </c>
      <c r="E1179" t="s">
        <v>29</v>
      </c>
      <c r="F1179" t="s">
        <v>4693</v>
      </c>
      <c r="G1179">
        <v>7</v>
      </c>
      <c r="H1179">
        <v>574.59</v>
      </c>
      <c r="I1179">
        <v>0</v>
      </c>
      <c r="J1179" t="s">
        <v>14</v>
      </c>
      <c r="K1179">
        <v>4022.13</v>
      </c>
    </row>
    <row r="1180" spans="1:11" x14ac:dyDescent="0.25">
      <c r="A1180" t="s">
        <v>2366</v>
      </c>
      <c r="B1180" s="1">
        <v>45727</v>
      </c>
      <c r="C1180" t="s">
        <v>2367</v>
      </c>
      <c r="D1180" t="s">
        <v>24</v>
      </c>
      <c r="E1180" t="s">
        <v>3272</v>
      </c>
      <c r="F1180" t="s">
        <v>4435</v>
      </c>
      <c r="G1180">
        <v>3</v>
      </c>
      <c r="H1180">
        <v>1059.31</v>
      </c>
      <c r="I1180">
        <v>20</v>
      </c>
      <c r="J1180" t="s">
        <v>17</v>
      </c>
      <c r="K1180">
        <v>2542.34</v>
      </c>
    </row>
    <row r="1181" spans="1:11" x14ac:dyDescent="0.25">
      <c r="A1181" t="s">
        <v>2368</v>
      </c>
      <c r="B1181" s="1">
        <v>45566</v>
      </c>
      <c r="C1181" t="s">
        <v>2369</v>
      </c>
      <c r="D1181" t="s">
        <v>20</v>
      </c>
      <c r="E1181" t="s">
        <v>3272</v>
      </c>
      <c r="F1181" t="s">
        <v>4694</v>
      </c>
      <c r="G1181">
        <v>2</v>
      </c>
      <c r="H1181">
        <v>574.25</v>
      </c>
      <c r="I1181">
        <v>20</v>
      </c>
      <c r="J1181" t="s">
        <v>39</v>
      </c>
      <c r="K1181">
        <v>918.8</v>
      </c>
    </row>
    <row r="1182" spans="1:11" x14ac:dyDescent="0.25">
      <c r="A1182" t="s">
        <v>2370</v>
      </c>
      <c r="B1182" s="1">
        <v>45742</v>
      </c>
      <c r="C1182" t="s">
        <v>2371</v>
      </c>
      <c r="D1182" t="s">
        <v>13</v>
      </c>
      <c r="E1182" t="s">
        <v>3988</v>
      </c>
      <c r="F1182" t="s">
        <v>4347</v>
      </c>
      <c r="G1182">
        <v>7</v>
      </c>
      <c r="H1182">
        <v>1275.45</v>
      </c>
      <c r="I1182">
        <v>15</v>
      </c>
      <c r="J1182" t="s">
        <v>14</v>
      </c>
      <c r="K1182">
        <v>7588.93</v>
      </c>
    </row>
    <row r="1183" spans="1:11" x14ac:dyDescent="0.25">
      <c r="A1183" t="s">
        <v>2372</v>
      </c>
      <c r="B1183" s="1">
        <v>45686</v>
      </c>
      <c r="C1183" t="s">
        <v>2373</v>
      </c>
      <c r="D1183" t="s">
        <v>36</v>
      </c>
      <c r="E1183" t="s">
        <v>3272</v>
      </c>
      <c r="F1183" t="s">
        <v>4441</v>
      </c>
      <c r="G1183">
        <v>1</v>
      </c>
      <c r="H1183">
        <v>989.64</v>
      </c>
      <c r="I1183">
        <v>10</v>
      </c>
      <c r="J1183" t="s">
        <v>14</v>
      </c>
      <c r="K1183">
        <v>890.68</v>
      </c>
    </row>
    <row r="1184" spans="1:11" x14ac:dyDescent="0.25">
      <c r="A1184" t="s">
        <v>2374</v>
      </c>
      <c r="B1184" s="1">
        <v>45293</v>
      </c>
      <c r="C1184" t="s">
        <v>2375</v>
      </c>
      <c r="D1184" t="s">
        <v>13</v>
      </c>
      <c r="E1184" t="s">
        <v>3988</v>
      </c>
      <c r="F1184" t="s">
        <v>4426</v>
      </c>
      <c r="G1184">
        <v>8</v>
      </c>
      <c r="H1184">
        <v>755.33</v>
      </c>
      <c r="I1184">
        <v>0</v>
      </c>
      <c r="J1184" t="s">
        <v>17</v>
      </c>
      <c r="K1184">
        <v>6042.64</v>
      </c>
    </row>
    <row r="1185" spans="1:11" x14ac:dyDescent="0.25">
      <c r="A1185" t="s">
        <v>2376</v>
      </c>
      <c r="B1185" s="1">
        <v>45298</v>
      </c>
      <c r="C1185" t="s">
        <v>2377</v>
      </c>
      <c r="D1185" t="s">
        <v>36</v>
      </c>
      <c r="E1185" t="s">
        <v>3272</v>
      </c>
      <c r="F1185" t="s">
        <v>4233</v>
      </c>
      <c r="G1185">
        <v>3</v>
      </c>
      <c r="H1185">
        <v>1900.96</v>
      </c>
      <c r="I1185">
        <v>20</v>
      </c>
      <c r="J1185" t="s">
        <v>21</v>
      </c>
      <c r="K1185">
        <v>4562.3</v>
      </c>
    </row>
    <row r="1186" spans="1:11" x14ac:dyDescent="0.25">
      <c r="A1186" t="s">
        <v>2378</v>
      </c>
      <c r="B1186" s="1">
        <v>45318</v>
      </c>
      <c r="C1186" t="s">
        <v>2379</v>
      </c>
      <c r="D1186" t="s">
        <v>13</v>
      </c>
      <c r="E1186" t="s">
        <v>3988</v>
      </c>
      <c r="F1186" t="s">
        <v>4695</v>
      </c>
      <c r="G1186">
        <v>2</v>
      </c>
      <c r="H1186">
        <v>1282.71</v>
      </c>
      <c r="I1186">
        <v>0</v>
      </c>
      <c r="J1186" t="s">
        <v>21</v>
      </c>
      <c r="K1186">
        <v>2565.42</v>
      </c>
    </row>
    <row r="1187" spans="1:11" x14ac:dyDescent="0.25">
      <c r="A1187" t="s">
        <v>2380</v>
      </c>
      <c r="B1187" s="1">
        <v>45723</v>
      </c>
      <c r="C1187" t="s">
        <v>2381</v>
      </c>
      <c r="D1187" t="s">
        <v>36</v>
      </c>
      <c r="E1187" t="s">
        <v>3988</v>
      </c>
      <c r="F1187" t="s">
        <v>4696</v>
      </c>
      <c r="G1187">
        <v>3</v>
      </c>
      <c r="H1187">
        <v>303.39</v>
      </c>
      <c r="I1187">
        <v>20</v>
      </c>
      <c r="J1187" t="s">
        <v>14</v>
      </c>
      <c r="K1187">
        <v>728.14</v>
      </c>
    </row>
    <row r="1188" spans="1:11" x14ac:dyDescent="0.25">
      <c r="A1188" t="s">
        <v>2382</v>
      </c>
      <c r="B1188" s="1">
        <v>45526</v>
      </c>
      <c r="C1188" t="s">
        <v>2383</v>
      </c>
      <c r="D1188" t="s">
        <v>13</v>
      </c>
      <c r="E1188" t="s">
        <v>3988</v>
      </c>
      <c r="F1188" t="s">
        <v>4213</v>
      </c>
      <c r="G1188">
        <v>5</v>
      </c>
      <c r="H1188">
        <v>1142.18</v>
      </c>
      <c r="I1188">
        <v>5</v>
      </c>
      <c r="J1188" t="s">
        <v>39</v>
      </c>
      <c r="K1188">
        <v>5425.36</v>
      </c>
    </row>
    <row r="1189" spans="1:11" x14ac:dyDescent="0.25">
      <c r="A1189" t="s">
        <v>2384</v>
      </c>
      <c r="B1189" s="1">
        <v>45364</v>
      </c>
      <c r="C1189" t="s">
        <v>2385</v>
      </c>
      <c r="D1189" t="s">
        <v>20</v>
      </c>
      <c r="E1189" t="s">
        <v>29</v>
      </c>
      <c r="F1189" t="s">
        <v>4655</v>
      </c>
      <c r="G1189">
        <v>8</v>
      </c>
      <c r="H1189">
        <v>1572.43</v>
      </c>
      <c r="I1189">
        <v>0</v>
      </c>
      <c r="J1189" t="s">
        <v>21</v>
      </c>
      <c r="K1189">
        <v>12579.44</v>
      </c>
    </row>
    <row r="1190" spans="1:11" x14ac:dyDescent="0.25">
      <c r="A1190" t="s">
        <v>2386</v>
      </c>
      <c r="B1190" s="1">
        <v>45712</v>
      </c>
      <c r="C1190" t="s">
        <v>2387</v>
      </c>
      <c r="D1190" t="s">
        <v>36</v>
      </c>
      <c r="E1190" t="s">
        <v>3988</v>
      </c>
      <c r="F1190" t="s">
        <v>4137</v>
      </c>
      <c r="G1190">
        <v>7</v>
      </c>
      <c r="H1190">
        <v>1431.55</v>
      </c>
      <c r="I1190">
        <v>5</v>
      </c>
      <c r="J1190" t="s">
        <v>14</v>
      </c>
      <c r="K1190">
        <v>9519.81</v>
      </c>
    </row>
    <row r="1191" spans="1:11" x14ac:dyDescent="0.25">
      <c r="A1191" t="s">
        <v>2388</v>
      </c>
      <c r="B1191" s="1">
        <v>45607</v>
      </c>
      <c r="C1191" t="s">
        <v>2389</v>
      </c>
      <c r="D1191" t="s">
        <v>36</v>
      </c>
      <c r="E1191" t="s">
        <v>29</v>
      </c>
      <c r="F1191" t="s">
        <v>4697</v>
      </c>
      <c r="G1191">
        <v>7</v>
      </c>
      <c r="H1191">
        <v>385.57</v>
      </c>
      <c r="I1191">
        <v>0</v>
      </c>
      <c r="J1191" t="s">
        <v>39</v>
      </c>
      <c r="K1191">
        <v>2698.99</v>
      </c>
    </row>
    <row r="1192" spans="1:11" x14ac:dyDescent="0.25">
      <c r="A1192" t="s">
        <v>2390</v>
      </c>
      <c r="B1192" s="1">
        <v>45740</v>
      </c>
      <c r="C1192" t="s">
        <v>2391</v>
      </c>
      <c r="D1192" t="s">
        <v>36</v>
      </c>
      <c r="E1192" t="s">
        <v>3988</v>
      </c>
      <c r="F1192" t="s">
        <v>4698</v>
      </c>
      <c r="G1192">
        <v>7</v>
      </c>
      <c r="H1192">
        <v>1946.22</v>
      </c>
      <c r="I1192">
        <v>10</v>
      </c>
      <c r="J1192" t="s">
        <v>39</v>
      </c>
      <c r="K1192">
        <v>12261.19</v>
      </c>
    </row>
    <row r="1193" spans="1:11" x14ac:dyDescent="0.25">
      <c r="A1193" t="s">
        <v>2392</v>
      </c>
      <c r="B1193" s="1">
        <v>45557</v>
      </c>
      <c r="C1193" t="s">
        <v>2393</v>
      </c>
      <c r="D1193" t="s">
        <v>20</v>
      </c>
      <c r="E1193" t="s">
        <v>29</v>
      </c>
      <c r="F1193" t="s">
        <v>4699</v>
      </c>
      <c r="G1193">
        <v>8</v>
      </c>
      <c r="H1193">
        <v>925.19</v>
      </c>
      <c r="I1193">
        <v>15</v>
      </c>
      <c r="J1193" t="s">
        <v>39</v>
      </c>
      <c r="K1193">
        <v>6291.29</v>
      </c>
    </row>
    <row r="1194" spans="1:11" x14ac:dyDescent="0.25">
      <c r="A1194" t="s">
        <v>2394</v>
      </c>
      <c r="B1194" s="1">
        <v>45613</v>
      </c>
      <c r="C1194" t="s">
        <v>2395</v>
      </c>
      <c r="D1194" t="s">
        <v>13</v>
      </c>
      <c r="E1194" t="s">
        <v>3272</v>
      </c>
      <c r="F1194" t="s">
        <v>4122</v>
      </c>
      <c r="G1194">
        <v>1</v>
      </c>
      <c r="H1194">
        <v>360.1</v>
      </c>
      <c r="I1194">
        <v>5</v>
      </c>
      <c r="J1194" t="s">
        <v>39</v>
      </c>
      <c r="K1194">
        <v>342.1</v>
      </c>
    </row>
    <row r="1195" spans="1:11" x14ac:dyDescent="0.25">
      <c r="A1195" t="s">
        <v>2396</v>
      </c>
      <c r="B1195" s="1">
        <v>45369</v>
      </c>
      <c r="C1195" t="s">
        <v>2397</v>
      </c>
      <c r="D1195" t="s">
        <v>36</v>
      </c>
      <c r="E1195" t="s">
        <v>29</v>
      </c>
      <c r="F1195" t="s">
        <v>4610</v>
      </c>
      <c r="G1195">
        <v>4</v>
      </c>
      <c r="H1195">
        <v>401.38</v>
      </c>
      <c r="I1195">
        <v>20</v>
      </c>
      <c r="J1195" t="s">
        <v>14</v>
      </c>
      <c r="K1195">
        <v>1284.42</v>
      </c>
    </row>
    <row r="1196" spans="1:11" x14ac:dyDescent="0.25">
      <c r="A1196" t="s">
        <v>2398</v>
      </c>
      <c r="B1196" s="1">
        <v>45228</v>
      </c>
      <c r="C1196" t="s">
        <v>2399</v>
      </c>
      <c r="D1196" t="s">
        <v>13</v>
      </c>
      <c r="E1196" t="s">
        <v>3272</v>
      </c>
      <c r="F1196" t="s">
        <v>4199</v>
      </c>
      <c r="G1196">
        <v>6</v>
      </c>
      <c r="H1196">
        <v>241.56</v>
      </c>
      <c r="I1196">
        <v>10</v>
      </c>
      <c r="J1196" t="s">
        <v>14</v>
      </c>
      <c r="K1196">
        <v>1304.42</v>
      </c>
    </row>
    <row r="1197" spans="1:11" x14ac:dyDescent="0.25">
      <c r="A1197" t="s">
        <v>2400</v>
      </c>
      <c r="B1197" s="1">
        <v>45796</v>
      </c>
      <c r="C1197" t="s">
        <v>2401</v>
      </c>
      <c r="D1197" t="s">
        <v>20</v>
      </c>
      <c r="E1197" t="s">
        <v>29</v>
      </c>
      <c r="F1197" t="s">
        <v>4050</v>
      </c>
      <c r="G1197">
        <v>9</v>
      </c>
      <c r="H1197">
        <v>1616.86</v>
      </c>
      <c r="I1197">
        <v>0</v>
      </c>
      <c r="J1197" t="s">
        <v>39</v>
      </c>
      <c r="K1197">
        <v>14551.74</v>
      </c>
    </row>
    <row r="1198" spans="1:11" x14ac:dyDescent="0.25">
      <c r="A1198" t="s">
        <v>2402</v>
      </c>
      <c r="B1198" s="1">
        <v>45300</v>
      </c>
      <c r="C1198" t="s">
        <v>2403</v>
      </c>
      <c r="D1198" t="s">
        <v>24</v>
      </c>
      <c r="E1198" t="s">
        <v>3988</v>
      </c>
      <c r="F1198" t="s">
        <v>4700</v>
      </c>
      <c r="G1198">
        <v>2</v>
      </c>
      <c r="H1198">
        <v>287.95999999999998</v>
      </c>
      <c r="I1198">
        <v>5</v>
      </c>
      <c r="J1198" t="s">
        <v>21</v>
      </c>
      <c r="K1198">
        <v>547.12</v>
      </c>
    </row>
    <row r="1199" spans="1:11" x14ac:dyDescent="0.25">
      <c r="A1199" t="s">
        <v>2404</v>
      </c>
      <c r="B1199" s="1">
        <v>45380</v>
      </c>
      <c r="C1199" t="s">
        <v>2405</v>
      </c>
      <c r="D1199" t="s">
        <v>36</v>
      </c>
      <c r="E1199" t="s">
        <v>29</v>
      </c>
      <c r="F1199" t="s">
        <v>4701</v>
      </c>
      <c r="G1199">
        <v>1</v>
      </c>
      <c r="H1199">
        <v>293.99</v>
      </c>
      <c r="I1199">
        <v>0</v>
      </c>
      <c r="J1199" t="s">
        <v>21</v>
      </c>
      <c r="K1199">
        <v>293.99</v>
      </c>
    </row>
    <row r="1200" spans="1:11" x14ac:dyDescent="0.25">
      <c r="A1200" t="s">
        <v>2406</v>
      </c>
      <c r="B1200" s="1">
        <v>45326</v>
      </c>
      <c r="C1200" t="s">
        <v>2407</v>
      </c>
      <c r="D1200" t="s">
        <v>20</v>
      </c>
      <c r="E1200" t="s">
        <v>3272</v>
      </c>
      <c r="F1200" t="s">
        <v>4145</v>
      </c>
      <c r="G1200">
        <v>2</v>
      </c>
      <c r="H1200">
        <v>1708.42</v>
      </c>
      <c r="I1200">
        <v>0</v>
      </c>
      <c r="J1200" t="s">
        <v>14</v>
      </c>
      <c r="K1200">
        <v>3416.84</v>
      </c>
    </row>
    <row r="1201" spans="1:11" x14ac:dyDescent="0.25">
      <c r="A1201" t="s">
        <v>2408</v>
      </c>
      <c r="B1201" s="1">
        <v>45430</v>
      </c>
      <c r="C1201" t="s">
        <v>2409</v>
      </c>
      <c r="D1201" t="s">
        <v>13</v>
      </c>
      <c r="E1201" t="s">
        <v>3988</v>
      </c>
      <c r="F1201" t="s">
        <v>4702</v>
      </c>
      <c r="G1201">
        <v>7</v>
      </c>
      <c r="H1201">
        <v>721.98</v>
      </c>
      <c r="I1201">
        <v>0</v>
      </c>
      <c r="J1201" t="s">
        <v>39</v>
      </c>
      <c r="K1201">
        <v>5053.8599999999997</v>
      </c>
    </row>
    <row r="1202" spans="1:11" x14ac:dyDescent="0.25">
      <c r="A1202" t="s">
        <v>2410</v>
      </c>
      <c r="B1202" s="1">
        <v>45289</v>
      </c>
      <c r="C1202" t="s">
        <v>2411</v>
      </c>
      <c r="D1202" t="s">
        <v>36</v>
      </c>
      <c r="E1202" t="s">
        <v>3988</v>
      </c>
      <c r="F1202" t="s">
        <v>4368</v>
      </c>
      <c r="G1202">
        <v>3</v>
      </c>
      <c r="H1202">
        <v>110.17</v>
      </c>
      <c r="I1202">
        <v>15</v>
      </c>
      <c r="J1202" t="s">
        <v>39</v>
      </c>
      <c r="K1202">
        <v>280.93</v>
      </c>
    </row>
    <row r="1203" spans="1:11" x14ac:dyDescent="0.25">
      <c r="A1203" t="s">
        <v>2412</v>
      </c>
      <c r="B1203" s="1">
        <v>45384</v>
      </c>
      <c r="C1203" t="s">
        <v>2413</v>
      </c>
      <c r="D1203" t="s">
        <v>13</v>
      </c>
      <c r="E1203" t="s">
        <v>3988</v>
      </c>
      <c r="F1203" t="s">
        <v>4703</v>
      </c>
      <c r="G1203">
        <v>2</v>
      </c>
      <c r="H1203">
        <v>151.19999999999999</v>
      </c>
      <c r="I1203">
        <v>15</v>
      </c>
      <c r="J1203" t="s">
        <v>14</v>
      </c>
      <c r="K1203">
        <v>257.04000000000002</v>
      </c>
    </row>
    <row r="1204" spans="1:11" x14ac:dyDescent="0.25">
      <c r="A1204" t="s">
        <v>2414</v>
      </c>
      <c r="B1204" s="1">
        <v>45160</v>
      </c>
      <c r="C1204" t="s">
        <v>2415</v>
      </c>
      <c r="D1204" t="s">
        <v>24</v>
      </c>
      <c r="E1204" t="s">
        <v>3988</v>
      </c>
      <c r="F1204" t="s">
        <v>4209</v>
      </c>
      <c r="G1204">
        <v>7</v>
      </c>
      <c r="H1204">
        <v>327.23</v>
      </c>
      <c r="I1204">
        <v>20</v>
      </c>
      <c r="J1204" t="s">
        <v>14</v>
      </c>
      <c r="K1204">
        <v>1832.49</v>
      </c>
    </row>
    <row r="1205" spans="1:11" x14ac:dyDescent="0.25">
      <c r="A1205" t="s">
        <v>2416</v>
      </c>
      <c r="B1205" s="1">
        <v>45699</v>
      </c>
      <c r="C1205" t="s">
        <v>2417</v>
      </c>
      <c r="D1205" t="s">
        <v>36</v>
      </c>
      <c r="E1205" t="s">
        <v>3988</v>
      </c>
      <c r="F1205" t="s">
        <v>4680</v>
      </c>
      <c r="G1205">
        <v>2</v>
      </c>
      <c r="H1205">
        <v>466.12</v>
      </c>
      <c r="I1205">
        <v>5</v>
      </c>
      <c r="J1205" t="s">
        <v>14</v>
      </c>
      <c r="K1205">
        <v>885.63</v>
      </c>
    </row>
    <row r="1206" spans="1:11" x14ac:dyDescent="0.25">
      <c r="A1206" t="s">
        <v>2418</v>
      </c>
      <c r="B1206" s="1">
        <v>45564</v>
      </c>
      <c r="C1206" t="s">
        <v>2419</v>
      </c>
      <c r="D1206" t="s">
        <v>36</v>
      </c>
      <c r="E1206" t="s">
        <v>3988</v>
      </c>
      <c r="F1206" t="s">
        <v>4704</v>
      </c>
      <c r="G1206">
        <v>3</v>
      </c>
      <c r="H1206">
        <v>1347.04</v>
      </c>
      <c r="I1206">
        <v>10</v>
      </c>
      <c r="J1206" t="s">
        <v>17</v>
      </c>
      <c r="K1206">
        <v>3637.01</v>
      </c>
    </row>
    <row r="1207" spans="1:11" x14ac:dyDescent="0.25">
      <c r="A1207" t="s">
        <v>2420</v>
      </c>
      <c r="B1207" s="1">
        <v>45248</v>
      </c>
      <c r="C1207" t="s">
        <v>2421</v>
      </c>
      <c r="D1207" t="s">
        <v>13</v>
      </c>
      <c r="E1207" t="s">
        <v>3988</v>
      </c>
      <c r="F1207" t="s">
        <v>4704</v>
      </c>
      <c r="G1207">
        <v>7</v>
      </c>
      <c r="H1207">
        <v>356.79</v>
      </c>
      <c r="I1207">
        <v>10</v>
      </c>
      <c r="J1207" t="s">
        <v>17</v>
      </c>
      <c r="K1207">
        <v>2247.7800000000002</v>
      </c>
    </row>
    <row r="1208" spans="1:11" x14ac:dyDescent="0.25">
      <c r="A1208" t="s">
        <v>2422</v>
      </c>
      <c r="B1208" s="1">
        <v>45363</v>
      </c>
      <c r="C1208" t="s">
        <v>2423</v>
      </c>
      <c r="D1208" t="s">
        <v>36</v>
      </c>
      <c r="E1208" t="s">
        <v>3988</v>
      </c>
      <c r="F1208" t="s">
        <v>4705</v>
      </c>
      <c r="G1208">
        <v>4</v>
      </c>
      <c r="H1208">
        <v>281.81</v>
      </c>
      <c r="I1208">
        <v>10</v>
      </c>
      <c r="J1208" t="s">
        <v>39</v>
      </c>
      <c r="K1208">
        <v>1014.52</v>
      </c>
    </row>
    <row r="1209" spans="1:11" x14ac:dyDescent="0.25">
      <c r="A1209" t="s">
        <v>2424</v>
      </c>
      <c r="B1209" s="1">
        <v>45185</v>
      </c>
      <c r="C1209" t="s">
        <v>2425</v>
      </c>
      <c r="D1209" t="s">
        <v>20</v>
      </c>
      <c r="E1209" t="s">
        <v>3272</v>
      </c>
      <c r="F1209" t="s">
        <v>4706</v>
      </c>
      <c r="G1209">
        <v>1</v>
      </c>
      <c r="H1209">
        <v>1541.2</v>
      </c>
      <c r="I1209">
        <v>0</v>
      </c>
      <c r="J1209" t="s">
        <v>17</v>
      </c>
      <c r="K1209">
        <v>1541.2</v>
      </c>
    </row>
    <row r="1210" spans="1:11" x14ac:dyDescent="0.25">
      <c r="A1210" t="s">
        <v>2426</v>
      </c>
      <c r="B1210" s="1">
        <v>45192</v>
      </c>
      <c r="C1210" t="s">
        <v>2427</v>
      </c>
      <c r="D1210" t="s">
        <v>20</v>
      </c>
      <c r="E1210" t="s">
        <v>3988</v>
      </c>
      <c r="F1210" t="s">
        <v>4705</v>
      </c>
      <c r="G1210">
        <v>5</v>
      </c>
      <c r="H1210">
        <v>1358.56</v>
      </c>
      <c r="I1210">
        <v>15</v>
      </c>
      <c r="J1210" t="s">
        <v>21</v>
      </c>
      <c r="K1210">
        <v>5773.88</v>
      </c>
    </row>
    <row r="1211" spans="1:11" x14ac:dyDescent="0.25">
      <c r="A1211" t="s">
        <v>2428</v>
      </c>
      <c r="B1211" s="1">
        <v>45579</v>
      </c>
      <c r="C1211" t="s">
        <v>2429</v>
      </c>
      <c r="D1211" t="s">
        <v>24</v>
      </c>
      <c r="E1211" t="s">
        <v>3272</v>
      </c>
      <c r="F1211" t="s">
        <v>4706</v>
      </c>
      <c r="G1211">
        <v>9</v>
      </c>
      <c r="H1211">
        <v>898.88</v>
      </c>
      <c r="I1211">
        <v>5</v>
      </c>
      <c r="J1211" t="s">
        <v>39</v>
      </c>
      <c r="K1211">
        <v>7685.42</v>
      </c>
    </row>
    <row r="1212" spans="1:11" x14ac:dyDescent="0.25">
      <c r="A1212" t="s">
        <v>2430</v>
      </c>
      <c r="B1212" s="1">
        <v>45376</v>
      </c>
      <c r="C1212" t="s">
        <v>2431</v>
      </c>
      <c r="D1212" t="s">
        <v>20</v>
      </c>
      <c r="E1212" t="s">
        <v>3272</v>
      </c>
      <c r="F1212" t="s">
        <v>4315</v>
      </c>
      <c r="G1212">
        <v>8</v>
      </c>
      <c r="H1212">
        <v>1121.1500000000001</v>
      </c>
      <c r="I1212">
        <v>0</v>
      </c>
      <c r="J1212" t="s">
        <v>17</v>
      </c>
      <c r="K1212">
        <v>8969.2000000000007</v>
      </c>
    </row>
    <row r="1213" spans="1:11" x14ac:dyDescent="0.25">
      <c r="A1213" t="s">
        <v>2432</v>
      </c>
      <c r="B1213" s="1">
        <v>45691</v>
      </c>
      <c r="C1213" t="s">
        <v>2433</v>
      </c>
      <c r="D1213" t="s">
        <v>24</v>
      </c>
      <c r="E1213" t="s">
        <v>3272</v>
      </c>
      <c r="F1213" t="s">
        <v>4203</v>
      </c>
      <c r="G1213">
        <v>9</v>
      </c>
      <c r="H1213">
        <v>658.37</v>
      </c>
      <c r="I1213">
        <v>15</v>
      </c>
      <c r="J1213" t="s">
        <v>39</v>
      </c>
      <c r="K1213">
        <v>5036.53</v>
      </c>
    </row>
    <row r="1214" spans="1:11" x14ac:dyDescent="0.25">
      <c r="A1214" t="s">
        <v>2434</v>
      </c>
      <c r="B1214" s="1">
        <v>45248</v>
      </c>
      <c r="C1214" t="s">
        <v>765</v>
      </c>
      <c r="D1214" t="s">
        <v>13</v>
      </c>
      <c r="E1214" t="s">
        <v>3988</v>
      </c>
      <c r="F1214" t="s">
        <v>4707</v>
      </c>
      <c r="G1214">
        <v>9</v>
      </c>
      <c r="H1214">
        <v>990.88</v>
      </c>
      <c r="I1214">
        <v>15</v>
      </c>
      <c r="J1214" t="s">
        <v>21</v>
      </c>
      <c r="K1214">
        <v>7580.23</v>
      </c>
    </row>
    <row r="1215" spans="1:11" x14ac:dyDescent="0.25">
      <c r="A1215" t="s">
        <v>2435</v>
      </c>
      <c r="B1215" s="1">
        <v>45645</v>
      </c>
      <c r="C1215" t="s">
        <v>2436</v>
      </c>
      <c r="D1215" t="s">
        <v>13</v>
      </c>
      <c r="E1215" t="s">
        <v>3272</v>
      </c>
      <c r="F1215" t="s">
        <v>4708</v>
      </c>
      <c r="G1215">
        <v>7</v>
      </c>
      <c r="H1215">
        <v>1038.01</v>
      </c>
      <c r="I1215">
        <v>5</v>
      </c>
      <c r="J1215" t="s">
        <v>21</v>
      </c>
      <c r="K1215">
        <v>6902.77</v>
      </c>
    </row>
    <row r="1216" spans="1:11" x14ac:dyDescent="0.25">
      <c r="A1216" t="s">
        <v>2437</v>
      </c>
      <c r="B1216" s="1">
        <v>45824</v>
      </c>
      <c r="C1216" t="s">
        <v>2438</v>
      </c>
      <c r="D1216" t="s">
        <v>24</v>
      </c>
      <c r="E1216" t="s">
        <v>29</v>
      </c>
      <c r="F1216" t="s">
        <v>4274</v>
      </c>
      <c r="G1216">
        <v>4</v>
      </c>
      <c r="H1216">
        <v>805.11</v>
      </c>
      <c r="I1216">
        <v>5</v>
      </c>
      <c r="J1216" t="s">
        <v>39</v>
      </c>
      <c r="K1216">
        <v>3059.42</v>
      </c>
    </row>
    <row r="1217" spans="1:11" x14ac:dyDescent="0.25">
      <c r="A1217" t="s">
        <v>2439</v>
      </c>
      <c r="B1217" s="1">
        <v>45734</v>
      </c>
      <c r="C1217" t="s">
        <v>2440</v>
      </c>
      <c r="D1217" t="s">
        <v>20</v>
      </c>
      <c r="E1217" t="s">
        <v>3988</v>
      </c>
      <c r="F1217" t="s">
        <v>4709</v>
      </c>
      <c r="G1217">
        <v>5</v>
      </c>
      <c r="H1217">
        <v>1817.82</v>
      </c>
      <c r="I1217">
        <v>5</v>
      </c>
      <c r="J1217" t="s">
        <v>17</v>
      </c>
      <c r="K1217">
        <v>8634.64</v>
      </c>
    </row>
    <row r="1218" spans="1:11" x14ac:dyDescent="0.25">
      <c r="A1218" t="s">
        <v>2441</v>
      </c>
      <c r="B1218" s="1">
        <v>45531</v>
      </c>
      <c r="C1218" t="s">
        <v>2442</v>
      </c>
      <c r="D1218" t="s">
        <v>20</v>
      </c>
      <c r="E1218" t="s">
        <v>3988</v>
      </c>
      <c r="F1218" t="s">
        <v>4218</v>
      </c>
      <c r="G1218">
        <v>1</v>
      </c>
      <c r="H1218">
        <v>81.319999999999993</v>
      </c>
      <c r="I1218">
        <v>0</v>
      </c>
      <c r="J1218" t="s">
        <v>39</v>
      </c>
      <c r="K1218">
        <v>81.319999999999993</v>
      </c>
    </row>
    <row r="1219" spans="1:11" x14ac:dyDescent="0.25">
      <c r="A1219" t="s">
        <v>2443</v>
      </c>
      <c r="B1219" s="1">
        <v>45229</v>
      </c>
      <c r="C1219" t="s">
        <v>2444</v>
      </c>
      <c r="D1219" t="s">
        <v>24</v>
      </c>
      <c r="E1219" t="s">
        <v>29</v>
      </c>
      <c r="F1219" t="s">
        <v>4710</v>
      </c>
      <c r="G1219">
        <v>1</v>
      </c>
      <c r="H1219">
        <v>1575.23</v>
      </c>
      <c r="I1219">
        <v>20</v>
      </c>
      <c r="J1219" t="s">
        <v>21</v>
      </c>
      <c r="K1219">
        <v>1260.18</v>
      </c>
    </row>
    <row r="1220" spans="1:11" x14ac:dyDescent="0.25">
      <c r="A1220" t="s">
        <v>2445</v>
      </c>
      <c r="B1220" s="1">
        <v>45827</v>
      </c>
      <c r="C1220" t="s">
        <v>2446</v>
      </c>
      <c r="D1220" t="s">
        <v>24</v>
      </c>
      <c r="E1220" t="s">
        <v>29</v>
      </c>
      <c r="F1220" t="s">
        <v>4061</v>
      </c>
      <c r="G1220">
        <v>3</v>
      </c>
      <c r="H1220">
        <v>292.55</v>
      </c>
      <c r="I1220">
        <v>5</v>
      </c>
      <c r="J1220" t="s">
        <v>17</v>
      </c>
      <c r="K1220">
        <v>833.77</v>
      </c>
    </row>
    <row r="1221" spans="1:11" x14ac:dyDescent="0.25">
      <c r="A1221" t="s">
        <v>2447</v>
      </c>
      <c r="B1221" s="1">
        <v>45159</v>
      </c>
      <c r="C1221" t="s">
        <v>2448</v>
      </c>
      <c r="D1221" t="s">
        <v>13</v>
      </c>
      <c r="E1221" t="s">
        <v>3988</v>
      </c>
      <c r="F1221" t="s">
        <v>4070</v>
      </c>
      <c r="G1221">
        <v>8</v>
      </c>
      <c r="H1221">
        <v>1605.22</v>
      </c>
      <c r="I1221">
        <v>20</v>
      </c>
      <c r="J1221" t="s">
        <v>17</v>
      </c>
      <c r="K1221">
        <v>10273.41</v>
      </c>
    </row>
    <row r="1222" spans="1:11" x14ac:dyDescent="0.25">
      <c r="A1222" t="s">
        <v>2449</v>
      </c>
      <c r="B1222" s="1">
        <v>45595</v>
      </c>
      <c r="C1222" t="s">
        <v>2450</v>
      </c>
      <c r="D1222" t="s">
        <v>24</v>
      </c>
      <c r="E1222" t="s">
        <v>3988</v>
      </c>
      <c r="F1222" t="s">
        <v>4184</v>
      </c>
      <c r="G1222">
        <v>2</v>
      </c>
      <c r="H1222">
        <v>1251.03</v>
      </c>
      <c r="I1222">
        <v>0</v>
      </c>
      <c r="J1222" t="s">
        <v>14</v>
      </c>
      <c r="K1222">
        <v>2502.06</v>
      </c>
    </row>
    <row r="1223" spans="1:11" x14ac:dyDescent="0.25">
      <c r="A1223" t="s">
        <v>2451</v>
      </c>
      <c r="B1223" s="1">
        <v>45370</v>
      </c>
      <c r="C1223" t="s">
        <v>2452</v>
      </c>
      <c r="D1223" t="s">
        <v>20</v>
      </c>
      <c r="E1223" t="s">
        <v>3272</v>
      </c>
      <c r="F1223" t="s">
        <v>4393</v>
      </c>
      <c r="G1223">
        <v>4</v>
      </c>
      <c r="H1223">
        <v>1694.39</v>
      </c>
      <c r="I1223">
        <v>20</v>
      </c>
      <c r="J1223" t="s">
        <v>39</v>
      </c>
      <c r="K1223">
        <v>5422.05</v>
      </c>
    </row>
    <row r="1224" spans="1:11" x14ac:dyDescent="0.25">
      <c r="A1224" t="s">
        <v>2453</v>
      </c>
      <c r="B1224" s="1">
        <v>45514</v>
      </c>
      <c r="C1224" t="s">
        <v>2454</v>
      </c>
      <c r="D1224" t="s">
        <v>24</v>
      </c>
      <c r="E1224" t="s">
        <v>3272</v>
      </c>
      <c r="F1224" t="s">
        <v>4092</v>
      </c>
      <c r="G1224">
        <v>2</v>
      </c>
      <c r="H1224">
        <v>240.15</v>
      </c>
      <c r="I1224">
        <v>10</v>
      </c>
      <c r="J1224" t="s">
        <v>21</v>
      </c>
      <c r="K1224">
        <v>432.27</v>
      </c>
    </row>
    <row r="1225" spans="1:11" x14ac:dyDescent="0.25">
      <c r="A1225" t="s">
        <v>2455</v>
      </c>
      <c r="B1225" s="1">
        <v>45521</v>
      </c>
      <c r="C1225" t="s">
        <v>2456</v>
      </c>
      <c r="D1225" t="s">
        <v>24</v>
      </c>
      <c r="E1225" t="s">
        <v>29</v>
      </c>
      <c r="F1225" t="s">
        <v>4365</v>
      </c>
      <c r="G1225">
        <v>5</v>
      </c>
      <c r="H1225">
        <v>1140.01</v>
      </c>
      <c r="I1225">
        <v>20</v>
      </c>
      <c r="J1225" t="s">
        <v>21</v>
      </c>
      <c r="K1225">
        <v>4560.04</v>
      </c>
    </row>
    <row r="1226" spans="1:11" x14ac:dyDescent="0.25">
      <c r="A1226" t="s">
        <v>2457</v>
      </c>
      <c r="B1226" s="1">
        <v>45492</v>
      </c>
      <c r="C1226" t="s">
        <v>2458</v>
      </c>
      <c r="D1226" t="s">
        <v>24</v>
      </c>
      <c r="E1226" t="s">
        <v>29</v>
      </c>
      <c r="F1226" t="s">
        <v>4050</v>
      </c>
      <c r="G1226">
        <v>9</v>
      </c>
      <c r="H1226">
        <v>1027.1199999999999</v>
      </c>
      <c r="I1226">
        <v>5</v>
      </c>
      <c r="J1226" t="s">
        <v>39</v>
      </c>
      <c r="K1226">
        <v>8781.8799999999992</v>
      </c>
    </row>
    <row r="1227" spans="1:11" x14ac:dyDescent="0.25">
      <c r="A1227" t="s">
        <v>2459</v>
      </c>
      <c r="B1227" s="1">
        <v>45414</v>
      </c>
      <c r="C1227" t="s">
        <v>2460</v>
      </c>
      <c r="D1227" t="s">
        <v>13</v>
      </c>
      <c r="E1227" t="s">
        <v>3272</v>
      </c>
      <c r="F1227" t="s">
        <v>4148</v>
      </c>
      <c r="G1227">
        <v>1</v>
      </c>
      <c r="H1227">
        <v>1427.08</v>
      </c>
      <c r="I1227">
        <v>0</v>
      </c>
      <c r="J1227" t="s">
        <v>39</v>
      </c>
      <c r="K1227">
        <v>1427.08</v>
      </c>
    </row>
    <row r="1228" spans="1:11" x14ac:dyDescent="0.25">
      <c r="A1228" t="s">
        <v>2461</v>
      </c>
      <c r="B1228" s="1">
        <v>45293</v>
      </c>
      <c r="C1228" t="s">
        <v>2462</v>
      </c>
      <c r="D1228" t="s">
        <v>24</v>
      </c>
      <c r="E1228" t="s">
        <v>3272</v>
      </c>
      <c r="F1228" t="s">
        <v>4711</v>
      </c>
      <c r="G1228">
        <v>5</v>
      </c>
      <c r="H1228">
        <v>1091.8699999999999</v>
      </c>
      <c r="I1228">
        <v>5</v>
      </c>
      <c r="J1228" t="s">
        <v>21</v>
      </c>
      <c r="K1228">
        <v>5186.38</v>
      </c>
    </row>
    <row r="1229" spans="1:11" x14ac:dyDescent="0.25">
      <c r="A1229" t="s">
        <v>2463</v>
      </c>
      <c r="B1229" s="1">
        <v>45189</v>
      </c>
      <c r="C1229" t="s">
        <v>2464</v>
      </c>
      <c r="D1229" t="s">
        <v>36</v>
      </c>
      <c r="E1229" t="s">
        <v>3988</v>
      </c>
      <c r="F1229" t="s">
        <v>4347</v>
      </c>
      <c r="G1229">
        <v>9</v>
      </c>
      <c r="H1229">
        <v>1104.43</v>
      </c>
      <c r="I1229">
        <v>10</v>
      </c>
      <c r="J1229" t="s">
        <v>21</v>
      </c>
      <c r="K1229">
        <v>8945.8799999999992</v>
      </c>
    </row>
    <row r="1230" spans="1:11" x14ac:dyDescent="0.25">
      <c r="A1230" t="s">
        <v>2465</v>
      </c>
      <c r="B1230" s="1">
        <v>45346</v>
      </c>
      <c r="C1230" t="s">
        <v>2466</v>
      </c>
      <c r="D1230" t="s">
        <v>36</v>
      </c>
      <c r="E1230" t="s">
        <v>3988</v>
      </c>
      <c r="F1230" t="s">
        <v>4006</v>
      </c>
      <c r="G1230">
        <v>1</v>
      </c>
      <c r="H1230">
        <v>887.71</v>
      </c>
      <c r="I1230">
        <v>5</v>
      </c>
      <c r="J1230" t="s">
        <v>39</v>
      </c>
      <c r="K1230">
        <v>843.32</v>
      </c>
    </row>
    <row r="1231" spans="1:11" x14ac:dyDescent="0.25">
      <c r="A1231" t="s">
        <v>2467</v>
      </c>
      <c r="B1231" s="1">
        <v>45880</v>
      </c>
      <c r="C1231" t="s">
        <v>2468</v>
      </c>
      <c r="D1231" t="s">
        <v>36</v>
      </c>
      <c r="E1231" t="s">
        <v>3272</v>
      </c>
      <c r="F1231" t="s">
        <v>4496</v>
      </c>
      <c r="G1231">
        <v>9</v>
      </c>
      <c r="H1231">
        <v>652.23</v>
      </c>
      <c r="I1231">
        <v>5</v>
      </c>
      <c r="J1231" t="s">
        <v>39</v>
      </c>
      <c r="K1231">
        <v>5576.57</v>
      </c>
    </row>
    <row r="1232" spans="1:11" x14ac:dyDescent="0.25">
      <c r="A1232" t="s">
        <v>2469</v>
      </c>
      <c r="B1232" s="1">
        <v>45819</v>
      </c>
      <c r="C1232" t="s">
        <v>2470</v>
      </c>
      <c r="D1232" t="s">
        <v>20</v>
      </c>
      <c r="E1232" t="s">
        <v>3988</v>
      </c>
      <c r="F1232" t="s">
        <v>4368</v>
      </c>
      <c r="G1232">
        <v>8</v>
      </c>
      <c r="H1232">
        <v>990.42</v>
      </c>
      <c r="I1232">
        <v>5</v>
      </c>
      <c r="J1232" t="s">
        <v>17</v>
      </c>
      <c r="K1232">
        <v>7527.19</v>
      </c>
    </row>
    <row r="1233" spans="1:11" x14ac:dyDescent="0.25">
      <c r="A1233" t="s">
        <v>2471</v>
      </c>
      <c r="B1233" s="1">
        <v>45521</v>
      </c>
      <c r="C1233" t="s">
        <v>2472</v>
      </c>
      <c r="D1233" t="s">
        <v>20</v>
      </c>
      <c r="E1233" t="s">
        <v>3272</v>
      </c>
      <c r="F1233" t="s">
        <v>4477</v>
      </c>
      <c r="G1233">
        <v>4</v>
      </c>
      <c r="H1233">
        <v>281.06</v>
      </c>
      <c r="I1233">
        <v>15</v>
      </c>
      <c r="J1233" t="s">
        <v>14</v>
      </c>
      <c r="K1233">
        <v>955.6</v>
      </c>
    </row>
    <row r="1234" spans="1:11" x14ac:dyDescent="0.25">
      <c r="A1234" t="s">
        <v>2473</v>
      </c>
      <c r="B1234" s="1">
        <v>45238</v>
      </c>
      <c r="C1234" t="s">
        <v>2474</v>
      </c>
      <c r="D1234" t="s">
        <v>24</v>
      </c>
      <c r="E1234" t="s">
        <v>3988</v>
      </c>
      <c r="F1234" t="s">
        <v>4342</v>
      </c>
      <c r="G1234">
        <v>5</v>
      </c>
      <c r="H1234">
        <v>1924.95</v>
      </c>
      <c r="I1234">
        <v>10</v>
      </c>
      <c r="J1234" t="s">
        <v>21</v>
      </c>
      <c r="K1234">
        <v>8662.2800000000007</v>
      </c>
    </row>
    <row r="1235" spans="1:11" x14ac:dyDescent="0.25">
      <c r="A1235" t="s">
        <v>2475</v>
      </c>
      <c r="B1235" s="1">
        <v>45788</v>
      </c>
      <c r="C1235" t="s">
        <v>2476</v>
      </c>
      <c r="D1235" t="s">
        <v>36</v>
      </c>
      <c r="E1235" t="s">
        <v>29</v>
      </c>
      <c r="F1235" t="s">
        <v>4261</v>
      </c>
      <c r="G1235">
        <v>5</v>
      </c>
      <c r="H1235">
        <v>1443.1</v>
      </c>
      <c r="I1235">
        <v>5</v>
      </c>
      <c r="J1235" t="s">
        <v>17</v>
      </c>
      <c r="K1235">
        <v>6854.72</v>
      </c>
    </row>
    <row r="1236" spans="1:11" x14ac:dyDescent="0.25">
      <c r="A1236" t="s">
        <v>2477</v>
      </c>
      <c r="B1236" s="1">
        <v>45200</v>
      </c>
      <c r="C1236" t="s">
        <v>2478</v>
      </c>
      <c r="D1236" t="s">
        <v>13</v>
      </c>
      <c r="E1236" t="s">
        <v>29</v>
      </c>
      <c r="F1236" t="s">
        <v>4712</v>
      </c>
      <c r="G1236">
        <v>6</v>
      </c>
      <c r="H1236">
        <v>1907.31</v>
      </c>
      <c r="I1236">
        <v>5</v>
      </c>
      <c r="J1236" t="s">
        <v>39</v>
      </c>
      <c r="K1236">
        <v>10871.67</v>
      </c>
    </row>
    <row r="1237" spans="1:11" x14ac:dyDescent="0.25">
      <c r="A1237" t="s">
        <v>2479</v>
      </c>
      <c r="B1237" s="1">
        <v>45461</v>
      </c>
      <c r="C1237" t="s">
        <v>2480</v>
      </c>
      <c r="D1237" t="s">
        <v>36</v>
      </c>
      <c r="E1237" t="s">
        <v>3988</v>
      </c>
      <c r="F1237" t="s">
        <v>4600</v>
      </c>
      <c r="G1237">
        <v>7</v>
      </c>
      <c r="H1237">
        <v>492.12</v>
      </c>
      <c r="I1237">
        <v>5</v>
      </c>
      <c r="J1237" t="s">
        <v>14</v>
      </c>
      <c r="K1237">
        <v>3272.6</v>
      </c>
    </row>
    <row r="1238" spans="1:11" x14ac:dyDescent="0.25">
      <c r="A1238" t="s">
        <v>2481</v>
      </c>
      <c r="B1238" s="1">
        <v>45531</v>
      </c>
      <c r="C1238" t="s">
        <v>2482</v>
      </c>
      <c r="D1238" t="s">
        <v>36</v>
      </c>
      <c r="E1238" t="s">
        <v>29</v>
      </c>
      <c r="F1238" t="s">
        <v>4265</v>
      </c>
      <c r="G1238">
        <v>8</v>
      </c>
      <c r="H1238">
        <v>1764.71</v>
      </c>
      <c r="I1238">
        <v>0</v>
      </c>
      <c r="J1238" t="s">
        <v>21</v>
      </c>
      <c r="K1238">
        <v>14117.68</v>
      </c>
    </row>
    <row r="1239" spans="1:11" x14ac:dyDescent="0.25">
      <c r="A1239" t="s">
        <v>2483</v>
      </c>
      <c r="B1239" s="1">
        <v>45207</v>
      </c>
      <c r="C1239" t="s">
        <v>2484</v>
      </c>
      <c r="D1239" t="s">
        <v>20</v>
      </c>
      <c r="E1239" t="s">
        <v>3988</v>
      </c>
      <c r="F1239" t="s">
        <v>4422</v>
      </c>
      <c r="G1239">
        <v>8</v>
      </c>
      <c r="H1239">
        <v>1627.14</v>
      </c>
      <c r="I1239">
        <v>15</v>
      </c>
      <c r="J1239" t="s">
        <v>14</v>
      </c>
      <c r="K1239">
        <v>11064.55</v>
      </c>
    </row>
    <row r="1240" spans="1:11" x14ac:dyDescent="0.25">
      <c r="A1240" t="s">
        <v>2485</v>
      </c>
      <c r="B1240" s="1">
        <v>45598</v>
      </c>
      <c r="C1240" t="s">
        <v>2486</v>
      </c>
      <c r="D1240" t="s">
        <v>20</v>
      </c>
      <c r="E1240" t="s">
        <v>3988</v>
      </c>
      <c r="F1240" t="s">
        <v>4713</v>
      </c>
      <c r="G1240">
        <v>2</v>
      </c>
      <c r="H1240">
        <v>1370.45</v>
      </c>
      <c r="I1240">
        <v>0</v>
      </c>
      <c r="J1240" t="s">
        <v>17</v>
      </c>
      <c r="K1240">
        <v>2740.9</v>
      </c>
    </row>
    <row r="1241" spans="1:11" x14ac:dyDescent="0.25">
      <c r="A1241" t="s">
        <v>2487</v>
      </c>
      <c r="B1241" s="1">
        <v>45638</v>
      </c>
      <c r="C1241" t="s">
        <v>2488</v>
      </c>
      <c r="D1241" t="s">
        <v>13</v>
      </c>
      <c r="E1241" t="s">
        <v>3988</v>
      </c>
      <c r="F1241" t="s">
        <v>4384</v>
      </c>
      <c r="G1241">
        <v>9</v>
      </c>
      <c r="H1241">
        <v>1268.81</v>
      </c>
      <c r="I1241">
        <v>15</v>
      </c>
      <c r="J1241" t="s">
        <v>39</v>
      </c>
      <c r="K1241">
        <v>9706.4</v>
      </c>
    </row>
    <row r="1242" spans="1:11" x14ac:dyDescent="0.25">
      <c r="A1242" t="s">
        <v>2489</v>
      </c>
      <c r="B1242" s="1">
        <v>45683</v>
      </c>
      <c r="C1242" t="s">
        <v>2490</v>
      </c>
      <c r="D1242" t="s">
        <v>20</v>
      </c>
      <c r="E1242" t="s">
        <v>3988</v>
      </c>
      <c r="F1242" t="s">
        <v>4714</v>
      </c>
      <c r="G1242">
        <v>7</v>
      </c>
      <c r="H1242">
        <v>667.27</v>
      </c>
      <c r="I1242">
        <v>5</v>
      </c>
      <c r="J1242" t="s">
        <v>17</v>
      </c>
      <c r="K1242">
        <v>4437.3500000000004</v>
      </c>
    </row>
    <row r="1243" spans="1:11" x14ac:dyDescent="0.25">
      <c r="A1243" t="s">
        <v>2491</v>
      </c>
      <c r="B1243" s="1">
        <v>45191</v>
      </c>
      <c r="C1243" t="s">
        <v>2492</v>
      </c>
      <c r="D1243" t="s">
        <v>13</v>
      </c>
      <c r="E1243" t="s">
        <v>29</v>
      </c>
      <c r="F1243" t="s">
        <v>4715</v>
      </c>
      <c r="G1243">
        <v>4</v>
      </c>
      <c r="H1243">
        <v>1642</v>
      </c>
      <c r="I1243">
        <v>10</v>
      </c>
      <c r="J1243" t="s">
        <v>14</v>
      </c>
      <c r="K1243">
        <v>5911.2</v>
      </c>
    </row>
    <row r="1244" spans="1:11" x14ac:dyDescent="0.25">
      <c r="A1244" t="s">
        <v>2493</v>
      </c>
      <c r="B1244" s="1">
        <v>45267</v>
      </c>
      <c r="C1244" t="s">
        <v>2494</v>
      </c>
      <c r="D1244" t="s">
        <v>20</v>
      </c>
      <c r="E1244" t="s">
        <v>3988</v>
      </c>
      <c r="F1244" t="s">
        <v>4716</v>
      </c>
      <c r="G1244">
        <v>4</v>
      </c>
      <c r="H1244">
        <v>1027.96</v>
      </c>
      <c r="I1244">
        <v>20</v>
      </c>
      <c r="J1244" t="s">
        <v>17</v>
      </c>
      <c r="K1244">
        <v>3289.47</v>
      </c>
    </row>
    <row r="1245" spans="1:11" x14ac:dyDescent="0.25">
      <c r="A1245" t="s">
        <v>2495</v>
      </c>
      <c r="B1245" s="1">
        <v>45265</v>
      </c>
      <c r="C1245" t="s">
        <v>2496</v>
      </c>
      <c r="D1245" t="s">
        <v>36</v>
      </c>
      <c r="E1245" t="s">
        <v>3988</v>
      </c>
      <c r="F1245" t="s">
        <v>4449</v>
      </c>
      <c r="G1245">
        <v>8</v>
      </c>
      <c r="H1245">
        <v>188.24</v>
      </c>
      <c r="I1245">
        <v>20</v>
      </c>
      <c r="J1245" t="s">
        <v>17</v>
      </c>
      <c r="K1245">
        <v>1204.74</v>
      </c>
    </row>
    <row r="1246" spans="1:11" x14ac:dyDescent="0.25">
      <c r="A1246" t="s">
        <v>2497</v>
      </c>
      <c r="B1246" s="1">
        <v>45780</v>
      </c>
      <c r="C1246" t="s">
        <v>2498</v>
      </c>
      <c r="D1246" t="s">
        <v>36</v>
      </c>
      <c r="E1246" t="s">
        <v>3272</v>
      </c>
      <c r="F1246" t="s">
        <v>4461</v>
      </c>
      <c r="G1246">
        <v>4</v>
      </c>
      <c r="H1246">
        <v>660.08</v>
      </c>
      <c r="I1246">
        <v>5</v>
      </c>
      <c r="J1246" t="s">
        <v>39</v>
      </c>
      <c r="K1246">
        <v>2508.3000000000002</v>
      </c>
    </row>
    <row r="1247" spans="1:11" x14ac:dyDescent="0.25">
      <c r="A1247" t="s">
        <v>2499</v>
      </c>
      <c r="B1247" s="1">
        <v>45587</v>
      </c>
      <c r="C1247" t="s">
        <v>2500</v>
      </c>
      <c r="D1247" t="s">
        <v>13</v>
      </c>
      <c r="E1247" t="s">
        <v>3988</v>
      </c>
      <c r="F1247" t="s">
        <v>4510</v>
      </c>
      <c r="G1247">
        <v>6</v>
      </c>
      <c r="H1247">
        <v>1873.83</v>
      </c>
      <c r="I1247">
        <v>0</v>
      </c>
      <c r="J1247" t="s">
        <v>39</v>
      </c>
      <c r="K1247">
        <v>11242.98</v>
      </c>
    </row>
    <row r="1248" spans="1:11" x14ac:dyDescent="0.25">
      <c r="A1248" t="s">
        <v>2501</v>
      </c>
      <c r="B1248" s="1">
        <v>45385</v>
      </c>
      <c r="C1248" t="s">
        <v>2502</v>
      </c>
      <c r="D1248" t="s">
        <v>13</v>
      </c>
      <c r="E1248" t="s">
        <v>3272</v>
      </c>
      <c r="F1248" t="s">
        <v>4717</v>
      </c>
      <c r="G1248">
        <v>5</v>
      </c>
      <c r="H1248">
        <v>1708.83</v>
      </c>
      <c r="I1248">
        <v>10</v>
      </c>
      <c r="J1248" t="s">
        <v>14</v>
      </c>
      <c r="K1248">
        <v>7689.74</v>
      </c>
    </row>
    <row r="1249" spans="1:11" x14ac:dyDescent="0.25">
      <c r="A1249" t="s">
        <v>2503</v>
      </c>
      <c r="B1249" s="1">
        <v>45216</v>
      </c>
      <c r="C1249" t="s">
        <v>2504</v>
      </c>
      <c r="D1249" t="s">
        <v>20</v>
      </c>
      <c r="E1249" t="s">
        <v>3988</v>
      </c>
      <c r="F1249" t="s">
        <v>4510</v>
      </c>
      <c r="G1249">
        <v>3</v>
      </c>
      <c r="H1249">
        <v>1964.72</v>
      </c>
      <c r="I1249">
        <v>15</v>
      </c>
      <c r="J1249" t="s">
        <v>14</v>
      </c>
      <c r="K1249">
        <v>5010.04</v>
      </c>
    </row>
    <row r="1250" spans="1:11" x14ac:dyDescent="0.25">
      <c r="A1250" t="s">
        <v>2505</v>
      </c>
      <c r="B1250" s="1">
        <v>45342</v>
      </c>
      <c r="C1250" t="s">
        <v>2506</v>
      </c>
      <c r="D1250" t="s">
        <v>20</v>
      </c>
      <c r="E1250" t="s">
        <v>3272</v>
      </c>
      <c r="F1250" t="s">
        <v>4322</v>
      </c>
      <c r="G1250">
        <v>2</v>
      </c>
      <c r="H1250">
        <v>1274.5899999999999</v>
      </c>
      <c r="I1250">
        <v>5</v>
      </c>
      <c r="J1250" t="s">
        <v>17</v>
      </c>
      <c r="K1250">
        <v>2421.7199999999998</v>
      </c>
    </row>
    <row r="1251" spans="1:11" x14ac:dyDescent="0.25">
      <c r="A1251" t="s">
        <v>2507</v>
      </c>
      <c r="B1251" s="1">
        <v>45242</v>
      </c>
      <c r="C1251" t="s">
        <v>2508</v>
      </c>
      <c r="D1251" t="s">
        <v>13</v>
      </c>
      <c r="E1251" t="s">
        <v>3988</v>
      </c>
      <c r="F1251" t="s">
        <v>4718</v>
      </c>
      <c r="G1251">
        <v>9</v>
      </c>
      <c r="H1251">
        <v>532.64</v>
      </c>
      <c r="I1251">
        <v>10</v>
      </c>
      <c r="J1251" t="s">
        <v>21</v>
      </c>
      <c r="K1251">
        <v>4314.38</v>
      </c>
    </row>
    <row r="1252" spans="1:11" x14ac:dyDescent="0.25">
      <c r="A1252" t="s">
        <v>2509</v>
      </c>
      <c r="B1252" s="1">
        <v>45583</v>
      </c>
      <c r="C1252" t="s">
        <v>1536</v>
      </c>
      <c r="D1252" t="s">
        <v>13</v>
      </c>
      <c r="E1252" t="s">
        <v>3988</v>
      </c>
      <c r="F1252" t="s">
        <v>4719</v>
      </c>
      <c r="G1252">
        <v>9</v>
      </c>
      <c r="H1252">
        <v>367.49</v>
      </c>
      <c r="I1252">
        <v>10</v>
      </c>
      <c r="J1252" t="s">
        <v>17</v>
      </c>
      <c r="K1252">
        <v>2976.67</v>
      </c>
    </row>
    <row r="1253" spans="1:11" x14ac:dyDescent="0.25">
      <c r="A1253" t="s">
        <v>2510</v>
      </c>
      <c r="B1253" s="1">
        <v>45743</v>
      </c>
      <c r="C1253" t="s">
        <v>2511</v>
      </c>
      <c r="D1253" t="s">
        <v>36</v>
      </c>
      <c r="E1253" t="s">
        <v>3988</v>
      </c>
      <c r="F1253" t="s">
        <v>4408</v>
      </c>
      <c r="G1253">
        <v>1</v>
      </c>
      <c r="H1253">
        <v>414.48</v>
      </c>
      <c r="I1253">
        <v>15</v>
      </c>
      <c r="J1253" t="s">
        <v>14</v>
      </c>
      <c r="K1253">
        <v>352.31</v>
      </c>
    </row>
    <row r="1254" spans="1:11" x14ac:dyDescent="0.25">
      <c r="A1254" t="s">
        <v>2512</v>
      </c>
      <c r="B1254" s="1">
        <v>45473</v>
      </c>
      <c r="C1254" t="s">
        <v>2513</v>
      </c>
      <c r="D1254" t="s">
        <v>36</v>
      </c>
      <c r="E1254" t="s">
        <v>3988</v>
      </c>
      <c r="F1254" t="s">
        <v>4720</v>
      </c>
      <c r="G1254">
        <v>3</v>
      </c>
      <c r="H1254">
        <v>88.6</v>
      </c>
      <c r="I1254">
        <v>10</v>
      </c>
      <c r="J1254" t="s">
        <v>17</v>
      </c>
      <c r="K1254">
        <v>239.22</v>
      </c>
    </row>
    <row r="1255" spans="1:11" x14ac:dyDescent="0.25">
      <c r="A1255" t="s">
        <v>2514</v>
      </c>
      <c r="B1255" s="1">
        <v>45620</v>
      </c>
      <c r="C1255" t="s">
        <v>2515</v>
      </c>
      <c r="D1255" t="s">
        <v>13</v>
      </c>
      <c r="E1255" t="s">
        <v>3988</v>
      </c>
      <c r="F1255" t="s">
        <v>4599</v>
      </c>
      <c r="G1255">
        <v>8</v>
      </c>
      <c r="H1255">
        <v>811.83</v>
      </c>
      <c r="I1255">
        <v>0</v>
      </c>
      <c r="J1255" t="s">
        <v>39</v>
      </c>
      <c r="K1255">
        <v>6494.64</v>
      </c>
    </row>
    <row r="1256" spans="1:11" x14ac:dyDescent="0.25">
      <c r="A1256" t="s">
        <v>2516</v>
      </c>
      <c r="B1256" s="1">
        <v>45613</v>
      </c>
      <c r="C1256" t="s">
        <v>2517</v>
      </c>
      <c r="D1256" t="s">
        <v>36</v>
      </c>
      <c r="E1256" t="s">
        <v>29</v>
      </c>
      <c r="F1256" t="s">
        <v>4124</v>
      </c>
      <c r="G1256">
        <v>6</v>
      </c>
      <c r="H1256">
        <v>423.28</v>
      </c>
      <c r="I1256">
        <v>0</v>
      </c>
      <c r="J1256" t="s">
        <v>17</v>
      </c>
      <c r="K1256">
        <v>2539.6799999999998</v>
      </c>
    </row>
    <row r="1257" spans="1:11" x14ac:dyDescent="0.25">
      <c r="A1257" t="s">
        <v>2518</v>
      </c>
      <c r="B1257" s="1">
        <v>45764</v>
      </c>
      <c r="C1257" t="s">
        <v>2519</v>
      </c>
      <c r="D1257" t="s">
        <v>24</v>
      </c>
      <c r="E1257" t="s">
        <v>3988</v>
      </c>
      <c r="F1257" t="s">
        <v>4657</v>
      </c>
      <c r="G1257">
        <v>5</v>
      </c>
      <c r="H1257">
        <v>852.73</v>
      </c>
      <c r="I1257">
        <v>0</v>
      </c>
      <c r="J1257" t="s">
        <v>39</v>
      </c>
      <c r="K1257">
        <v>4263.6499999999996</v>
      </c>
    </row>
    <row r="1258" spans="1:11" x14ac:dyDescent="0.25">
      <c r="A1258" t="s">
        <v>2520</v>
      </c>
      <c r="B1258" s="1">
        <v>45630</v>
      </c>
      <c r="C1258" t="s">
        <v>2521</v>
      </c>
      <c r="D1258" t="s">
        <v>20</v>
      </c>
      <c r="E1258" t="s">
        <v>3988</v>
      </c>
      <c r="F1258" t="s">
        <v>4109</v>
      </c>
      <c r="G1258">
        <v>5</v>
      </c>
      <c r="H1258">
        <v>1873.24</v>
      </c>
      <c r="I1258">
        <v>10</v>
      </c>
      <c r="J1258" t="s">
        <v>21</v>
      </c>
      <c r="K1258">
        <v>8429.58</v>
      </c>
    </row>
    <row r="1259" spans="1:11" x14ac:dyDescent="0.25">
      <c r="A1259" t="s">
        <v>2522</v>
      </c>
      <c r="B1259" s="1">
        <v>45325</v>
      </c>
      <c r="C1259" t="s">
        <v>2523</v>
      </c>
      <c r="D1259" t="s">
        <v>36</v>
      </c>
      <c r="E1259" t="s">
        <v>3272</v>
      </c>
      <c r="F1259" t="s">
        <v>4721</v>
      </c>
      <c r="G1259">
        <v>6</v>
      </c>
      <c r="H1259">
        <v>889.55</v>
      </c>
      <c r="I1259">
        <v>0</v>
      </c>
      <c r="J1259" t="s">
        <v>39</v>
      </c>
      <c r="K1259">
        <v>5337.3</v>
      </c>
    </row>
    <row r="1260" spans="1:11" x14ac:dyDescent="0.25">
      <c r="A1260" t="s">
        <v>2524</v>
      </c>
      <c r="B1260" s="1">
        <v>45752</v>
      </c>
      <c r="C1260" t="s">
        <v>2525</v>
      </c>
      <c r="D1260" t="s">
        <v>24</v>
      </c>
      <c r="E1260" t="s">
        <v>3988</v>
      </c>
      <c r="F1260" t="s">
        <v>4722</v>
      </c>
      <c r="G1260">
        <v>7</v>
      </c>
      <c r="H1260">
        <v>1762.07</v>
      </c>
      <c r="I1260">
        <v>15</v>
      </c>
      <c r="J1260" t="s">
        <v>21</v>
      </c>
      <c r="K1260">
        <v>10484.32</v>
      </c>
    </row>
    <row r="1261" spans="1:11" x14ac:dyDescent="0.25">
      <c r="A1261" t="s">
        <v>2526</v>
      </c>
      <c r="B1261" s="1">
        <v>45555</v>
      </c>
      <c r="C1261" t="s">
        <v>2527</v>
      </c>
      <c r="D1261" t="s">
        <v>13</v>
      </c>
      <c r="E1261" t="s">
        <v>3988</v>
      </c>
      <c r="F1261" t="s">
        <v>4723</v>
      </c>
      <c r="G1261">
        <v>1</v>
      </c>
      <c r="H1261">
        <v>1230.73</v>
      </c>
      <c r="I1261">
        <v>10</v>
      </c>
      <c r="J1261" t="s">
        <v>21</v>
      </c>
      <c r="K1261">
        <v>1107.6600000000001</v>
      </c>
    </row>
    <row r="1262" spans="1:11" x14ac:dyDescent="0.25">
      <c r="A1262" t="s">
        <v>2528</v>
      </c>
      <c r="B1262" s="1">
        <v>45445</v>
      </c>
      <c r="C1262" t="s">
        <v>2529</v>
      </c>
      <c r="D1262" t="s">
        <v>36</v>
      </c>
      <c r="E1262" t="s">
        <v>3272</v>
      </c>
      <c r="F1262" t="s">
        <v>4145</v>
      </c>
      <c r="G1262">
        <v>9</v>
      </c>
      <c r="H1262">
        <v>531.91</v>
      </c>
      <c r="I1262">
        <v>20</v>
      </c>
      <c r="J1262" t="s">
        <v>17</v>
      </c>
      <c r="K1262">
        <v>3829.75</v>
      </c>
    </row>
    <row r="1263" spans="1:11" x14ac:dyDescent="0.25">
      <c r="A1263" t="s">
        <v>2530</v>
      </c>
      <c r="B1263" s="1">
        <v>45499</v>
      </c>
      <c r="C1263" t="s">
        <v>2531</v>
      </c>
      <c r="D1263" t="s">
        <v>13</v>
      </c>
      <c r="E1263" t="s">
        <v>29</v>
      </c>
      <c r="F1263" t="s">
        <v>4724</v>
      </c>
      <c r="G1263">
        <v>3</v>
      </c>
      <c r="H1263">
        <v>743.92</v>
      </c>
      <c r="I1263">
        <v>10</v>
      </c>
      <c r="J1263" t="s">
        <v>14</v>
      </c>
      <c r="K1263">
        <v>2008.58</v>
      </c>
    </row>
    <row r="1264" spans="1:11" x14ac:dyDescent="0.25">
      <c r="A1264" t="s">
        <v>2532</v>
      </c>
      <c r="B1264" s="1">
        <v>45855</v>
      </c>
      <c r="C1264" t="s">
        <v>2533</v>
      </c>
      <c r="D1264" t="s">
        <v>20</v>
      </c>
      <c r="E1264" t="s">
        <v>3272</v>
      </c>
      <c r="F1264" t="s">
        <v>4262</v>
      </c>
      <c r="G1264">
        <v>4</v>
      </c>
      <c r="H1264">
        <v>213.64</v>
      </c>
      <c r="I1264">
        <v>15</v>
      </c>
      <c r="J1264" t="s">
        <v>14</v>
      </c>
      <c r="K1264">
        <v>726.38</v>
      </c>
    </row>
    <row r="1265" spans="1:11" x14ac:dyDescent="0.25">
      <c r="A1265" t="s">
        <v>2534</v>
      </c>
      <c r="B1265" s="1">
        <v>45493</v>
      </c>
      <c r="C1265" t="s">
        <v>2535</v>
      </c>
      <c r="D1265" t="s">
        <v>13</v>
      </c>
      <c r="E1265" t="s">
        <v>3988</v>
      </c>
      <c r="F1265" t="s">
        <v>4008</v>
      </c>
      <c r="G1265">
        <v>1</v>
      </c>
      <c r="H1265">
        <v>700.25</v>
      </c>
      <c r="I1265">
        <v>20</v>
      </c>
      <c r="J1265" t="s">
        <v>17</v>
      </c>
      <c r="K1265">
        <v>560.20000000000005</v>
      </c>
    </row>
    <row r="1266" spans="1:11" x14ac:dyDescent="0.25">
      <c r="A1266" t="s">
        <v>2536</v>
      </c>
      <c r="B1266" s="1">
        <v>45380</v>
      </c>
      <c r="C1266" t="s">
        <v>2537</v>
      </c>
      <c r="D1266" t="s">
        <v>24</v>
      </c>
      <c r="E1266" t="s">
        <v>3272</v>
      </c>
      <c r="F1266" t="s">
        <v>4721</v>
      </c>
      <c r="G1266">
        <v>3</v>
      </c>
      <c r="H1266">
        <v>1371.2</v>
      </c>
      <c r="I1266">
        <v>10</v>
      </c>
      <c r="J1266" t="s">
        <v>21</v>
      </c>
      <c r="K1266">
        <v>3702.24</v>
      </c>
    </row>
    <row r="1267" spans="1:11" x14ac:dyDescent="0.25">
      <c r="A1267" t="s">
        <v>2538</v>
      </c>
      <c r="B1267" s="1">
        <v>45818</v>
      </c>
      <c r="C1267" t="s">
        <v>2539</v>
      </c>
      <c r="D1267" t="s">
        <v>13</v>
      </c>
      <c r="E1267" t="s">
        <v>3988</v>
      </c>
      <c r="F1267" t="s">
        <v>4039</v>
      </c>
      <c r="G1267">
        <v>2</v>
      </c>
      <c r="H1267">
        <v>190.62</v>
      </c>
      <c r="I1267">
        <v>0</v>
      </c>
      <c r="J1267" t="s">
        <v>14</v>
      </c>
      <c r="K1267">
        <v>381.24</v>
      </c>
    </row>
    <row r="1268" spans="1:11" x14ac:dyDescent="0.25">
      <c r="A1268" t="s">
        <v>2540</v>
      </c>
      <c r="B1268" s="1">
        <v>45607</v>
      </c>
      <c r="C1268" t="s">
        <v>2541</v>
      </c>
      <c r="D1268" t="s">
        <v>24</v>
      </c>
      <c r="E1268" t="s">
        <v>3988</v>
      </c>
      <c r="F1268" t="s">
        <v>4460</v>
      </c>
      <c r="G1268">
        <v>2</v>
      </c>
      <c r="H1268">
        <v>450.53</v>
      </c>
      <c r="I1268">
        <v>5</v>
      </c>
      <c r="J1268" t="s">
        <v>39</v>
      </c>
      <c r="K1268">
        <v>856.01</v>
      </c>
    </row>
    <row r="1269" spans="1:11" x14ac:dyDescent="0.25">
      <c r="A1269" t="s">
        <v>2542</v>
      </c>
      <c r="B1269" s="1">
        <v>45483</v>
      </c>
      <c r="C1269" t="s">
        <v>2543</v>
      </c>
      <c r="D1269" t="s">
        <v>36</v>
      </c>
      <c r="E1269" t="s">
        <v>3988</v>
      </c>
      <c r="F1269" t="s">
        <v>4553</v>
      </c>
      <c r="G1269">
        <v>1</v>
      </c>
      <c r="H1269">
        <v>793.81</v>
      </c>
      <c r="I1269">
        <v>5</v>
      </c>
      <c r="J1269" t="s">
        <v>14</v>
      </c>
      <c r="K1269">
        <v>754.12</v>
      </c>
    </row>
    <row r="1270" spans="1:11" x14ac:dyDescent="0.25">
      <c r="A1270" t="s">
        <v>2544</v>
      </c>
      <c r="B1270" s="1">
        <v>45387</v>
      </c>
      <c r="C1270" t="s">
        <v>2545</v>
      </c>
      <c r="D1270" t="s">
        <v>36</v>
      </c>
      <c r="E1270" t="s">
        <v>3988</v>
      </c>
      <c r="F1270" t="s">
        <v>4054</v>
      </c>
      <c r="G1270">
        <v>8</v>
      </c>
      <c r="H1270">
        <v>1965</v>
      </c>
      <c r="I1270">
        <v>0</v>
      </c>
      <c r="J1270" t="s">
        <v>21</v>
      </c>
      <c r="K1270">
        <v>15720</v>
      </c>
    </row>
    <row r="1271" spans="1:11" x14ac:dyDescent="0.25">
      <c r="A1271" t="s">
        <v>2546</v>
      </c>
      <c r="B1271" s="1">
        <v>45591</v>
      </c>
      <c r="C1271" t="s">
        <v>2547</v>
      </c>
      <c r="D1271" t="s">
        <v>24</v>
      </c>
      <c r="E1271" t="s">
        <v>3988</v>
      </c>
      <c r="F1271" t="s">
        <v>4309</v>
      </c>
      <c r="G1271">
        <v>3</v>
      </c>
      <c r="H1271">
        <v>1580.48</v>
      </c>
      <c r="I1271">
        <v>5</v>
      </c>
      <c r="J1271" t="s">
        <v>21</v>
      </c>
      <c r="K1271">
        <v>4504.37</v>
      </c>
    </row>
    <row r="1272" spans="1:11" x14ac:dyDescent="0.25">
      <c r="A1272" t="s">
        <v>2548</v>
      </c>
      <c r="B1272" s="1">
        <v>45632</v>
      </c>
      <c r="C1272" t="s">
        <v>2549</v>
      </c>
      <c r="D1272" t="s">
        <v>20</v>
      </c>
      <c r="E1272" t="s">
        <v>3988</v>
      </c>
      <c r="F1272" t="s">
        <v>4716</v>
      </c>
      <c r="G1272">
        <v>3</v>
      </c>
      <c r="H1272">
        <v>1480.3</v>
      </c>
      <c r="I1272">
        <v>5</v>
      </c>
      <c r="J1272" t="s">
        <v>39</v>
      </c>
      <c r="K1272">
        <v>4218.8500000000004</v>
      </c>
    </row>
    <row r="1273" spans="1:11" x14ac:dyDescent="0.25">
      <c r="A1273" t="s">
        <v>2550</v>
      </c>
      <c r="B1273" s="1">
        <v>45196</v>
      </c>
      <c r="C1273" t="s">
        <v>2551</v>
      </c>
      <c r="D1273" t="s">
        <v>20</v>
      </c>
      <c r="E1273" t="s">
        <v>3988</v>
      </c>
      <c r="F1273" t="s">
        <v>4276</v>
      </c>
      <c r="G1273">
        <v>6</v>
      </c>
      <c r="H1273">
        <v>276.57</v>
      </c>
      <c r="I1273">
        <v>0</v>
      </c>
      <c r="J1273" t="s">
        <v>17</v>
      </c>
      <c r="K1273">
        <v>1659.42</v>
      </c>
    </row>
    <row r="1274" spans="1:11" x14ac:dyDescent="0.25">
      <c r="A1274" t="s">
        <v>2552</v>
      </c>
      <c r="B1274" s="1">
        <v>45623</v>
      </c>
      <c r="C1274" t="s">
        <v>2553</v>
      </c>
      <c r="D1274" t="s">
        <v>20</v>
      </c>
      <c r="E1274" t="s">
        <v>3988</v>
      </c>
      <c r="F1274" t="s">
        <v>4107</v>
      </c>
      <c r="G1274">
        <v>8</v>
      </c>
      <c r="H1274">
        <v>1572.94</v>
      </c>
      <c r="I1274">
        <v>0</v>
      </c>
      <c r="J1274" t="s">
        <v>14</v>
      </c>
      <c r="K1274">
        <v>12583.52</v>
      </c>
    </row>
    <row r="1275" spans="1:11" x14ac:dyDescent="0.25">
      <c r="A1275" t="s">
        <v>2554</v>
      </c>
      <c r="B1275" s="1">
        <v>45724</v>
      </c>
      <c r="C1275" t="s">
        <v>2555</v>
      </c>
      <c r="D1275" t="s">
        <v>36</v>
      </c>
      <c r="E1275" t="s">
        <v>3988</v>
      </c>
      <c r="F1275" t="s">
        <v>4031</v>
      </c>
      <c r="G1275">
        <v>9</v>
      </c>
      <c r="H1275">
        <v>1581.27</v>
      </c>
      <c r="I1275">
        <v>10</v>
      </c>
      <c r="J1275" t="s">
        <v>17</v>
      </c>
      <c r="K1275">
        <v>12808.29</v>
      </c>
    </row>
    <row r="1276" spans="1:11" x14ac:dyDescent="0.25">
      <c r="A1276" t="s">
        <v>2556</v>
      </c>
      <c r="B1276" s="1">
        <v>45227</v>
      </c>
      <c r="C1276" t="s">
        <v>2557</v>
      </c>
      <c r="D1276" t="s">
        <v>36</v>
      </c>
      <c r="E1276" t="s">
        <v>3988</v>
      </c>
      <c r="F1276" t="s">
        <v>4725</v>
      </c>
      <c r="G1276">
        <v>9</v>
      </c>
      <c r="H1276">
        <v>1222.1500000000001</v>
      </c>
      <c r="I1276">
        <v>10</v>
      </c>
      <c r="J1276" t="s">
        <v>14</v>
      </c>
      <c r="K1276">
        <v>9899.42</v>
      </c>
    </row>
    <row r="1277" spans="1:11" x14ac:dyDescent="0.25">
      <c r="A1277" t="s">
        <v>2558</v>
      </c>
      <c r="B1277" s="1">
        <v>45742</v>
      </c>
      <c r="C1277" t="s">
        <v>2559</v>
      </c>
      <c r="D1277" t="s">
        <v>20</v>
      </c>
      <c r="E1277" t="s">
        <v>29</v>
      </c>
      <c r="F1277" t="s">
        <v>4159</v>
      </c>
      <c r="G1277">
        <v>4</v>
      </c>
      <c r="H1277">
        <v>1981.21</v>
      </c>
      <c r="I1277">
        <v>0</v>
      </c>
      <c r="J1277" t="s">
        <v>39</v>
      </c>
      <c r="K1277">
        <v>7924.84</v>
      </c>
    </row>
    <row r="1278" spans="1:11" x14ac:dyDescent="0.25">
      <c r="A1278" t="s">
        <v>2560</v>
      </c>
      <c r="B1278" s="1">
        <v>45311</v>
      </c>
      <c r="C1278" t="s">
        <v>2561</v>
      </c>
      <c r="D1278" t="s">
        <v>13</v>
      </c>
      <c r="E1278" t="s">
        <v>3988</v>
      </c>
      <c r="F1278" t="s">
        <v>4648</v>
      </c>
      <c r="G1278">
        <v>5</v>
      </c>
      <c r="H1278">
        <v>684.25</v>
      </c>
      <c r="I1278">
        <v>15</v>
      </c>
      <c r="J1278" t="s">
        <v>17</v>
      </c>
      <c r="K1278">
        <v>2908.06</v>
      </c>
    </row>
    <row r="1279" spans="1:11" x14ac:dyDescent="0.25">
      <c r="A1279" t="s">
        <v>2562</v>
      </c>
      <c r="B1279" s="1">
        <v>45635</v>
      </c>
      <c r="C1279" t="s">
        <v>2563</v>
      </c>
      <c r="D1279" t="s">
        <v>20</v>
      </c>
      <c r="E1279" t="s">
        <v>3988</v>
      </c>
      <c r="F1279" t="s">
        <v>4726</v>
      </c>
      <c r="G1279">
        <v>2</v>
      </c>
      <c r="H1279">
        <v>1885.48</v>
      </c>
      <c r="I1279">
        <v>5</v>
      </c>
      <c r="J1279" t="s">
        <v>14</v>
      </c>
      <c r="K1279">
        <v>3582.41</v>
      </c>
    </row>
    <row r="1280" spans="1:11" x14ac:dyDescent="0.25">
      <c r="A1280" t="s">
        <v>2564</v>
      </c>
      <c r="B1280" s="1">
        <v>45313</v>
      </c>
      <c r="C1280" t="s">
        <v>2565</v>
      </c>
      <c r="D1280" t="s">
        <v>13</v>
      </c>
      <c r="E1280" t="s">
        <v>3272</v>
      </c>
      <c r="F1280" t="s">
        <v>4727</v>
      </c>
      <c r="G1280">
        <v>9</v>
      </c>
      <c r="H1280">
        <v>1833.73</v>
      </c>
      <c r="I1280">
        <v>10</v>
      </c>
      <c r="J1280" t="s">
        <v>14</v>
      </c>
      <c r="K1280">
        <v>14853.21</v>
      </c>
    </row>
    <row r="1281" spans="1:11" x14ac:dyDescent="0.25">
      <c r="A1281" t="s">
        <v>2566</v>
      </c>
      <c r="B1281" s="1">
        <v>45355</v>
      </c>
      <c r="C1281" t="s">
        <v>2567</v>
      </c>
      <c r="D1281" t="s">
        <v>20</v>
      </c>
      <c r="E1281" t="s">
        <v>29</v>
      </c>
      <c r="F1281" t="s">
        <v>4728</v>
      </c>
      <c r="G1281">
        <v>8</v>
      </c>
      <c r="H1281">
        <v>72.39</v>
      </c>
      <c r="I1281">
        <v>5</v>
      </c>
      <c r="J1281" t="s">
        <v>21</v>
      </c>
      <c r="K1281">
        <v>550.16</v>
      </c>
    </row>
    <row r="1282" spans="1:11" x14ac:dyDescent="0.25">
      <c r="A1282" t="s">
        <v>2568</v>
      </c>
      <c r="B1282" s="1">
        <v>45662</v>
      </c>
      <c r="C1282" t="s">
        <v>2569</v>
      </c>
      <c r="D1282" t="s">
        <v>13</v>
      </c>
      <c r="E1282" t="s">
        <v>3988</v>
      </c>
      <c r="F1282" t="s">
        <v>4372</v>
      </c>
      <c r="G1282">
        <v>3</v>
      </c>
      <c r="H1282">
        <v>927.73</v>
      </c>
      <c r="I1282">
        <v>20</v>
      </c>
      <c r="J1282" t="s">
        <v>21</v>
      </c>
      <c r="K1282">
        <v>2226.5500000000002</v>
      </c>
    </row>
    <row r="1283" spans="1:11" x14ac:dyDescent="0.25">
      <c r="A1283" t="s">
        <v>2570</v>
      </c>
      <c r="B1283" s="1">
        <v>45213</v>
      </c>
      <c r="C1283" t="s">
        <v>2571</v>
      </c>
      <c r="D1283" t="s">
        <v>36</v>
      </c>
      <c r="E1283" t="s">
        <v>29</v>
      </c>
      <c r="F1283" t="s">
        <v>4729</v>
      </c>
      <c r="G1283">
        <v>9</v>
      </c>
      <c r="H1283">
        <v>1955.35</v>
      </c>
      <c r="I1283">
        <v>0</v>
      </c>
      <c r="J1283" t="s">
        <v>14</v>
      </c>
      <c r="K1283">
        <v>17598.150000000001</v>
      </c>
    </row>
    <row r="1284" spans="1:11" x14ac:dyDescent="0.25">
      <c r="A1284" t="s">
        <v>2572</v>
      </c>
      <c r="B1284" s="1">
        <v>45271</v>
      </c>
      <c r="C1284" t="s">
        <v>2573</v>
      </c>
      <c r="D1284" t="s">
        <v>20</v>
      </c>
      <c r="E1284" t="s">
        <v>29</v>
      </c>
      <c r="F1284" t="s">
        <v>4728</v>
      </c>
      <c r="G1284">
        <v>3</v>
      </c>
      <c r="H1284">
        <v>251.09</v>
      </c>
      <c r="I1284">
        <v>15</v>
      </c>
      <c r="J1284" t="s">
        <v>21</v>
      </c>
      <c r="K1284">
        <v>640.28</v>
      </c>
    </row>
    <row r="1285" spans="1:11" x14ac:dyDescent="0.25">
      <c r="A1285" t="s">
        <v>2574</v>
      </c>
      <c r="B1285" s="1">
        <v>45336</v>
      </c>
      <c r="C1285" t="s">
        <v>2575</v>
      </c>
      <c r="D1285" t="s">
        <v>20</v>
      </c>
      <c r="E1285" t="s">
        <v>29</v>
      </c>
      <c r="F1285" t="s">
        <v>4729</v>
      </c>
      <c r="G1285">
        <v>9</v>
      </c>
      <c r="H1285">
        <v>1118.18</v>
      </c>
      <c r="I1285">
        <v>20</v>
      </c>
      <c r="J1285" t="s">
        <v>14</v>
      </c>
      <c r="K1285">
        <v>8050.9</v>
      </c>
    </row>
    <row r="1286" spans="1:11" x14ac:dyDescent="0.25">
      <c r="A1286" t="s">
        <v>2576</v>
      </c>
      <c r="B1286" s="1">
        <v>45285</v>
      </c>
      <c r="C1286" t="s">
        <v>2577</v>
      </c>
      <c r="D1286" t="s">
        <v>24</v>
      </c>
      <c r="E1286" t="s">
        <v>3988</v>
      </c>
      <c r="F1286" t="s">
        <v>4635</v>
      </c>
      <c r="G1286">
        <v>2</v>
      </c>
      <c r="H1286">
        <v>1958.97</v>
      </c>
      <c r="I1286">
        <v>20</v>
      </c>
      <c r="J1286" t="s">
        <v>14</v>
      </c>
      <c r="K1286">
        <v>3134.35</v>
      </c>
    </row>
    <row r="1287" spans="1:11" x14ac:dyDescent="0.25">
      <c r="A1287" t="s">
        <v>2578</v>
      </c>
      <c r="B1287" s="1">
        <v>45578</v>
      </c>
      <c r="C1287" t="s">
        <v>2579</v>
      </c>
      <c r="D1287" t="s">
        <v>20</v>
      </c>
      <c r="E1287" t="s">
        <v>29</v>
      </c>
      <c r="F1287" t="s">
        <v>4016</v>
      </c>
      <c r="G1287">
        <v>9</v>
      </c>
      <c r="H1287">
        <v>1133.22</v>
      </c>
      <c r="I1287">
        <v>20</v>
      </c>
      <c r="J1287" t="s">
        <v>21</v>
      </c>
      <c r="K1287">
        <v>8159.18</v>
      </c>
    </row>
    <row r="1288" spans="1:11" x14ac:dyDescent="0.25">
      <c r="A1288" t="s">
        <v>2580</v>
      </c>
      <c r="B1288" s="1">
        <v>45208</v>
      </c>
      <c r="C1288" t="s">
        <v>2581</v>
      </c>
      <c r="D1288" t="s">
        <v>13</v>
      </c>
      <c r="E1288" t="s">
        <v>3988</v>
      </c>
      <c r="F1288" t="s">
        <v>4539</v>
      </c>
      <c r="G1288">
        <v>8</v>
      </c>
      <c r="H1288">
        <v>420.14</v>
      </c>
      <c r="I1288">
        <v>0</v>
      </c>
      <c r="J1288" t="s">
        <v>21</v>
      </c>
      <c r="K1288">
        <v>3361.12</v>
      </c>
    </row>
    <row r="1289" spans="1:11" x14ac:dyDescent="0.25">
      <c r="A1289" t="s">
        <v>2582</v>
      </c>
      <c r="B1289" s="1">
        <v>45271</v>
      </c>
      <c r="C1289" t="s">
        <v>2583</v>
      </c>
      <c r="D1289" t="s">
        <v>24</v>
      </c>
      <c r="E1289" t="s">
        <v>3988</v>
      </c>
      <c r="F1289" t="s">
        <v>4730</v>
      </c>
      <c r="G1289">
        <v>9</v>
      </c>
      <c r="H1289">
        <v>1185.26</v>
      </c>
      <c r="I1289">
        <v>10</v>
      </c>
      <c r="J1289" t="s">
        <v>21</v>
      </c>
      <c r="K1289">
        <v>9600.61</v>
      </c>
    </row>
    <row r="1290" spans="1:11" x14ac:dyDescent="0.25">
      <c r="A1290" t="s">
        <v>2584</v>
      </c>
      <c r="B1290" s="1">
        <v>45152</v>
      </c>
      <c r="C1290" t="s">
        <v>2585</v>
      </c>
      <c r="D1290" t="s">
        <v>20</v>
      </c>
      <c r="E1290" t="s">
        <v>3988</v>
      </c>
      <c r="F1290" t="s">
        <v>4731</v>
      </c>
      <c r="G1290">
        <v>5</v>
      </c>
      <c r="H1290">
        <v>448.66</v>
      </c>
      <c r="I1290">
        <v>0</v>
      </c>
      <c r="J1290" t="s">
        <v>17</v>
      </c>
      <c r="K1290">
        <v>2243.3000000000002</v>
      </c>
    </row>
    <row r="1291" spans="1:11" x14ac:dyDescent="0.25">
      <c r="A1291" t="s">
        <v>2586</v>
      </c>
      <c r="B1291" s="1">
        <v>45467</v>
      </c>
      <c r="C1291" t="s">
        <v>2587</v>
      </c>
      <c r="D1291" t="s">
        <v>20</v>
      </c>
      <c r="E1291" t="s">
        <v>3272</v>
      </c>
      <c r="F1291" t="s">
        <v>4150</v>
      </c>
      <c r="G1291">
        <v>2</v>
      </c>
      <c r="H1291">
        <v>1063.42</v>
      </c>
      <c r="I1291">
        <v>10</v>
      </c>
      <c r="J1291" t="s">
        <v>39</v>
      </c>
      <c r="K1291">
        <v>1914.16</v>
      </c>
    </row>
    <row r="1292" spans="1:11" x14ac:dyDescent="0.25">
      <c r="A1292" t="s">
        <v>2588</v>
      </c>
      <c r="B1292" s="1">
        <v>45499</v>
      </c>
      <c r="C1292" t="s">
        <v>2589</v>
      </c>
      <c r="D1292" t="s">
        <v>36</v>
      </c>
      <c r="E1292" t="s">
        <v>3988</v>
      </c>
      <c r="F1292" t="s">
        <v>4001</v>
      </c>
      <c r="G1292">
        <v>8</v>
      </c>
      <c r="H1292">
        <v>194.38</v>
      </c>
      <c r="I1292">
        <v>20</v>
      </c>
      <c r="J1292" t="s">
        <v>14</v>
      </c>
      <c r="K1292">
        <v>1244.03</v>
      </c>
    </row>
    <row r="1293" spans="1:11" x14ac:dyDescent="0.25">
      <c r="A1293" t="s">
        <v>2590</v>
      </c>
      <c r="B1293" s="1">
        <v>45685</v>
      </c>
      <c r="C1293" t="s">
        <v>2591</v>
      </c>
      <c r="D1293" t="s">
        <v>24</v>
      </c>
      <c r="E1293" t="s">
        <v>29</v>
      </c>
      <c r="F1293" t="s">
        <v>4081</v>
      </c>
      <c r="G1293">
        <v>6</v>
      </c>
      <c r="H1293">
        <v>1230.69</v>
      </c>
      <c r="I1293">
        <v>20</v>
      </c>
      <c r="J1293" t="s">
        <v>39</v>
      </c>
      <c r="K1293">
        <v>5907.31</v>
      </c>
    </row>
    <row r="1294" spans="1:11" x14ac:dyDescent="0.25">
      <c r="A1294" t="s">
        <v>2592</v>
      </c>
      <c r="B1294" s="1">
        <v>45611</v>
      </c>
      <c r="C1294" t="s">
        <v>2593</v>
      </c>
      <c r="D1294" t="s">
        <v>13</v>
      </c>
      <c r="E1294" t="s">
        <v>29</v>
      </c>
      <c r="F1294" t="s">
        <v>4615</v>
      </c>
      <c r="G1294">
        <v>8</v>
      </c>
      <c r="H1294">
        <v>1057.74</v>
      </c>
      <c r="I1294">
        <v>15</v>
      </c>
      <c r="J1294" t="s">
        <v>17</v>
      </c>
      <c r="K1294">
        <v>7192.63</v>
      </c>
    </row>
    <row r="1295" spans="1:11" x14ac:dyDescent="0.25">
      <c r="A1295" t="s">
        <v>2594</v>
      </c>
      <c r="B1295" s="1">
        <v>45514</v>
      </c>
      <c r="C1295" t="s">
        <v>2595</v>
      </c>
      <c r="D1295" t="s">
        <v>20</v>
      </c>
      <c r="E1295" t="s">
        <v>3988</v>
      </c>
      <c r="F1295" t="s">
        <v>4299</v>
      </c>
      <c r="G1295">
        <v>5</v>
      </c>
      <c r="H1295">
        <v>1493.31</v>
      </c>
      <c r="I1295">
        <v>10</v>
      </c>
      <c r="J1295" t="s">
        <v>17</v>
      </c>
      <c r="K1295">
        <v>6719.9</v>
      </c>
    </row>
    <row r="1296" spans="1:11" x14ac:dyDescent="0.25">
      <c r="A1296" t="s">
        <v>2596</v>
      </c>
      <c r="B1296" s="1">
        <v>45376</v>
      </c>
      <c r="C1296" t="s">
        <v>2597</v>
      </c>
      <c r="D1296" t="s">
        <v>36</v>
      </c>
      <c r="E1296" t="s">
        <v>3988</v>
      </c>
      <c r="F1296" t="s">
        <v>4732</v>
      </c>
      <c r="G1296">
        <v>2</v>
      </c>
      <c r="H1296">
        <v>1279.8699999999999</v>
      </c>
      <c r="I1296">
        <v>20</v>
      </c>
      <c r="J1296" t="s">
        <v>14</v>
      </c>
      <c r="K1296">
        <v>2047.79</v>
      </c>
    </row>
    <row r="1297" spans="1:11" x14ac:dyDescent="0.25">
      <c r="A1297" t="s">
        <v>2598</v>
      </c>
      <c r="B1297" s="1">
        <v>45175</v>
      </c>
      <c r="C1297" t="s">
        <v>2599</v>
      </c>
      <c r="D1297" t="s">
        <v>20</v>
      </c>
      <c r="E1297" t="s">
        <v>3988</v>
      </c>
      <c r="F1297" t="s">
        <v>4733</v>
      </c>
      <c r="G1297">
        <v>6</v>
      </c>
      <c r="H1297">
        <v>1121.73</v>
      </c>
      <c r="I1297">
        <v>5</v>
      </c>
      <c r="J1297" t="s">
        <v>14</v>
      </c>
      <c r="K1297">
        <v>6393.86</v>
      </c>
    </row>
    <row r="1298" spans="1:11" x14ac:dyDescent="0.25">
      <c r="A1298" t="s">
        <v>2600</v>
      </c>
      <c r="B1298" s="1">
        <v>45329</v>
      </c>
      <c r="C1298" t="s">
        <v>2601</v>
      </c>
      <c r="D1298" t="s">
        <v>24</v>
      </c>
      <c r="E1298" t="s">
        <v>29</v>
      </c>
      <c r="F1298" t="s">
        <v>4265</v>
      </c>
      <c r="G1298">
        <v>5</v>
      </c>
      <c r="H1298">
        <v>1395.07</v>
      </c>
      <c r="I1298">
        <v>15</v>
      </c>
      <c r="J1298" t="s">
        <v>39</v>
      </c>
      <c r="K1298">
        <v>5929.05</v>
      </c>
    </row>
    <row r="1299" spans="1:11" x14ac:dyDescent="0.25">
      <c r="A1299" t="s">
        <v>2602</v>
      </c>
      <c r="B1299" s="1">
        <v>45373</v>
      </c>
      <c r="C1299" t="s">
        <v>2603</v>
      </c>
      <c r="D1299" t="s">
        <v>13</v>
      </c>
      <c r="E1299" t="s">
        <v>3988</v>
      </c>
      <c r="F1299" t="s">
        <v>4734</v>
      </c>
      <c r="G1299">
        <v>5</v>
      </c>
      <c r="H1299">
        <v>330.69</v>
      </c>
      <c r="I1299">
        <v>0</v>
      </c>
      <c r="J1299" t="s">
        <v>39</v>
      </c>
      <c r="K1299">
        <v>1653.45</v>
      </c>
    </row>
    <row r="1300" spans="1:11" x14ac:dyDescent="0.25">
      <c r="A1300" t="s">
        <v>2604</v>
      </c>
      <c r="B1300" s="1">
        <v>45699</v>
      </c>
      <c r="C1300" t="s">
        <v>2605</v>
      </c>
      <c r="D1300" t="s">
        <v>36</v>
      </c>
      <c r="E1300" t="s">
        <v>3988</v>
      </c>
      <c r="F1300" t="s">
        <v>4244</v>
      </c>
      <c r="G1300">
        <v>1</v>
      </c>
      <c r="H1300">
        <v>1210.95</v>
      </c>
      <c r="I1300">
        <v>15</v>
      </c>
      <c r="J1300" t="s">
        <v>21</v>
      </c>
      <c r="K1300">
        <v>1029.31</v>
      </c>
    </row>
    <row r="1301" spans="1:11" x14ac:dyDescent="0.25">
      <c r="A1301" t="s">
        <v>2606</v>
      </c>
      <c r="B1301" s="1">
        <v>45369</v>
      </c>
      <c r="C1301" t="s">
        <v>2607</v>
      </c>
      <c r="D1301" t="s">
        <v>20</v>
      </c>
      <c r="E1301" t="s">
        <v>29</v>
      </c>
      <c r="F1301" t="s">
        <v>4735</v>
      </c>
      <c r="G1301">
        <v>2</v>
      </c>
      <c r="H1301">
        <v>385.62</v>
      </c>
      <c r="I1301">
        <v>5</v>
      </c>
      <c r="J1301" t="s">
        <v>39</v>
      </c>
      <c r="K1301">
        <v>732.68</v>
      </c>
    </row>
    <row r="1302" spans="1:11" x14ac:dyDescent="0.25">
      <c r="A1302" t="s">
        <v>2608</v>
      </c>
      <c r="B1302" s="1">
        <v>45696</v>
      </c>
      <c r="C1302" t="s">
        <v>2609</v>
      </c>
      <c r="D1302" t="s">
        <v>13</v>
      </c>
      <c r="E1302" t="s">
        <v>29</v>
      </c>
      <c r="F1302" t="s">
        <v>3991</v>
      </c>
      <c r="G1302">
        <v>8</v>
      </c>
      <c r="H1302">
        <v>1854.77</v>
      </c>
      <c r="I1302">
        <v>10</v>
      </c>
      <c r="J1302" t="s">
        <v>39</v>
      </c>
      <c r="K1302">
        <v>13354.34</v>
      </c>
    </row>
    <row r="1303" spans="1:11" x14ac:dyDescent="0.25">
      <c r="A1303" t="s">
        <v>2610</v>
      </c>
      <c r="B1303" s="1">
        <v>45817</v>
      </c>
      <c r="C1303" t="s">
        <v>2611</v>
      </c>
      <c r="D1303" t="s">
        <v>20</v>
      </c>
      <c r="E1303" t="s">
        <v>3272</v>
      </c>
      <c r="F1303" t="s">
        <v>4199</v>
      </c>
      <c r="G1303">
        <v>3</v>
      </c>
      <c r="H1303">
        <v>183.25</v>
      </c>
      <c r="I1303">
        <v>0</v>
      </c>
      <c r="J1303" t="s">
        <v>17</v>
      </c>
      <c r="K1303">
        <v>549.75</v>
      </c>
    </row>
    <row r="1304" spans="1:11" x14ac:dyDescent="0.25">
      <c r="A1304" t="s">
        <v>2612</v>
      </c>
      <c r="B1304" s="1">
        <v>45502</v>
      </c>
      <c r="C1304" t="s">
        <v>2613</v>
      </c>
      <c r="D1304" t="s">
        <v>20</v>
      </c>
      <c r="E1304" t="s">
        <v>29</v>
      </c>
      <c r="F1304" t="s">
        <v>4232</v>
      </c>
      <c r="G1304">
        <v>3</v>
      </c>
      <c r="H1304">
        <v>889.23</v>
      </c>
      <c r="I1304">
        <v>0</v>
      </c>
      <c r="J1304" t="s">
        <v>39</v>
      </c>
      <c r="K1304">
        <v>2667.69</v>
      </c>
    </row>
    <row r="1305" spans="1:11" x14ac:dyDescent="0.25">
      <c r="A1305" t="s">
        <v>2614</v>
      </c>
      <c r="B1305" s="1">
        <v>45205</v>
      </c>
      <c r="C1305" t="s">
        <v>2615</v>
      </c>
      <c r="D1305" t="s">
        <v>24</v>
      </c>
      <c r="E1305" t="s">
        <v>3988</v>
      </c>
      <c r="F1305" t="s">
        <v>4665</v>
      </c>
      <c r="G1305">
        <v>8</v>
      </c>
      <c r="H1305">
        <v>1406.81</v>
      </c>
      <c r="I1305">
        <v>10</v>
      </c>
      <c r="J1305" t="s">
        <v>21</v>
      </c>
      <c r="K1305">
        <v>10129.030000000001</v>
      </c>
    </row>
    <row r="1306" spans="1:11" x14ac:dyDescent="0.25">
      <c r="A1306" t="s">
        <v>2616</v>
      </c>
      <c r="B1306" s="1">
        <v>45683</v>
      </c>
      <c r="C1306" t="s">
        <v>2617</v>
      </c>
      <c r="D1306" t="s">
        <v>24</v>
      </c>
      <c r="E1306" t="s">
        <v>3988</v>
      </c>
      <c r="F1306" t="s">
        <v>4376</v>
      </c>
      <c r="G1306">
        <v>8</v>
      </c>
      <c r="H1306">
        <v>943.14</v>
      </c>
      <c r="I1306">
        <v>15</v>
      </c>
      <c r="J1306" t="s">
        <v>39</v>
      </c>
      <c r="K1306">
        <v>6413.35</v>
      </c>
    </row>
    <row r="1307" spans="1:11" x14ac:dyDescent="0.25">
      <c r="A1307" t="s">
        <v>2618</v>
      </c>
      <c r="B1307" s="1">
        <v>45331</v>
      </c>
      <c r="C1307" t="s">
        <v>2619</v>
      </c>
      <c r="D1307" t="s">
        <v>20</v>
      </c>
      <c r="E1307" t="s">
        <v>3272</v>
      </c>
      <c r="F1307" t="s">
        <v>4736</v>
      </c>
      <c r="G1307">
        <v>2</v>
      </c>
      <c r="H1307">
        <v>229.59</v>
      </c>
      <c r="I1307">
        <v>20</v>
      </c>
      <c r="J1307" t="s">
        <v>14</v>
      </c>
      <c r="K1307">
        <v>367.34</v>
      </c>
    </row>
    <row r="1308" spans="1:11" x14ac:dyDescent="0.25">
      <c r="A1308" t="s">
        <v>2620</v>
      </c>
      <c r="B1308" s="1">
        <v>45867</v>
      </c>
      <c r="C1308" t="s">
        <v>2621</v>
      </c>
      <c r="D1308" t="s">
        <v>36</v>
      </c>
      <c r="E1308" t="s">
        <v>29</v>
      </c>
      <c r="F1308" t="s">
        <v>4737</v>
      </c>
      <c r="G1308">
        <v>8</v>
      </c>
      <c r="H1308">
        <v>1129.0899999999999</v>
      </c>
      <c r="I1308">
        <v>15</v>
      </c>
      <c r="J1308" t="s">
        <v>21</v>
      </c>
      <c r="K1308">
        <v>7677.81</v>
      </c>
    </row>
    <row r="1309" spans="1:11" x14ac:dyDescent="0.25">
      <c r="A1309" t="s">
        <v>2622</v>
      </c>
      <c r="B1309" s="1">
        <v>45355</v>
      </c>
      <c r="C1309" t="s">
        <v>2623</v>
      </c>
      <c r="D1309" t="s">
        <v>24</v>
      </c>
      <c r="E1309" t="s">
        <v>3988</v>
      </c>
      <c r="F1309" t="s">
        <v>4632</v>
      </c>
      <c r="G1309">
        <v>1</v>
      </c>
      <c r="H1309">
        <v>1301.18</v>
      </c>
      <c r="I1309">
        <v>5</v>
      </c>
      <c r="J1309" t="s">
        <v>14</v>
      </c>
      <c r="K1309">
        <v>1236.1199999999999</v>
      </c>
    </row>
    <row r="1310" spans="1:11" x14ac:dyDescent="0.25">
      <c r="A1310" t="s">
        <v>2624</v>
      </c>
      <c r="B1310" s="1">
        <v>45761</v>
      </c>
      <c r="C1310" t="s">
        <v>2625</v>
      </c>
      <c r="D1310" t="s">
        <v>24</v>
      </c>
      <c r="E1310" t="s">
        <v>3272</v>
      </c>
      <c r="F1310" t="s">
        <v>4208</v>
      </c>
      <c r="G1310">
        <v>6</v>
      </c>
      <c r="H1310">
        <v>1422.4</v>
      </c>
      <c r="I1310">
        <v>20</v>
      </c>
      <c r="J1310" t="s">
        <v>17</v>
      </c>
      <c r="K1310">
        <v>6827.52</v>
      </c>
    </row>
    <row r="1311" spans="1:11" x14ac:dyDescent="0.25">
      <c r="A1311" t="s">
        <v>2626</v>
      </c>
      <c r="B1311" s="1">
        <v>45764</v>
      </c>
      <c r="C1311" t="s">
        <v>2627</v>
      </c>
      <c r="D1311" t="s">
        <v>24</v>
      </c>
      <c r="E1311" t="s">
        <v>29</v>
      </c>
      <c r="F1311" t="s">
        <v>4017</v>
      </c>
      <c r="G1311">
        <v>8</v>
      </c>
      <c r="H1311">
        <v>777.86</v>
      </c>
      <c r="I1311">
        <v>15</v>
      </c>
      <c r="J1311" t="s">
        <v>21</v>
      </c>
      <c r="K1311">
        <v>5289.45</v>
      </c>
    </row>
    <row r="1312" spans="1:11" x14ac:dyDescent="0.25">
      <c r="A1312" t="s">
        <v>2628</v>
      </c>
      <c r="B1312" s="1">
        <v>45635</v>
      </c>
      <c r="C1312" t="s">
        <v>2629</v>
      </c>
      <c r="D1312" t="s">
        <v>24</v>
      </c>
      <c r="E1312" t="s">
        <v>29</v>
      </c>
      <c r="F1312" t="s">
        <v>4729</v>
      </c>
      <c r="G1312">
        <v>3</v>
      </c>
      <c r="H1312">
        <v>1149.1400000000001</v>
      </c>
      <c r="I1312">
        <v>10</v>
      </c>
      <c r="J1312" t="s">
        <v>21</v>
      </c>
      <c r="K1312">
        <v>3102.68</v>
      </c>
    </row>
    <row r="1313" spans="1:11" x14ac:dyDescent="0.25">
      <c r="A1313" t="s">
        <v>2630</v>
      </c>
      <c r="B1313" s="1">
        <v>45608</v>
      </c>
      <c r="C1313" t="s">
        <v>2631</v>
      </c>
      <c r="D1313" t="s">
        <v>13</v>
      </c>
      <c r="E1313" t="s">
        <v>29</v>
      </c>
      <c r="F1313" t="s">
        <v>4196</v>
      </c>
      <c r="G1313">
        <v>8</v>
      </c>
      <c r="H1313">
        <v>928.84</v>
      </c>
      <c r="I1313">
        <v>5</v>
      </c>
      <c r="J1313" t="s">
        <v>39</v>
      </c>
      <c r="K1313">
        <v>7059.18</v>
      </c>
    </row>
    <row r="1314" spans="1:11" x14ac:dyDescent="0.25">
      <c r="A1314" t="s">
        <v>2632</v>
      </c>
      <c r="B1314" s="1">
        <v>45663</v>
      </c>
      <c r="C1314" t="s">
        <v>2633</v>
      </c>
      <c r="D1314" t="s">
        <v>20</v>
      </c>
      <c r="E1314" t="s">
        <v>3272</v>
      </c>
      <c r="F1314" t="s">
        <v>4033</v>
      </c>
      <c r="G1314">
        <v>1</v>
      </c>
      <c r="H1314">
        <v>1360.51</v>
      </c>
      <c r="I1314">
        <v>5</v>
      </c>
      <c r="J1314" t="s">
        <v>21</v>
      </c>
      <c r="K1314">
        <v>1292.48</v>
      </c>
    </row>
    <row r="1315" spans="1:11" x14ac:dyDescent="0.25">
      <c r="A1315" t="s">
        <v>2634</v>
      </c>
      <c r="B1315" s="1">
        <v>45774</v>
      </c>
      <c r="C1315" t="s">
        <v>2635</v>
      </c>
      <c r="D1315" t="s">
        <v>13</v>
      </c>
      <c r="E1315" t="s">
        <v>3988</v>
      </c>
      <c r="F1315" t="s">
        <v>4114</v>
      </c>
      <c r="G1315">
        <v>9</v>
      </c>
      <c r="H1315">
        <v>1187.94</v>
      </c>
      <c r="I1315">
        <v>5</v>
      </c>
      <c r="J1315" t="s">
        <v>17</v>
      </c>
      <c r="K1315">
        <v>10156.89</v>
      </c>
    </row>
    <row r="1316" spans="1:11" x14ac:dyDescent="0.25">
      <c r="A1316" t="s">
        <v>2636</v>
      </c>
      <c r="B1316" s="1">
        <v>45875</v>
      </c>
      <c r="C1316" t="s">
        <v>2637</v>
      </c>
      <c r="D1316" t="s">
        <v>13</v>
      </c>
      <c r="E1316" t="s">
        <v>3988</v>
      </c>
      <c r="F1316" t="s">
        <v>4738</v>
      </c>
      <c r="G1316">
        <v>9</v>
      </c>
      <c r="H1316">
        <v>1075.22</v>
      </c>
      <c r="I1316">
        <v>20</v>
      </c>
      <c r="J1316" t="s">
        <v>17</v>
      </c>
      <c r="K1316">
        <v>7741.58</v>
      </c>
    </row>
    <row r="1317" spans="1:11" x14ac:dyDescent="0.25">
      <c r="A1317" t="s">
        <v>2638</v>
      </c>
      <c r="B1317" s="1">
        <v>45303</v>
      </c>
      <c r="C1317" t="s">
        <v>2639</v>
      </c>
      <c r="D1317" t="s">
        <v>20</v>
      </c>
      <c r="E1317" t="s">
        <v>3272</v>
      </c>
      <c r="F1317" t="s">
        <v>4151</v>
      </c>
      <c r="G1317">
        <v>5</v>
      </c>
      <c r="H1317">
        <v>536.57000000000005</v>
      </c>
      <c r="I1317">
        <v>0</v>
      </c>
      <c r="J1317" t="s">
        <v>17</v>
      </c>
      <c r="K1317">
        <v>2682.85</v>
      </c>
    </row>
    <row r="1318" spans="1:11" x14ac:dyDescent="0.25">
      <c r="A1318" t="s">
        <v>2640</v>
      </c>
      <c r="B1318" s="1">
        <v>45480</v>
      </c>
      <c r="C1318" t="s">
        <v>2641</v>
      </c>
      <c r="D1318" t="s">
        <v>24</v>
      </c>
      <c r="E1318" t="s">
        <v>29</v>
      </c>
      <c r="F1318" t="s">
        <v>4739</v>
      </c>
      <c r="G1318">
        <v>4</v>
      </c>
      <c r="H1318">
        <v>53.94</v>
      </c>
      <c r="I1318">
        <v>20</v>
      </c>
      <c r="J1318" t="s">
        <v>21</v>
      </c>
      <c r="K1318">
        <v>172.61</v>
      </c>
    </row>
    <row r="1319" spans="1:11" x14ac:dyDescent="0.25">
      <c r="A1319" t="s">
        <v>2642</v>
      </c>
      <c r="B1319" s="1">
        <v>45239</v>
      </c>
      <c r="C1319" t="s">
        <v>2643</v>
      </c>
      <c r="D1319" t="s">
        <v>36</v>
      </c>
      <c r="E1319" t="s">
        <v>3988</v>
      </c>
      <c r="F1319" t="s">
        <v>4039</v>
      </c>
      <c r="G1319">
        <v>6</v>
      </c>
      <c r="H1319">
        <v>389.46</v>
      </c>
      <c r="I1319">
        <v>15</v>
      </c>
      <c r="J1319" t="s">
        <v>21</v>
      </c>
      <c r="K1319">
        <v>1986.25</v>
      </c>
    </row>
    <row r="1320" spans="1:11" x14ac:dyDescent="0.25">
      <c r="A1320" t="s">
        <v>2644</v>
      </c>
      <c r="B1320" s="1">
        <v>45572</v>
      </c>
      <c r="C1320" t="s">
        <v>2645</v>
      </c>
      <c r="D1320" t="s">
        <v>24</v>
      </c>
      <c r="E1320" t="s">
        <v>3988</v>
      </c>
      <c r="F1320" t="s">
        <v>4041</v>
      </c>
      <c r="G1320">
        <v>7</v>
      </c>
      <c r="H1320">
        <v>278.27999999999997</v>
      </c>
      <c r="I1320">
        <v>0</v>
      </c>
      <c r="J1320" t="s">
        <v>39</v>
      </c>
      <c r="K1320">
        <v>1947.96</v>
      </c>
    </row>
    <row r="1321" spans="1:11" x14ac:dyDescent="0.25">
      <c r="A1321" t="s">
        <v>2646</v>
      </c>
      <c r="B1321" s="1">
        <v>45324</v>
      </c>
      <c r="C1321" t="s">
        <v>2647</v>
      </c>
      <c r="D1321" t="s">
        <v>24</v>
      </c>
      <c r="E1321" t="s">
        <v>3988</v>
      </c>
      <c r="F1321" t="s">
        <v>4624</v>
      </c>
      <c r="G1321">
        <v>5</v>
      </c>
      <c r="H1321">
        <v>925.72</v>
      </c>
      <c r="I1321">
        <v>15</v>
      </c>
      <c r="J1321" t="s">
        <v>17</v>
      </c>
      <c r="K1321">
        <v>3934.31</v>
      </c>
    </row>
    <row r="1322" spans="1:11" x14ac:dyDescent="0.25">
      <c r="A1322" t="s">
        <v>2648</v>
      </c>
      <c r="B1322" s="1">
        <v>45653</v>
      </c>
      <c r="C1322" t="s">
        <v>2649</v>
      </c>
      <c r="D1322" t="s">
        <v>24</v>
      </c>
      <c r="E1322" t="s">
        <v>3988</v>
      </c>
      <c r="F1322" t="s">
        <v>4740</v>
      </c>
      <c r="G1322">
        <v>9</v>
      </c>
      <c r="H1322">
        <v>1243.9000000000001</v>
      </c>
      <c r="I1322">
        <v>0</v>
      </c>
      <c r="J1322" t="s">
        <v>39</v>
      </c>
      <c r="K1322">
        <v>11195.1</v>
      </c>
    </row>
    <row r="1323" spans="1:11" x14ac:dyDescent="0.25">
      <c r="A1323" t="s">
        <v>2650</v>
      </c>
      <c r="B1323" s="1">
        <v>45265</v>
      </c>
      <c r="C1323" t="s">
        <v>2651</v>
      </c>
      <c r="D1323" t="s">
        <v>24</v>
      </c>
      <c r="E1323" t="s">
        <v>3988</v>
      </c>
      <c r="F1323" t="s">
        <v>4741</v>
      </c>
      <c r="G1323">
        <v>3</v>
      </c>
      <c r="H1323">
        <v>465.52</v>
      </c>
      <c r="I1323">
        <v>20</v>
      </c>
      <c r="J1323" t="s">
        <v>17</v>
      </c>
      <c r="K1323">
        <v>1117.25</v>
      </c>
    </row>
    <row r="1324" spans="1:11" x14ac:dyDescent="0.25">
      <c r="A1324" t="s">
        <v>2652</v>
      </c>
      <c r="B1324" s="1">
        <v>45855</v>
      </c>
      <c r="C1324" t="s">
        <v>2653</v>
      </c>
      <c r="D1324" t="s">
        <v>36</v>
      </c>
      <c r="E1324" t="s">
        <v>3988</v>
      </c>
      <c r="F1324" t="s">
        <v>4524</v>
      </c>
      <c r="G1324">
        <v>7</v>
      </c>
      <c r="H1324">
        <v>1881.16</v>
      </c>
      <c r="I1324">
        <v>5</v>
      </c>
      <c r="J1324" t="s">
        <v>39</v>
      </c>
      <c r="K1324">
        <v>12509.71</v>
      </c>
    </row>
    <row r="1325" spans="1:11" x14ac:dyDescent="0.25">
      <c r="A1325" t="s">
        <v>2654</v>
      </c>
      <c r="B1325" s="1">
        <v>45356</v>
      </c>
      <c r="C1325" t="s">
        <v>2655</v>
      </c>
      <c r="D1325" t="s">
        <v>13</v>
      </c>
      <c r="E1325" t="s">
        <v>3988</v>
      </c>
      <c r="F1325" t="s">
        <v>4730</v>
      </c>
      <c r="G1325">
        <v>5</v>
      </c>
      <c r="H1325">
        <v>63.03</v>
      </c>
      <c r="I1325">
        <v>10</v>
      </c>
      <c r="J1325" t="s">
        <v>14</v>
      </c>
      <c r="K1325">
        <v>283.64</v>
      </c>
    </row>
    <row r="1326" spans="1:11" x14ac:dyDescent="0.25">
      <c r="A1326" t="s">
        <v>2656</v>
      </c>
      <c r="B1326" s="1">
        <v>45792</v>
      </c>
      <c r="C1326" t="s">
        <v>2657</v>
      </c>
      <c r="D1326" t="s">
        <v>36</v>
      </c>
      <c r="E1326" t="s">
        <v>3988</v>
      </c>
      <c r="F1326" t="s">
        <v>4524</v>
      </c>
      <c r="G1326">
        <v>7</v>
      </c>
      <c r="H1326">
        <v>1555.99</v>
      </c>
      <c r="I1326">
        <v>5</v>
      </c>
      <c r="J1326" t="s">
        <v>14</v>
      </c>
      <c r="K1326">
        <v>10347.33</v>
      </c>
    </row>
    <row r="1327" spans="1:11" x14ac:dyDescent="0.25">
      <c r="A1327" t="s">
        <v>2658</v>
      </c>
      <c r="B1327" s="1">
        <v>45260</v>
      </c>
      <c r="C1327" t="s">
        <v>2659</v>
      </c>
      <c r="D1327" t="s">
        <v>20</v>
      </c>
      <c r="E1327" t="s">
        <v>3988</v>
      </c>
      <c r="F1327" t="s">
        <v>4741</v>
      </c>
      <c r="G1327">
        <v>2</v>
      </c>
      <c r="H1327">
        <v>1269.1500000000001</v>
      </c>
      <c r="I1327">
        <v>20</v>
      </c>
      <c r="J1327" t="s">
        <v>17</v>
      </c>
      <c r="K1327">
        <v>2030.64</v>
      </c>
    </row>
    <row r="1328" spans="1:11" x14ac:dyDescent="0.25">
      <c r="A1328" t="s">
        <v>2660</v>
      </c>
      <c r="B1328" s="1">
        <v>45205</v>
      </c>
      <c r="C1328" t="s">
        <v>2661</v>
      </c>
      <c r="D1328" t="s">
        <v>24</v>
      </c>
      <c r="E1328" t="s">
        <v>3988</v>
      </c>
      <c r="F1328" t="s">
        <v>4730</v>
      </c>
      <c r="G1328">
        <v>4</v>
      </c>
      <c r="H1328">
        <v>778.43</v>
      </c>
      <c r="I1328">
        <v>0</v>
      </c>
      <c r="J1328" t="s">
        <v>39</v>
      </c>
      <c r="K1328">
        <v>3113.72</v>
      </c>
    </row>
    <row r="1329" spans="1:11" x14ac:dyDescent="0.25">
      <c r="A1329" t="s">
        <v>2662</v>
      </c>
      <c r="B1329" s="1">
        <v>45196</v>
      </c>
      <c r="C1329" t="s">
        <v>2663</v>
      </c>
      <c r="D1329" t="s">
        <v>36</v>
      </c>
      <c r="E1329" t="s">
        <v>29</v>
      </c>
      <c r="F1329" t="s">
        <v>4192</v>
      </c>
      <c r="G1329">
        <v>2</v>
      </c>
      <c r="H1329">
        <v>148.44999999999999</v>
      </c>
      <c r="I1329">
        <v>5</v>
      </c>
      <c r="J1329" t="s">
        <v>21</v>
      </c>
      <c r="K1329">
        <v>282.05</v>
      </c>
    </row>
    <row r="1330" spans="1:11" x14ac:dyDescent="0.25">
      <c r="A1330" t="s">
        <v>2664</v>
      </c>
      <c r="B1330" s="1">
        <v>45278</v>
      </c>
      <c r="C1330" t="s">
        <v>2665</v>
      </c>
      <c r="D1330" t="s">
        <v>20</v>
      </c>
      <c r="E1330" t="s">
        <v>3272</v>
      </c>
      <c r="F1330" t="s">
        <v>4742</v>
      </c>
      <c r="G1330">
        <v>7</v>
      </c>
      <c r="H1330">
        <v>1273.5999999999999</v>
      </c>
      <c r="I1330">
        <v>20</v>
      </c>
      <c r="J1330" t="s">
        <v>21</v>
      </c>
      <c r="K1330">
        <v>7132.16</v>
      </c>
    </row>
    <row r="1331" spans="1:11" x14ac:dyDescent="0.25">
      <c r="A1331" t="s">
        <v>2666</v>
      </c>
      <c r="B1331" s="1">
        <v>45765</v>
      </c>
      <c r="C1331" t="s">
        <v>2667</v>
      </c>
      <c r="D1331" t="s">
        <v>36</v>
      </c>
      <c r="E1331" t="s">
        <v>3988</v>
      </c>
      <c r="F1331" t="s">
        <v>4743</v>
      </c>
      <c r="G1331">
        <v>2</v>
      </c>
      <c r="H1331">
        <v>801.95</v>
      </c>
      <c r="I1331">
        <v>15</v>
      </c>
      <c r="J1331" t="s">
        <v>21</v>
      </c>
      <c r="K1331">
        <v>1363.32</v>
      </c>
    </row>
    <row r="1332" spans="1:11" x14ac:dyDescent="0.25">
      <c r="A1332" t="s">
        <v>2668</v>
      </c>
      <c r="B1332" s="1">
        <v>45388</v>
      </c>
      <c r="C1332" t="s">
        <v>2669</v>
      </c>
      <c r="D1332" t="s">
        <v>24</v>
      </c>
      <c r="E1332" t="s">
        <v>3272</v>
      </c>
      <c r="F1332" t="s">
        <v>4187</v>
      </c>
      <c r="G1332">
        <v>1</v>
      </c>
      <c r="H1332">
        <v>1875.72</v>
      </c>
      <c r="I1332">
        <v>10</v>
      </c>
      <c r="J1332" t="s">
        <v>39</v>
      </c>
      <c r="K1332">
        <v>1688.15</v>
      </c>
    </row>
    <row r="1333" spans="1:11" x14ac:dyDescent="0.25">
      <c r="A1333" t="s">
        <v>2670</v>
      </c>
      <c r="B1333" s="1">
        <v>45612</v>
      </c>
      <c r="C1333" t="s">
        <v>2671</v>
      </c>
      <c r="D1333" t="s">
        <v>24</v>
      </c>
      <c r="E1333" t="s">
        <v>3988</v>
      </c>
      <c r="F1333" t="s">
        <v>4342</v>
      </c>
      <c r="G1333">
        <v>9</v>
      </c>
      <c r="H1333">
        <v>1106.8800000000001</v>
      </c>
      <c r="I1333">
        <v>5</v>
      </c>
      <c r="J1333" t="s">
        <v>14</v>
      </c>
      <c r="K1333">
        <v>9463.82</v>
      </c>
    </row>
    <row r="1334" spans="1:11" x14ac:dyDescent="0.25">
      <c r="A1334" t="s">
        <v>2672</v>
      </c>
      <c r="B1334" s="1">
        <v>45731</v>
      </c>
      <c r="C1334" t="s">
        <v>2673</v>
      </c>
      <c r="D1334" t="s">
        <v>20</v>
      </c>
      <c r="E1334" t="s">
        <v>3988</v>
      </c>
      <c r="F1334" t="s">
        <v>4744</v>
      </c>
      <c r="G1334">
        <v>1</v>
      </c>
      <c r="H1334">
        <v>1882.32</v>
      </c>
      <c r="I1334">
        <v>0</v>
      </c>
      <c r="J1334" t="s">
        <v>21</v>
      </c>
      <c r="K1334">
        <v>1882.32</v>
      </c>
    </row>
    <row r="1335" spans="1:11" x14ac:dyDescent="0.25">
      <c r="A1335" t="s">
        <v>2674</v>
      </c>
      <c r="B1335" s="1">
        <v>45790</v>
      </c>
      <c r="C1335" t="s">
        <v>2675</v>
      </c>
      <c r="D1335" t="s">
        <v>36</v>
      </c>
      <c r="E1335" t="s">
        <v>29</v>
      </c>
      <c r="F1335" t="s">
        <v>4534</v>
      </c>
      <c r="G1335">
        <v>8</v>
      </c>
      <c r="H1335">
        <v>479.94</v>
      </c>
      <c r="I1335">
        <v>15</v>
      </c>
      <c r="J1335" t="s">
        <v>17</v>
      </c>
      <c r="K1335">
        <v>3263.59</v>
      </c>
    </row>
    <row r="1336" spans="1:11" x14ac:dyDescent="0.25">
      <c r="A1336" t="s">
        <v>2676</v>
      </c>
      <c r="B1336" s="1">
        <v>45592</v>
      </c>
      <c r="C1336" t="s">
        <v>2677</v>
      </c>
      <c r="D1336" t="s">
        <v>24</v>
      </c>
      <c r="E1336" t="s">
        <v>3988</v>
      </c>
      <c r="F1336" t="s">
        <v>4745</v>
      </c>
      <c r="G1336">
        <v>2</v>
      </c>
      <c r="H1336">
        <v>1465.17</v>
      </c>
      <c r="I1336">
        <v>20</v>
      </c>
      <c r="J1336" t="s">
        <v>14</v>
      </c>
      <c r="K1336">
        <v>2344.27</v>
      </c>
    </row>
    <row r="1337" spans="1:11" x14ac:dyDescent="0.25">
      <c r="A1337" t="s">
        <v>2678</v>
      </c>
      <c r="B1337" s="1">
        <v>45865</v>
      </c>
      <c r="C1337" t="s">
        <v>2679</v>
      </c>
      <c r="D1337" t="s">
        <v>20</v>
      </c>
      <c r="E1337" t="s">
        <v>3988</v>
      </c>
      <c r="F1337" t="s">
        <v>4517</v>
      </c>
      <c r="G1337">
        <v>8</v>
      </c>
      <c r="H1337">
        <v>1253.6400000000001</v>
      </c>
      <c r="I1337">
        <v>10</v>
      </c>
      <c r="J1337" t="s">
        <v>17</v>
      </c>
      <c r="K1337">
        <v>9026.2099999999991</v>
      </c>
    </row>
    <row r="1338" spans="1:11" x14ac:dyDescent="0.25">
      <c r="A1338" t="s">
        <v>2680</v>
      </c>
      <c r="B1338" s="1">
        <v>45374</v>
      </c>
      <c r="C1338" t="s">
        <v>2681</v>
      </c>
      <c r="D1338" t="s">
        <v>36</v>
      </c>
      <c r="E1338" t="s">
        <v>3988</v>
      </c>
      <c r="F1338" t="s">
        <v>4714</v>
      </c>
      <c r="G1338">
        <v>3</v>
      </c>
      <c r="H1338">
        <v>1491.85</v>
      </c>
      <c r="I1338">
        <v>0</v>
      </c>
      <c r="J1338" t="s">
        <v>39</v>
      </c>
      <c r="K1338">
        <v>4475.55</v>
      </c>
    </row>
    <row r="1339" spans="1:11" x14ac:dyDescent="0.25">
      <c r="A1339" t="s">
        <v>2682</v>
      </c>
      <c r="B1339" s="1">
        <v>45491</v>
      </c>
      <c r="C1339" t="s">
        <v>2683</v>
      </c>
      <c r="D1339" t="s">
        <v>36</v>
      </c>
      <c r="E1339" t="s">
        <v>3988</v>
      </c>
      <c r="F1339" t="s">
        <v>4375</v>
      </c>
      <c r="G1339">
        <v>6</v>
      </c>
      <c r="H1339">
        <v>468.6</v>
      </c>
      <c r="I1339">
        <v>20</v>
      </c>
      <c r="J1339" t="s">
        <v>21</v>
      </c>
      <c r="K1339">
        <v>2249.2800000000002</v>
      </c>
    </row>
    <row r="1340" spans="1:11" x14ac:dyDescent="0.25">
      <c r="A1340" t="s">
        <v>2684</v>
      </c>
      <c r="B1340" s="1">
        <v>45246</v>
      </c>
      <c r="C1340" t="s">
        <v>2685</v>
      </c>
      <c r="D1340" t="s">
        <v>20</v>
      </c>
      <c r="E1340" t="s">
        <v>3272</v>
      </c>
      <c r="F1340" t="s">
        <v>4385</v>
      </c>
      <c r="G1340">
        <v>3</v>
      </c>
      <c r="H1340">
        <v>1346.74</v>
      </c>
      <c r="I1340">
        <v>20</v>
      </c>
      <c r="J1340" t="s">
        <v>17</v>
      </c>
      <c r="K1340">
        <v>3232.18</v>
      </c>
    </row>
    <row r="1341" spans="1:11" x14ac:dyDescent="0.25">
      <c r="A1341" t="s">
        <v>2686</v>
      </c>
      <c r="B1341" s="1">
        <v>45514</v>
      </c>
      <c r="C1341" t="s">
        <v>2687</v>
      </c>
      <c r="D1341" t="s">
        <v>36</v>
      </c>
      <c r="E1341" t="s">
        <v>3988</v>
      </c>
      <c r="F1341" t="s">
        <v>4746</v>
      </c>
      <c r="G1341">
        <v>7</v>
      </c>
      <c r="H1341">
        <v>1021.18</v>
      </c>
      <c r="I1341">
        <v>5</v>
      </c>
      <c r="J1341" t="s">
        <v>39</v>
      </c>
      <c r="K1341">
        <v>6790.85</v>
      </c>
    </row>
    <row r="1342" spans="1:11" x14ac:dyDescent="0.25">
      <c r="A1342" t="s">
        <v>2688</v>
      </c>
      <c r="B1342" s="1">
        <v>45684</v>
      </c>
      <c r="C1342" t="s">
        <v>2689</v>
      </c>
      <c r="D1342" t="s">
        <v>36</v>
      </c>
      <c r="E1342" t="s">
        <v>3272</v>
      </c>
      <c r="F1342" t="s">
        <v>4747</v>
      </c>
      <c r="G1342">
        <v>9</v>
      </c>
      <c r="H1342">
        <v>1498.51</v>
      </c>
      <c r="I1342">
        <v>5</v>
      </c>
      <c r="J1342" t="s">
        <v>21</v>
      </c>
      <c r="K1342">
        <v>12812.26</v>
      </c>
    </row>
    <row r="1343" spans="1:11" x14ac:dyDescent="0.25">
      <c r="A1343" t="s">
        <v>2690</v>
      </c>
      <c r="B1343" s="1">
        <v>45386</v>
      </c>
      <c r="C1343" t="s">
        <v>2691</v>
      </c>
      <c r="D1343" t="s">
        <v>24</v>
      </c>
      <c r="E1343" t="s">
        <v>3988</v>
      </c>
      <c r="F1343" t="s">
        <v>4732</v>
      </c>
      <c r="G1343">
        <v>2</v>
      </c>
      <c r="H1343">
        <v>687.74</v>
      </c>
      <c r="I1343">
        <v>0</v>
      </c>
      <c r="J1343" t="s">
        <v>39</v>
      </c>
      <c r="K1343">
        <v>1375.48</v>
      </c>
    </row>
    <row r="1344" spans="1:11" x14ac:dyDescent="0.25">
      <c r="A1344" t="s">
        <v>2692</v>
      </c>
      <c r="B1344" s="1">
        <v>45693</v>
      </c>
      <c r="C1344" t="s">
        <v>1832</v>
      </c>
      <c r="D1344" t="s">
        <v>24</v>
      </c>
      <c r="E1344" t="s">
        <v>3988</v>
      </c>
      <c r="F1344" t="s">
        <v>4748</v>
      </c>
      <c r="G1344">
        <v>5</v>
      </c>
      <c r="H1344">
        <v>1785.61</v>
      </c>
      <c r="I1344">
        <v>20</v>
      </c>
      <c r="J1344" t="s">
        <v>17</v>
      </c>
      <c r="K1344">
        <v>7142.44</v>
      </c>
    </row>
    <row r="1345" spans="1:11" x14ac:dyDescent="0.25">
      <c r="A1345" t="s">
        <v>2693</v>
      </c>
      <c r="B1345" s="1">
        <v>45462</v>
      </c>
      <c r="C1345" t="s">
        <v>2694</v>
      </c>
      <c r="D1345" t="s">
        <v>24</v>
      </c>
      <c r="E1345" t="s">
        <v>3988</v>
      </c>
      <c r="F1345" t="s">
        <v>4749</v>
      </c>
      <c r="G1345">
        <v>6</v>
      </c>
      <c r="H1345">
        <v>214.39</v>
      </c>
      <c r="I1345">
        <v>5</v>
      </c>
      <c r="J1345" t="s">
        <v>14</v>
      </c>
      <c r="K1345">
        <v>1222.02</v>
      </c>
    </row>
    <row r="1346" spans="1:11" x14ac:dyDescent="0.25">
      <c r="A1346" t="s">
        <v>2695</v>
      </c>
      <c r="B1346" s="1">
        <v>45361</v>
      </c>
      <c r="C1346" t="s">
        <v>2696</v>
      </c>
      <c r="D1346" t="s">
        <v>20</v>
      </c>
      <c r="E1346" t="s">
        <v>3988</v>
      </c>
      <c r="F1346" t="s">
        <v>4453</v>
      </c>
      <c r="G1346">
        <v>4</v>
      </c>
      <c r="H1346">
        <v>1624.02</v>
      </c>
      <c r="I1346">
        <v>10</v>
      </c>
      <c r="J1346" t="s">
        <v>17</v>
      </c>
      <c r="K1346">
        <v>5846.47</v>
      </c>
    </row>
    <row r="1347" spans="1:11" x14ac:dyDescent="0.25">
      <c r="A1347" t="s">
        <v>2697</v>
      </c>
      <c r="B1347" s="1">
        <v>45538</v>
      </c>
      <c r="C1347" t="s">
        <v>2698</v>
      </c>
      <c r="D1347" t="s">
        <v>13</v>
      </c>
      <c r="E1347" t="s">
        <v>29</v>
      </c>
      <c r="F1347" t="s">
        <v>4750</v>
      </c>
      <c r="G1347">
        <v>4</v>
      </c>
      <c r="H1347">
        <v>1729.57</v>
      </c>
      <c r="I1347">
        <v>10</v>
      </c>
      <c r="J1347" t="s">
        <v>17</v>
      </c>
      <c r="K1347">
        <v>6226.45</v>
      </c>
    </row>
    <row r="1348" spans="1:11" x14ac:dyDescent="0.25">
      <c r="A1348" t="s">
        <v>2699</v>
      </c>
      <c r="B1348" s="1">
        <v>45569</v>
      </c>
      <c r="C1348" t="s">
        <v>2700</v>
      </c>
      <c r="D1348" t="s">
        <v>36</v>
      </c>
      <c r="E1348" t="s">
        <v>3988</v>
      </c>
      <c r="F1348" t="s">
        <v>4478</v>
      </c>
      <c r="G1348">
        <v>4</v>
      </c>
      <c r="H1348">
        <v>1643.64</v>
      </c>
      <c r="I1348">
        <v>20</v>
      </c>
      <c r="J1348" t="s">
        <v>14</v>
      </c>
      <c r="K1348">
        <v>5259.65</v>
      </c>
    </row>
    <row r="1349" spans="1:11" x14ac:dyDescent="0.25">
      <c r="A1349" t="s">
        <v>2701</v>
      </c>
      <c r="B1349" s="1">
        <v>45533</v>
      </c>
      <c r="C1349" t="s">
        <v>2702</v>
      </c>
      <c r="D1349" t="s">
        <v>20</v>
      </c>
      <c r="E1349" t="s">
        <v>3272</v>
      </c>
      <c r="F1349" t="s">
        <v>4751</v>
      </c>
      <c r="G1349">
        <v>2</v>
      </c>
      <c r="H1349">
        <v>1049.82</v>
      </c>
      <c r="I1349">
        <v>5</v>
      </c>
      <c r="J1349" t="s">
        <v>39</v>
      </c>
      <c r="K1349">
        <v>1994.66</v>
      </c>
    </row>
    <row r="1350" spans="1:11" x14ac:dyDescent="0.25">
      <c r="A1350" t="s">
        <v>2703</v>
      </c>
      <c r="B1350" s="1">
        <v>45490</v>
      </c>
      <c r="C1350" t="s">
        <v>2704</v>
      </c>
      <c r="D1350" t="s">
        <v>13</v>
      </c>
      <c r="E1350" t="s">
        <v>29</v>
      </c>
      <c r="F1350" t="s">
        <v>4610</v>
      </c>
      <c r="G1350">
        <v>4</v>
      </c>
      <c r="H1350">
        <v>904.85</v>
      </c>
      <c r="I1350">
        <v>0</v>
      </c>
      <c r="J1350" t="s">
        <v>39</v>
      </c>
      <c r="K1350">
        <v>3619.4</v>
      </c>
    </row>
    <row r="1351" spans="1:11" x14ac:dyDescent="0.25">
      <c r="A1351" t="s">
        <v>2705</v>
      </c>
      <c r="B1351" s="1">
        <v>45212</v>
      </c>
      <c r="C1351" t="s">
        <v>2706</v>
      </c>
      <c r="D1351" t="s">
        <v>13</v>
      </c>
      <c r="E1351" t="s">
        <v>3988</v>
      </c>
      <c r="F1351" t="s">
        <v>4242</v>
      </c>
      <c r="G1351">
        <v>1</v>
      </c>
      <c r="H1351">
        <v>1992.71</v>
      </c>
      <c r="I1351">
        <v>0</v>
      </c>
      <c r="J1351" t="s">
        <v>17</v>
      </c>
      <c r="K1351">
        <v>1992.71</v>
      </c>
    </row>
    <row r="1352" spans="1:11" x14ac:dyDescent="0.25">
      <c r="A1352" t="s">
        <v>2707</v>
      </c>
      <c r="B1352" s="1">
        <v>45614</v>
      </c>
      <c r="C1352" t="s">
        <v>2708</v>
      </c>
      <c r="D1352" t="s">
        <v>20</v>
      </c>
      <c r="E1352" t="s">
        <v>29</v>
      </c>
      <c r="F1352" t="s">
        <v>4286</v>
      </c>
      <c r="G1352">
        <v>6</v>
      </c>
      <c r="H1352">
        <v>496.89</v>
      </c>
      <c r="I1352">
        <v>0</v>
      </c>
      <c r="J1352" t="s">
        <v>17</v>
      </c>
      <c r="K1352">
        <v>2981.34</v>
      </c>
    </row>
    <row r="1353" spans="1:11" x14ac:dyDescent="0.25">
      <c r="A1353" t="s">
        <v>2709</v>
      </c>
      <c r="B1353" s="1">
        <v>45180</v>
      </c>
      <c r="C1353" t="s">
        <v>2710</v>
      </c>
      <c r="D1353" t="s">
        <v>13</v>
      </c>
      <c r="E1353" t="s">
        <v>3988</v>
      </c>
      <c r="F1353" t="s">
        <v>4660</v>
      </c>
      <c r="G1353">
        <v>1</v>
      </c>
      <c r="H1353">
        <v>1116.4100000000001</v>
      </c>
      <c r="I1353">
        <v>10</v>
      </c>
      <c r="J1353" t="s">
        <v>39</v>
      </c>
      <c r="K1353">
        <v>1004.77</v>
      </c>
    </row>
    <row r="1354" spans="1:11" x14ac:dyDescent="0.25">
      <c r="A1354" t="s">
        <v>2711</v>
      </c>
      <c r="B1354" s="1">
        <v>45840</v>
      </c>
      <c r="C1354" t="s">
        <v>2712</v>
      </c>
      <c r="D1354" t="s">
        <v>24</v>
      </c>
      <c r="E1354" t="s">
        <v>3988</v>
      </c>
      <c r="F1354" t="s">
        <v>4603</v>
      </c>
      <c r="G1354">
        <v>6</v>
      </c>
      <c r="H1354">
        <v>1357.82</v>
      </c>
      <c r="I1354">
        <v>5</v>
      </c>
      <c r="J1354" t="s">
        <v>14</v>
      </c>
      <c r="K1354">
        <v>7739.57</v>
      </c>
    </row>
    <row r="1355" spans="1:11" x14ac:dyDescent="0.25">
      <c r="A1355" t="s">
        <v>2713</v>
      </c>
      <c r="B1355" s="1">
        <v>45485</v>
      </c>
      <c r="C1355" t="s">
        <v>2714</v>
      </c>
      <c r="D1355" t="s">
        <v>20</v>
      </c>
      <c r="E1355" t="s">
        <v>3988</v>
      </c>
      <c r="F1355" t="s">
        <v>4417</v>
      </c>
      <c r="G1355">
        <v>1</v>
      </c>
      <c r="H1355">
        <v>1416.69</v>
      </c>
      <c r="I1355">
        <v>5</v>
      </c>
      <c r="J1355" t="s">
        <v>21</v>
      </c>
      <c r="K1355">
        <v>1345.86</v>
      </c>
    </row>
    <row r="1356" spans="1:11" x14ac:dyDescent="0.25">
      <c r="A1356" t="s">
        <v>2715</v>
      </c>
      <c r="B1356" s="1">
        <v>45720</v>
      </c>
      <c r="C1356" t="s">
        <v>2716</v>
      </c>
      <c r="D1356" t="s">
        <v>36</v>
      </c>
      <c r="E1356" t="s">
        <v>3272</v>
      </c>
      <c r="F1356" t="s">
        <v>4752</v>
      </c>
      <c r="G1356">
        <v>6</v>
      </c>
      <c r="H1356">
        <v>447.85</v>
      </c>
      <c r="I1356">
        <v>10</v>
      </c>
      <c r="J1356" t="s">
        <v>14</v>
      </c>
      <c r="K1356">
        <v>2418.39</v>
      </c>
    </row>
    <row r="1357" spans="1:11" x14ac:dyDescent="0.25">
      <c r="A1357" t="s">
        <v>2717</v>
      </c>
      <c r="B1357" s="1">
        <v>45400</v>
      </c>
      <c r="C1357" t="s">
        <v>2718</v>
      </c>
      <c r="D1357" t="s">
        <v>24</v>
      </c>
      <c r="E1357" t="s">
        <v>3988</v>
      </c>
      <c r="F1357" t="s">
        <v>4753</v>
      </c>
      <c r="G1357">
        <v>8</v>
      </c>
      <c r="H1357">
        <v>1325.29</v>
      </c>
      <c r="I1357">
        <v>0</v>
      </c>
      <c r="J1357" t="s">
        <v>17</v>
      </c>
      <c r="K1357">
        <v>10602.32</v>
      </c>
    </row>
    <row r="1358" spans="1:11" x14ac:dyDescent="0.25">
      <c r="A1358" t="s">
        <v>2719</v>
      </c>
      <c r="B1358" s="1">
        <v>45618</v>
      </c>
      <c r="C1358" t="s">
        <v>2011</v>
      </c>
      <c r="D1358" t="s">
        <v>36</v>
      </c>
      <c r="E1358" t="s">
        <v>3988</v>
      </c>
      <c r="F1358" t="s">
        <v>4046</v>
      </c>
      <c r="G1358">
        <v>2</v>
      </c>
      <c r="H1358">
        <v>1645.82</v>
      </c>
      <c r="I1358">
        <v>0</v>
      </c>
      <c r="J1358" t="s">
        <v>39</v>
      </c>
      <c r="K1358">
        <v>3291.64</v>
      </c>
    </row>
    <row r="1359" spans="1:11" x14ac:dyDescent="0.25">
      <c r="A1359" t="s">
        <v>2720</v>
      </c>
      <c r="B1359" s="1">
        <v>45344</v>
      </c>
      <c r="C1359" t="s">
        <v>2721</v>
      </c>
      <c r="D1359" t="s">
        <v>13</v>
      </c>
      <c r="E1359" t="s">
        <v>3988</v>
      </c>
      <c r="F1359" t="s">
        <v>4046</v>
      </c>
      <c r="G1359">
        <v>2</v>
      </c>
      <c r="H1359">
        <v>147.54</v>
      </c>
      <c r="I1359">
        <v>20</v>
      </c>
      <c r="J1359" t="s">
        <v>14</v>
      </c>
      <c r="K1359">
        <v>236.06</v>
      </c>
    </row>
    <row r="1360" spans="1:11" x14ac:dyDescent="0.25">
      <c r="A1360" t="s">
        <v>2722</v>
      </c>
      <c r="B1360" s="1">
        <v>45170</v>
      </c>
      <c r="C1360" t="s">
        <v>2723</v>
      </c>
      <c r="D1360" t="s">
        <v>24</v>
      </c>
      <c r="E1360" t="s">
        <v>3988</v>
      </c>
      <c r="F1360" t="s">
        <v>4110</v>
      </c>
      <c r="G1360">
        <v>4</v>
      </c>
      <c r="H1360">
        <v>1827.47</v>
      </c>
      <c r="I1360">
        <v>15</v>
      </c>
      <c r="J1360" t="s">
        <v>17</v>
      </c>
      <c r="K1360">
        <v>6213.4</v>
      </c>
    </row>
    <row r="1361" spans="1:11" x14ac:dyDescent="0.25">
      <c r="A1361" t="s">
        <v>2724</v>
      </c>
      <c r="B1361" s="1">
        <v>45220</v>
      </c>
      <c r="C1361" t="s">
        <v>2725</v>
      </c>
      <c r="D1361" t="s">
        <v>36</v>
      </c>
      <c r="E1361" t="s">
        <v>3988</v>
      </c>
      <c r="F1361" t="s">
        <v>4753</v>
      </c>
      <c r="G1361">
        <v>3</v>
      </c>
      <c r="H1361">
        <v>107.53</v>
      </c>
      <c r="I1361">
        <v>5</v>
      </c>
      <c r="J1361" t="s">
        <v>21</v>
      </c>
      <c r="K1361">
        <v>306.45999999999998</v>
      </c>
    </row>
    <row r="1362" spans="1:11" x14ac:dyDescent="0.25">
      <c r="A1362" t="s">
        <v>2726</v>
      </c>
      <c r="B1362" s="1">
        <v>45327</v>
      </c>
      <c r="C1362" t="s">
        <v>2727</v>
      </c>
      <c r="D1362" t="s">
        <v>20</v>
      </c>
      <c r="E1362" t="s">
        <v>3272</v>
      </c>
      <c r="F1362" t="s">
        <v>4626</v>
      </c>
      <c r="G1362">
        <v>4</v>
      </c>
      <c r="H1362">
        <v>744.14</v>
      </c>
      <c r="I1362">
        <v>5</v>
      </c>
      <c r="J1362" t="s">
        <v>21</v>
      </c>
      <c r="K1362">
        <v>2827.73</v>
      </c>
    </row>
    <row r="1363" spans="1:11" x14ac:dyDescent="0.25">
      <c r="A1363" t="s">
        <v>2728</v>
      </c>
      <c r="B1363" s="1">
        <v>45673</v>
      </c>
      <c r="C1363" t="s">
        <v>2729</v>
      </c>
      <c r="D1363" t="s">
        <v>13</v>
      </c>
      <c r="E1363" t="s">
        <v>29</v>
      </c>
      <c r="F1363" t="s">
        <v>3999</v>
      </c>
      <c r="G1363">
        <v>7</v>
      </c>
      <c r="H1363">
        <v>80.84</v>
      </c>
      <c r="I1363">
        <v>5</v>
      </c>
      <c r="J1363" t="s">
        <v>14</v>
      </c>
      <c r="K1363">
        <v>537.59</v>
      </c>
    </row>
    <row r="1364" spans="1:11" x14ac:dyDescent="0.25">
      <c r="A1364" t="s">
        <v>2730</v>
      </c>
      <c r="B1364" s="1">
        <v>45799</v>
      </c>
      <c r="C1364" t="s">
        <v>2731</v>
      </c>
      <c r="D1364" t="s">
        <v>36</v>
      </c>
      <c r="E1364" t="s">
        <v>3272</v>
      </c>
      <c r="F1364" t="s">
        <v>4304</v>
      </c>
      <c r="G1364">
        <v>1</v>
      </c>
      <c r="H1364">
        <v>200.43</v>
      </c>
      <c r="I1364">
        <v>15</v>
      </c>
      <c r="J1364" t="s">
        <v>17</v>
      </c>
      <c r="K1364">
        <v>170.37</v>
      </c>
    </row>
    <row r="1365" spans="1:11" x14ac:dyDescent="0.25">
      <c r="A1365" t="s">
        <v>2732</v>
      </c>
      <c r="B1365" s="1">
        <v>45818</v>
      </c>
      <c r="C1365" t="s">
        <v>2733</v>
      </c>
      <c r="D1365" t="s">
        <v>13</v>
      </c>
      <c r="E1365" t="s">
        <v>3988</v>
      </c>
      <c r="F1365" t="s">
        <v>4099</v>
      </c>
      <c r="G1365">
        <v>6</v>
      </c>
      <c r="H1365">
        <v>1826.78</v>
      </c>
      <c r="I1365">
        <v>20</v>
      </c>
      <c r="J1365" t="s">
        <v>17</v>
      </c>
      <c r="K1365">
        <v>8768.5400000000009</v>
      </c>
    </row>
    <row r="1366" spans="1:11" x14ac:dyDescent="0.25">
      <c r="A1366" t="s">
        <v>2734</v>
      </c>
      <c r="B1366" s="1">
        <v>45596</v>
      </c>
      <c r="C1366" t="s">
        <v>2735</v>
      </c>
      <c r="D1366" t="s">
        <v>36</v>
      </c>
      <c r="E1366" t="s">
        <v>3988</v>
      </c>
      <c r="F1366" t="s">
        <v>4754</v>
      </c>
      <c r="G1366">
        <v>3</v>
      </c>
      <c r="H1366">
        <v>741.98</v>
      </c>
      <c r="I1366">
        <v>15</v>
      </c>
      <c r="J1366" t="s">
        <v>21</v>
      </c>
      <c r="K1366">
        <v>1892.05</v>
      </c>
    </row>
    <row r="1367" spans="1:11" x14ac:dyDescent="0.25">
      <c r="A1367" t="s">
        <v>2736</v>
      </c>
      <c r="B1367" s="1">
        <v>45606</v>
      </c>
      <c r="C1367" t="s">
        <v>2737</v>
      </c>
      <c r="D1367" t="s">
        <v>20</v>
      </c>
      <c r="E1367" t="s">
        <v>3988</v>
      </c>
      <c r="F1367" t="s">
        <v>4136</v>
      </c>
      <c r="G1367">
        <v>7</v>
      </c>
      <c r="H1367">
        <v>878.3</v>
      </c>
      <c r="I1367">
        <v>0</v>
      </c>
      <c r="J1367" t="s">
        <v>39</v>
      </c>
      <c r="K1367">
        <v>6148.1</v>
      </c>
    </row>
    <row r="1368" spans="1:11" x14ac:dyDescent="0.25">
      <c r="A1368" t="s">
        <v>2738</v>
      </c>
      <c r="B1368" s="1">
        <v>45166</v>
      </c>
      <c r="C1368" t="s">
        <v>2739</v>
      </c>
      <c r="D1368" t="s">
        <v>24</v>
      </c>
      <c r="E1368" t="s">
        <v>3988</v>
      </c>
      <c r="F1368" t="s">
        <v>4755</v>
      </c>
      <c r="G1368">
        <v>2</v>
      </c>
      <c r="H1368">
        <v>469.92</v>
      </c>
      <c r="I1368">
        <v>0</v>
      </c>
      <c r="J1368" t="s">
        <v>39</v>
      </c>
      <c r="K1368">
        <v>939.84</v>
      </c>
    </row>
    <row r="1369" spans="1:11" x14ac:dyDescent="0.25">
      <c r="A1369" t="s">
        <v>2740</v>
      </c>
      <c r="B1369" s="1">
        <v>45744</v>
      </c>
      <c r="C1369" t="s">
        <v>2741</v>
      </c>
      <c r="D1369" t="s">
        <v>36</v>
      </c>
      <c r="E1369" t="s">
        <v>3272</v>
      </c>
      <c r="F1369" t="s">
        <v>4468</v>
      </c>
      <c r="G1369">
        <v>2</v>
      </c>
      <c r="H1369">
        <v>1214.3399999999999</v>
      </c>
      <c r="I1369">
        <v>5</v>
      </c>
      <c r="J1369" t="s">
        <v>14</v>
      </c>
      <c r="K1369">
        <v>2307.25</v>
      </c>
    </row>
    <row r="1370" spans="1:11" x14ac:dyDescent="0.25">
      <c r="A1370" t="s">
        <v>2742</v>
      </c>
      <c r="B1370" s="1">
        <v>45672</v>
      </c>
      <c r="C1370" t="s">
        <v>2743</v>
      </c>
      <c r="D1370" t="s">
        <v>13</v>
      </c>
      <c r="E1370" t="s">
        <v>3272</v>
      </c>
      <c r="F1370" t="s">
        <v>4203</v>
      </c>
      <c r="G1370">
        <v>4</v>
      </c>
      <c r="H1370">
        <v>1209.8699999999999</v>
      </c>
      <c r="I1370">
        <v>10</v>
      </c>
      <c r="J1370" t="s">
        <v>14</v>
      </c>
      <c r="K1370">
        <v>4355.53</v>
      </c>
    </row>
    <row r="1371" spans="1:11" x14ac:dyDescent="0.25">
      <c r="A1371" t="s">
        <v>2744</v>
      </c>
      <c r="B1371" s="1">
        <v>45788</v>
      </c>
      <c r="C1371" t="s">
        <v>2745</v>
      </c>
      <c r="D1371" t="s">
        <v>20</v>
      </c>
      <c r="E1371" t="s">
        <v>29</v>
      </c>
      <c r="F1371" t="s">
        <v>4756</v>
      </c>
      <c r="G1371">
        <v>1</v>
      </c>
      <c r="H1371">
        <v>775.79</v>
      </c>
      <c r="I1371">
        <v>5</v>
      </c>
      <c r="J1371" t="s">
        <v>21</v>
      </c>
      <c r="K1371">
        <v>737</v>
      </c>
    </row>
    <row r="1372" spans="1:11" x14ac:dyDescent="0.25">
      <c r="A1372" t="s">
        <v>2746</v>
      </c>
      <c r="B1372" s="1">
        <v>45359</v>
      </c>
      <c r="C1372" t="s">
        <v>2747</v>
      </c>
      <c r="D1372" t="s">
        <v>24</v>
      </c>
      <c r="E1372" t="s">
        <v>3988</v>
      </c>
      <c r="F1372" t="s">
        <v>4757</v>
      </c>
      <c r="G1372">
        <v>3</v>
      </c>
      <c r="H1372">
        <v>699.42</v>
      </c>
      <c r="I1372">
        <v>10</v>
      </c>
      <c r="J1372" t="s">
        <v>17</v>
      </c>
      <c r="K1372">
        <v>1888.43</v>
      </c>
    </row>
    <row r="1373" spans="1:11" x14ac:dyDescent="0.25">
      <c r="A1373" t="s">
        <v>2748</v>
      </c>
      <c r="B1373" s="1">
        <v>45597</v>
      </c>
      <c r="C1373" t="s">
        <v>2749</v>
      </c>
      <c r="D1373" t="s">
        <v>13</v>
      </c>
      <c r="E1373" t="s">
        <v>3988</v>
      </c>
      <c r="F1373" t="s">
        <v>4758</v>
      </c>
      <c r="G1373">
        <v>9</v>
      </c>
      <c r="H1373">
        <v>1775.68</v>
      </c>
      <c r="I1373">
        <v>15</v>
      </c>
      <c r="J1373" t="s">
        <v>39</v>
      </c>
      <c r="K1373">
        <v>13583.95</v>
      </c>
    </row>
    <row r="1374" spans="1:11" x14ac:dyDescent="0.25">
      <c r="A1374" t="s">
        <v>2750</v>
      </c>
      <c r="B1374" s="1">
        <v>45181</v>
      </c>
      <c r="C1374" t="s">
        <v>2751</v>
      </c>
      <c r="D1374" t="s">
        <v>20</v>
      </c>
      <c r="E1374" t="s">
        <v>3988</v>
      </c>
      <c r="F1374" t="s">
        <v>4571</v>
      </c>
      <c r="G1374">
        <v>7</v>
      </c>
      <c r="H1374">
        <v>797.4</v>
      </c>
      <c r="I1374">
        <v>0</v>
      </c>
      <c r="J1374" t="s">
        <v>39</v>
      </c>
      <c r="K1374">
        <v>5581.8</v>
      </c>
    </row>
    <row r="1375" spans="1:11" x14ac:dyDescent="0.25">
      <c r="A1375" t="s">
        <v>2752</v>
      </c>
      <c r="B1375" s="1">
        <v>45742</v>
      </c>
      <c r="C1375" t="s">
        <v>2753</v>
      </c>
      <c r="D1375" t="s">
        <v>13</v>
      </c>
      <c r="E1375" t="s">
        <v>3988</v>
      </c>
      <c r="F1375" t="s">
        <v>4758</v>
      </c>
      <c r="G1375">
        <v>7</v>
      </c>
      <c r="H1375">
        <v>1012.33</v>
      </c>
      <c r="I1375">
        <v>10</v>
      </c>
      <c r="J1375" t="s">
        <v>39</v>
      </c>
      <c r="K1375">
        <v>6377.68</v>
      </c>
    </row>
    <row r="1376" spans="1:11" x14ac:dyDescent="0.25">
      <c r="A1376" t="s">
        <v>2754</v>
      </c>
      <c r="B1376" s="1">
        <v>45737</v>
      </c>
      <c r="C1376" t="s">
        <v>2755</v>
      </c>
      <c r="D1376" t="s">
        <v>20</v>
      </c>
      <c r="E1376" t="s">
        <v>3988</v>
      </c>
      <c r="F1376" t="s">
        <v>4759</v>
      </c>
      <c r="G1376">
        <v>4</v>
      </c>
      <c r="H1376">
        <v>602.44000000000005</v>
      </c>
      <c r="I1376">
        <v>15</v>
      </c>
      <c r="J1376" t="s">
        <v>39</v>
      </c>
      <c r="K1376">
        <v>2048.3000000000002</v>
      </c>
    </row>
    <row r="1377" spans="1:11" x14ac:dyDescent="0.25">
      <c r="A1377" t="s">
        <v>2756</v>
      </c>
      <c r="B1377" s="1">
        <v>45286</v>
      </c>
      <c r="C1377" t="s">
        <v>2757</v>
      </c>
      <c r="D1377" t="s">
        <v>24</v>
      </c>
      <c r="E1377" t="s">
        <v>29</v>
      </c>
      <c r="F1377" t="s">
        <v>4073</v>
      </c>
      <c r="G1377">
        <v>2</v>
      </c>
      <c r="H1377">
        <v>1584.2</v>
      </c>
      <c r="I1377">
        <v>0</v>
      </c>
      <c r="J1377" t="s">
        <v>21</v>
      </c>
      <c r="K1377">
        <v>3168.4</v>
      </c>
    </row>
    <row r="1378" spans="1:11" x14ac:dyDescent="0.25">
      <c r="A1378" t="s">
        <v>2758</v>
      </c>
      <c r="B1378" s="1">
        <v>45515</v>
      </c>
      <c r="C1378" t="s">
        <v>2759</v>
      </c>
      <c r="D1378" t="s">
        <v>24</v>
      </c>
      <c r="E1378" t="s">
        <v>29</v>
      </c>
      <c r="F1378" t="s">
        <v>4760</v>
      </c>
      <c r="G1378">
        <v>4</v>
      </c>
      <c r="H1378">
        <v>825.02</v>
      </c>
      <c r="I1378">
        <v>10</v>
      </c>
      <c r="J1378" t="s">
        <v>39</v>
      </c>
      <c r="K1378">
        <v>2970.07</v>
      </c>
    </row>
    <row r="1379" spans="1:11" x14ac:dyDescent="0.25">
      <c r="A1379" t="s">
        <v>2760</v>
      </c>
      <c r="B1379" s="1">
        <v>45553</v>
      </c>
      <c r="C1379" t="s">
        <v>2761</v>
      </c>
      <c r="D1379" t="s">
        <v>13</v>
      </c>
      <c r="E1379" t="s">
        <v>3988</v>
      </c>
      <c r="F1379" t="s">
        <v>4761</v>
      </c>
      <c r="G1379">
        <v>6</v>
      </c>
      <c r="H1379">
        <v>1051.54</v>
      </c>
      <c r="I1379">
        <v>5</v>
      </c>
      <c r="J1379" t="s">
        <v>17</v>
      </c>
      <c r="K1379">
        <v>5993.78</v>
      </c>
    </row>
    <row r="1380" spans="1:11" x14ac:dyDescent="0.25">
      <c r="A1380" t="s">
        <v>2762</v>
      </c>
      <c r="B1380" s="1">
        <v>45656</v>
      </c>
      <c r="C1380" t="s">
        <v>2763</v>
      </c>
      <c r="D1380" t="s">
        <v>20</v>
      </c>
      <c r="E1380" t="s">
        <v>3988</v>
      </c>
      <c r="F1380" t="s">
        <v>4676</v>
      </c>
      <c r="G1380">
        <v>3</v>
      </c>
      <c r="H1380">
        <v>544.04999999999995</v>
      </c>
      <c r="I1380">
        <v>5</v>
      </c>
      <c r="J1380" t="s">
        <v>39</v>
      </c>
      <c r="K1380">
        <v>1550.54</v>
      </c>
    </row>
    <row r="1381" spans="1:11" x14ac:dyDescent="0.25">
      <c r="A1381" t="s">
        <v>2764</v>
      </c>
      <c r="B1381" s="1">
        <v>45493</v>
      </c>
      <c r="C1381" t="s">
        <v>2765</v>
      </c>
      <c r="D1381" t="s">
        <v>36</v>
      </c>
      <c r="E1381" t="s">
        <v>3988</v>
      </c>
      <c r="F1381" t="s">
        <v>4484</v>
      </c>
      <c r="G1381">
        <v>1</v>
      </c>
      <c r="H1381">
        <v>1975.94</v>
      </c>
      <c r="I1381">
        <v>5</v>
      </c>
      <c r="J1381" t="s">
        <v>14</v>
      </c>
      <c r="K1381">
        <v>1877.14</v>
      </c>
    </row>
    <row r="1382" spans="1:11" x14ac:dyDescent="0.25">
      <c r="A1382" t="s">
        <v>2766</v>
      </c>
      <c r="B1382" s="1">
        <v>45861</v>
      </c>
      <c r="C1382" t="s">
        <v>2767</v>
      </c>
      <c r="D1382" t="s">
        <v>24</v>
      </c>
      <c r="E1382" t="s">
        <v>3272</v>
      </c>
      <c r="F1382" t="s">
        <v>4762</v>
      </c>
      <c r="G1382">
        <v>8</v>
      </c>
      <c r="H1382">
        <v>618.41999999999996</v>
      </c>
      <c r="I1382">
        <v>15</v>
      </c>
      <c r="J1382" t="s">
        <v>17</v>
      </c>
      <c r="K1382">
        <v>4205.26</v>
      </c>
    </row>
    <row r="1383" spans="1:11" x14ac:dyDescent="0.25">
      <c r="A1383" t="s">
        <v>2768</v>
      </c>
      <c r="B1383" s="1">
        <v>45366</v>
      </c>
      <c r="C1383" t="s">
        <v>2769</v>
      </c>
      <c r="D1383" t="s">
        <v>36</v>
      </c>
      <c r="E1383" t="s">
        <v>3988</v>
      </c>
      <c r="F1383" t="s">
        <v>4763</v>
      </c>
      <c r="G1383">
        <v>5</v>
      </c>
      <c r="H1383">
        <v>1552.95</v>
      </c>
      <c r="I1383">
        <v>5</v>
      </c>
      <c r="J1383" t="s">
        <v>39</v>
      </c>
      <c r="K1383">
        <v>7376.51</v>
      </c>
    </row>
    <row r="1384" spans="1:11" x14ac:dyDescent="0.25">
      <c r="A1384" t="s">
        <v>2770</v>
      </c>
      <c r="B1384" s="1">
        <v>45290</v>
      </c>
      <c r="C1384" t="s">
        <v>2771</v>
      </c>
      <c r="D1384" t="s">
        <v>36</v>
      </c>
      <c r="E1384" t="s">
        <v>3988</v>
      </c>
      <c r="F1384" t="s">
        <v>4099</v>
      </c>
      <c r="G1384">
        <v>5</v>
      </c>
      <c r="H1384">
        <v>883.62</v>
      </c>
      <c r="I1384">
        <v>20</v>
      </c>
      <c r="J1384" t="s">
        <v>21</v>
      </c>
      <c r="K1384">
        <v>3534.48</v>
      </c>
    </row>
    <row r="1385" spans="1:11" x14ac:dyDescent="0.25">
      <c r="A1385" t="s">
        <v>2772</v>
      </c>
      <c r="B1385" s="1">
        <v>45604</v>
      </c>
      <c r="C1385" t="s">
        <v>2773</v>
      </c>
      <c r="D1385" t="s">
        <v>13</v>
      </c>
      <c r="E1385" t="s">
        <v>3272</v>
      </c>
      <c r="F1385" t="s">
        <v>4587</v>
      </c>
      <c r="G1385">
        <v>4</v>
      </c>
      <c r="H1385">
        <v>452.12</v>
      </c>
      <c r="I1385">
        <v>0</v>
      </c>
      <c r="J1385" t="s">
        <v>21</v>
      </c>
      <c r="K1385">
        <v>1808.48</v>
      </c>
    </row>
    <row r="1386" spans="1:11" x14ac:dyDescent="0.25">
      <c r="A1386" t="s">
        <v>2774</v>
      </c>
      <c r="B1386" s="1">
        <v>45488</v>
      </c>
      <c r="C1386" t="s">
        <v>2775</v>
      </c>
      <c r="D1386" t="s">
        <v>13</v>
      </c>
      <c r="E1386" t="s">
        <v>3988</v>
      </c>
      <c r="F1386" t="s">
        <v>4054</v>
      </c>
      <c r="G1386">
        <v>6</v>
      </c>
      <c r="H1386">
        <v>1609.45</v>
      </c>
      <c r="I1386">
        <v>15</v>
      </c>
      <c r="J1386" t="s">
        <v>39</v>
      </c>
      <c r="K1386">
        <v>8208.2000000000007</v>
      </c>
    </row>
    <row r="1387" spans="1:11" x14ac:dyDescent="0.25">
      <c r="A1387" t="s">
        <v>2776</v>
      </c>
      <c r="B1387" s="1">
        <v>45643</v>
      </c>
      <c r="C1387" t="s">
        <v>2777</v>
      </c>
      <c r="D1387" t="s">
        <v>13</v>
      </c>
      <c r="E1387" t="s">
        <v>3988</v>
      </c>
      <c r="F1387" t="s">
        <v>4317</v>
      </c>
      <c r="G1387">
        <v>3</v>
      </c>
      <c r="H1387">
        <v>700.53</v>
      </c>
      <c r="I1387">
        <v>5</v>
      </c>
      <c r="J1387" t="s">
        <v>14</v>
      </c>
      <c r="K1387">
        <v>1996.51</v>
      </c>
    </row>
    <row r="1388" spans="1:11" x14ac:dyDescent="0.25">
      <c r="A1388" t="s">
        <v>2778</v>
      </c>
      <c r="B1388" s="1">
        <v>45782</v>
      </c>
      <c r="C1388" t="s">
        <v>2779</v>
      </c>
      <c r="D1388" t="s">
        <v>20</v>
      </c>
      <c r="E1388" t="s">
        <v>3988</v>
      </c>
      <c r="F1388" t="s">
        <v>4744</v>
      </c>
      <c r="G1388">
        <v>9</v>
      </c>
      <c r="H1388">
        <v>1737.13</v>
      </c>
      <c r="I1388">
        <v>0</v>
      </c>
      <c r="J1388" t="s">
        <v>21</v>
      </c>
      <c r="K1388">
        <v>15634.17</v>
      </c>
    </row>
    <row r="1389" spans="1:11" x14ac:dyDescent="0.25">
      <c r="A1389" t="s">
        <v>2780</v>
      </c>
      <c r="B1389" s="1">
        <v>45531</v>
      </c>
      <c r="C1389" t="s">
        <v>2781</v>
      </c>
      <c r="D1389" t="s">
        <v>24</v>
      </c>
      <c r="E1389" t="s">
        <v>3988</v>
      </c>
      <c r="F1389" t="s">
        <v>4764</v>
      </c>
      <c r="G1389">
        <v>5</v>
      </c>
      <c r="H1389">
        <v>1834.75</v>
      </c>
      <c r="I1389">
        <v>10</v>
      </c>
      <c r="J1389" t="s">
        <v>17</v>
      </c>
      <c r="K1389">
        <v>8256.3799999999992</v>
      </c>
    </row>
    <row r="1390" spans="1:11" x14ac:dyDescent="0.25">
      <c r="A1390" t="s">
        <v>2782</v>
      </c>
      <c r="B1390" s="1">
        <v>45220</v>
      </c>
      <c r="C1390" t="s">
        <v>2783</v>
      </c>
      <c r="D1390" t="s">
        <v>24</v>
      </c>
      <c r="E1390" t="s">
        <v>29</v>
      </c>
      <c r="F1390" t="s">
        <v>4737</v>
      </c>
      <c r="G1390">
        <v>3</v>
      </c>
      <c r="H1390">
        <v>1726.66</v>
      </c>
      <c r="I1390">
        <v>5</v>
      </c>
      <c r="J1390" t="s">
        <v>14</v>
      </c>
      <c r="K1390">
        <v>4920.9799999999996</v>
      </c>
    </row>
    <row r="1391" spans="1:11" x14ac:dyDescent="0.25">
      <c r="A1391" t="s">
        <v>2784</v>
      </c>
      <c r="B1391" s="1">
        <v>45515</v>
      </c>
      <c r="C1391" t="s">
        <v>2785</v>
      </c>
      <c r="D1391" t="s">
        <v>36</v>
      </c>
      <c r="E1391" t="s">
        <v>3272</v>
      </c>
      <c r="F1391" t="s">
        <v>4546</v>
      </c>
      <c r="G1391">
        <v>1</v>
      </c>
      <c r="H1391">
        <v>118.27</v>
      </c>
      <c r="I1391">
        <v>0</v>
      </c>
      <c r="J1391" t="s">
        <v>21</v>
      </c>
      <c r="K1391">
        <v>118.27</v>
      </c>
    </row>
    <row r="1392" spans="1:11" x14ac:dyDescent="0.25">
      <c r="A1392" t="s">
        <v>2786</v>
      </c>
      <c r="B1392" s="1">
        <v>45420</v>
      </c>
      <c r="C1392" t="s">
        <v>2787</v>
      </c>
      <c r="D1392" t="s">
        <v>13</v>
      </c>
      <c r="E1392" t="s">
        <v>29</v>
      </c>
      <c r="F1392" t="s">
        <v>4647</v>
      </c>
      <c r="G1392">
        <v>6</v>
      </c>
      <c r="H1392">
        <v>1585.38</v>
      </c>
      <c r="I1392">
        <v>20</v>
      </c>
      <c r="J1392" t="s">
        <v>14</v>
      </c>
      <c r="K1392">
        <v>7609.82</v>
      </c>
    </row>
    <row r="1393" spans="1:11" x14ac:dyDescent="0.25">
      <c r="A1393" t="s">
        <v>2788</v>
      </c>
      <c r="B1393" s="1">
        <v>45467</v>
      </c>
      <c r="C1393" t="s">
        <v>2789</v>
      </c>
      <c r="D1393" t="s">
        <v>20</v>
      </c>
      <c r="E1393" t="s">
        <v>3988</v>
      </c>
      <c r="F1393" t="s">
        <v>4676</v>
      </c>
      <c r="G1393">
        <v>2</v>
      </c>
      <c r="H1393">
        <v>852.11</v>
      </c>
      <c r="I1393">
        <v>10</v>
      </c>
      <c r="J1393" t="s">
        <v>21</v>
      </c>
      <c r="K1393">
        <v>1533.8</v>
      </c>
    </row>
    <row r="1394" spans="1:11" x14ac:dyDescent="0.25">
      <c r="A1394" t="s">
        <v>2790</v>
      </c>
      <c r="B1394" s="1">
        <v>45408</v>
      </c>
      <c r="C1394" t="s">
        <v>2791</v>
      </c>
      <c r="D1394" t="s">
        <v>24</v>
      </c>
      <c r="E1394" t="s">
        <v>3988</v>
      </c>
      <c r="F1394" t="s">
        <v>4732</v>
      </c>
      <c r="G1394">
        <v>3</v>
      </c>
      <c r="H1394">
        <v>1753.76</v>
      </c>
      <c r="I1394">
        <v>20</v>
      </c>
      <c r="J1394" t="s">
        <v>21</v>
      </c>
      <c r="K1394">
        <v>4209.0200000000004</v>
      </c>
    </row>
    <row r="1395" spans="1:11" x14ac:dyDescent="0.25">
      <c r="A1395" t="s">
        <v>2792</v>
      </c>
      <c r="B1395" s="1">
        <v>45399</v>
      </c>
      <c r="C1395" t="s">
        <v>2793</v>
      </c>
      <c r="D1395" t="s">
        <v>20</v>
      </c>
      <c r="E1395" t="s">
        <v>29</v>
      </c>
      <c r="F1395" t="s">
        <v>4581</v>
      </c>
      <c r="G1395">
        <v>1</v>
      </c>
      <c r="H1395">
        <v>1294.01</v>
      </c>
      <c r="I1395">
        <v>0</v>
      </c>
      <c r="J1395" t="s">
        <v>14</v>
      </c>
      <c r="K1395">
        <v>1294.01</v>
      </c>
    </row>
    <row r="1396" spans="1:11" x14ac:dyDescent="0.25">
      <c r="A1396" t="s">
        <v>2794</v>
      </c>
      <c r="B1396" s="1">
        <v>45670</v>
      </c>
      <c r="C1396" t="s">
        <v>2795</v>
      </c>
      <c r="D1396" t="s">
        <v>13</v>
      </c>
      <c r="E1396" t="s">
        <v>3988</v>
      </c>
      <c r="F1396" t="s">
        <v>4054</v>
      </c>
      <c r="G1396">
        <v>9</v>
      </c>
      <c r="H1396">
        <v>1675.6</v>
      </c>
      <c r="I1396">
        <v>20</v>
      </c>
      <c r="J1396" t="s">
        <v>39</v>
      </c>
      <c r="K1396">
        <v>12064.32</v>
      </c>
    </row>
    <row r="1397" spans="1:11" x14ac:dyDescent="0.25">
      <c r="A1397" t="s">
        <v>2796</v>
      </c>
      <c r="B1397" s="1">
        <v>45231</v>
      </c>
      <c r="C1397" t="s">
        <v>2797</v>
      </c>
      <c r="D1397" t="s">
        <v>13</v>
      </c>
      <c r="E1397" t="s">
        <v>3988</v>
      </c>
      <c r="F1397" t="s">
        <v>4765</v>
      </c>
      <c r="G1397">
        <v>8</v>
      </c>
      <c r="H1397">
        <v>1023.89</v>
      </c>
      <c r="I1397">
        <v>0</v>
      </c>
      <c r="J1397" t="s">
        <v>39</v>
      </c>
      <c r="K1397">
        <v>8191.12</v>
      </c>
    </row>
    <row r="1398" spans="1:11" x14ac:dyDescent="0.25">
      <c r="A1398" t="s">
        <v>2798</v>
      </c>
      <c r="B1398" s="1">
        <v>45816</v>
      </c>
      <c r="C1398" t="s">
        <v>2799</v>
      </c>
      <c r="D1398" t="s">
        <v>24</v>
      </c>
      <c r="E1398" t="s">
        <v>3272</v>
      </c>
      <c r="F1398" t="s">
        <v>4225</v>
      </c>
      <c r="G1398">
        <v>2</v>
      </c>
      <c r="H1398">
        <v>1093.3</v>
      </c>
      <c r="I1398">
        <v>0</v>
      </c>
      <c r="J1398" t="s">
        <v>14</v>
      </c>
      <c r="K1398">
        <v>2186.6</v>
      </c>
    </row>
    <row r="1399" spans="1:11" x14ac:dyDescent="0.25">
      <c r="A1399" t="s">
        <v>2800</v>
      </c>
      <c r="B1399" s="1">
        <v>45274</v>
      </c>
      <c r="C1399" t="s">
        <v>2801</v>
      </c>
      <c r="D1399" t="s">
        <v>36</v>
      </c>
      <c r="E1399" t="s">
        <v>3988</v>
      </c>
      <c r="F1399" t="s">
        <v>4264</v>
      </c>
      <c r="G1399">
        <v>8</v>
      </c>
      <c r="H1399">
        <v>331.56</v>
      </c>
      <c r="I1399">
        <v>20</v>
      </c>
      <c r="J1399" t="s">
        <v>21</v>
      </c>
      <c r="K1399">
        <v>2121.98</v>
      </c>
    </row>
    <row r="1400" spans="1:11" x14ac:dyDescent="0.25">
      <c r="A1400" t="s">
        <v>2802</v>
      </c>
      <c r="B1400" s="1">
        <v>45406</v>
      </c>
      <c r="C1400" t="s">
        <v>2803</v>
      </c>
      <c r="D1400" t="s">
        <v>36</v>
      </c>
      <c r="E1400" t="s">
        <v>3272</v>
      </c>
      <c r="F1400" t="s">
        <v>4268</v>
      </c>
      <c r="G1400">
        <v>9</v>
      </c>
      <c r="H1400">
        <v>1578.78</v>
      </c>
      <c r="I1400">
        <v>0</v>
      </c>
      <c r="J1400" t="s">
        <v>21</v>
      </c>
      <c r="K1400">
        <v>14209.02</v>
      </c>
    </row>
    <row r="1401" spans="1:11" x14ac:dyDescent="0.25">
      <c r="A1401" t="s">
        <v>2804</v>
      </c>
      <c r="B1401" s="1">
        <v>45469</v>
      </c>
      <c r="C1401" t="s">
        <v>2805</v>
      </c>
      <c r="D1401" t="s">
        <v>13</v>
      </c>
      <c r="E1401" t="s">
        <v>29</v>
      </c>
      <c r="F1401" t="s">
        <v>4554</v>
      </c>
      <c r="G1401">
        <v>1</v>
      </c>
      <c r="H1401">
        <v>867.81</v>
      </c>
      <c r="I1401">
        <v>5</v>
      </c>
      <c r="J1401" t="s">
        <v>21</v>
      </c>
      <c r="K1401">
        <v>824.42</v>
      </c>
    </row>
    <row r="1402" spans="1:11" x14ac:dyDescent="0.25">
      <c r="A1402" t="s">
        <v>2806</v>
      </c>
      <c r="B1402" s="1">
        <v>45688</v>
      </c>
      <c r="C1402" t="s">
        <v>2807</v>
      </c>
      <c r="D1402" t="s">
        <v>13</v>
      </c>
      <c r="E1402" t="s">
        <v>3272</v>
      </c>
      <c r="F1402" t="s">
        <v>4766</v>
      </c>
      <c r="G1402">
        <v>5</v>
      </c>
      <c r="H1402">
        <v>1025.1600000000001</v>
      </c>
      <c r="I1402">
        <v>0</v>
      </c>
      <c r="J1402" t="s">
        <v>21</v>
      </c>
      <c r="K1402">
        <v>5125.8</v>
      </c>
    </row>
    <row r="1403" spans="1:11" x14ac:dyDescent="0.25">
      <c r="A1403" t="s">
        <v>2808</v>
      </c>
      <c r="B1403" s="1">
        <v>45534</v>
      </c>
      <c r="C1403" t="s">
        <v>2809</v>
      </c>
      <c r="D1403" t="s">
        <v>36</v>
      </c>
      <c r="E1403" t="s">
        <v>29</v>
      </c>
      <c r="F1403" t="s">
        <v>4554</v>
      </c>
      <c r="G1403">
        <v>8</v>
      </c>
      <c r="H1403">
        <v>1580.94</v>
      </c>
      <c r="I1403">
        <v>15</v>
      </c>
      <c r="J1403" t="s">
        <v>21</v>
      </c>
      <c r="K1403">
        <v>10750.39</v>
      </c>
    </row>
    <row r="1404" spans="1:11" x14ac:dyDescent="0.25">
      <c r="A1404" t="s">
        <v>2810</v>
      </c>
      <c r="B1404" s="1">
        <v>45373</v>
      </c>
      <c r="C1404" t="s">
        <v>2811</v>
      </c>
      <c r="D1404" t="s">
        <v>13</v>
      </c>
      <c r="E1404" t="s">
        <v>3988</v>
      </c>
      <c r="F1404" t="s">
        <v>4580</v>
      </c>
      <c r="G1404">
        <v>2</v>
      </c>
      <c r="H1404">
        <v>1217.75</v>
      </c>
      <c r="I1404">
        <v>0</v>
      </c>
      <c r="J1404" t="s">
        <v>39</v>
      </c>
      <c r="K1404">
        <v>2435.5</v>
      </c>
    </row>
    <row r="1405" spans="1:11" x14ac:dyDescent="0.25">
      <c r="A1405" t="s">
        <v>2812</v>
      </c>
      <c r="B1405" s="1">
        <v>45664</v>
      </c>
      <c r="C1405" t="s">
        <v>2813</v>
      </c>
      <c r="D1405" t="s">
        <v>24</v>
      </c>
      <c r="E1405" t="s">
        <v>3988</v>
      </c>
      <c r="F1405" t="s">
        <v>4264</v>
      </c>
      <c r="G1405">
        <v>4</v>
      </c>
      <c r="H1405">
        <v>442.14</v>
      </c>
      <c r="I1405">
        <v>15</v>
      </c>
      <c r="J1405" t="s">
        <v>21</v>
      </c>
      <c r="K1405">
        <v>1503.28</v>
      </c>
    </row>
    <row r="1406" spans="1:11" x14ac:dyDescent="0.25">
      <c r="A1406" t="s">
        <v>2814</v>
      </c>
      <c r="B1406" s="1">
        <v>45461</v>
      </c>
      <c r="C1406" t="s">
        <v>2815</v>
      </c>
      <c r="D1406" t="s">
        <v>24</v>
      </c>
      <c r="E1406" t="s">
        <v>3272</v>
      </c>
      <c r="F1406" t="s">
        <v>4268</v>
      </c>
      <c r="G1406">
        <v>7</v>
      </c>
      <c r="H1406">
        <v>1200.95</v>
      </c>
      <c r="I1406">
        <v>0</v>
      </c>
      <c r="J1406" t="s">
        <v>14</v>
      </c>
      <c r="K1406">
        <v>8406.65</v>
      </c>
    </row>
    <row r="1407" spans="1:11" x14ac:dyDescent="0.25">
      <c r="A1407" t="s">
        <v>2816</v>
      </c>
      <c r="B1407" s="1">
        <v>45781</v>
      </c>
      <c r="C1407" t="s">
        <v>2817</v>
      </c>
      <c r="D1407" t="s">
        <v>20</v>
      </c>
      <c r="E1407" t="s">
        <v>3272</v>
      </c>
      <c r="F1407" t="s">
        <v>4766</v>
      </c>
      <c r="G1407">
        <v>3</v>
      </c>
      <c r="H1407">
        <v>844.88</v>
      </c>
      <c r="I1407">
        <v>0</v>
      </c>
      <c r="J1407" t="s">
        <v>21</v>
      </c>
      <c r="K1407">
        <v>2534.64</v>
      </c>
    </row>
    <row r="1408" spans="1:11" x14ac:dyDescent="0.25">
      <c r="A1408" t="s">
        <v>2818</v>
      </c>
      <c r="B1408" s="1">
        <v>45740</v>
      </c>
      <c r="C1408" t="s">
        <v>2819</v>
      </c>
      <c r="D1408" t="s">
        <v>36</v>
      </c>
      <c r="E1408" t="s">
        <v>3988</v>
      </c>
      <c r="F1408" t="s">
        <v>4054</v>
      </c>
      <c r="G1408">
        <v>5</v>
      </c>
      <c r="H1408">
        <v>965.57</v>
      </c>
      <c r="I1408">
        <v>20</v>
      </c>
      <c r="J1408" t="s">
        <v>21</v>
      </c>
      <c r="K1408">
        <v>3862.28</v>
      </c>
    </row>
    <row r="1409" spans="1:11" x14ac:dyDescent="0.25">
      <c r="A1409" t="s">
        <v>2820</v>
      </c>
      <c r="B1409" s="1">
        <v>45577</v>
      </c>
      <c r="C1409" t="s">
        <v>2821</v>
      </c>
      <c r="D1409" t="s">
        <v>13</v>
      </c>
      <c r="E1409" t="s">
        <v>3988</v>
      </c>
      <c r="F1409" t="s">
        <v>4765</v>
      </c>
      <c r="G1409">
        <v>8</v>
      </c>
      <c r="H1409">
        <v>105.21</v>
      </c>
      <c r="I1409">
        <v>5</v>
      </c>
      <c r="J1409" t="s">
        <v>39</v>
      </c>
      <c r="K1409">
        <v>799.6</v>
      </c>
    </row>
    <row r="1410" spans="1:11" x14ac:dyDescent="0.25">
      <c r="A1410" t="s">
        <v>2822</v>
      </c>
      <c r="B1410" s="1">
        <v>45178</v>
      </c>
      <c r="C1410" t="s">
        <v>2823</v>
      </c>
      <c r="D1410" t="s">
        <v>20</v>
      </c>
      <c r="E1410" t="s">
        <v>3988</v>
      </c>
      <c r="F1410" t="s">
        <v>4580</v>
      </c>
      <c r="G1410">
        <v>3</v>
      </c>
      <c r="H1410">
        <v>459.56</v>
      </c>
      <c r="I1410">
        <v>5</v>
      </c>
      <c r="J1410" t="s">
        <v>17</v>
      </c>
      <c r="K1410">
        <v>1309.75</v>
      </c>
    </row>
    <row r="1411" spans="1:11" x14ac:dyDescent="0.25">
      <c r="A1411" t="s">
        <v>2824</v>
      </c>
      <c r="B1411" s="1">
        <v>45503</v>
      </c>
      <c r="C1411" t="s">
        <v>2825</v>
      </c>
      <c r="D1411" t="s">
        <v>24</v>
      </c>
      <c r="E1411" t="s">
        <v>29</v>
      </c>
      <c r="F1411" t="s">
        <v>4465</v>
      </c>
      <c r="G1411">
        <v>4</v>
      </c>
      <c r="H1411">
        <v>598.02</v>
      </c>
      <c r="I1411">
        <v>10</v>
      </c>
      <c r="J1411" t="s">
        <v>17</v>
      </c>
      <c r="K1411">
        <v>2152.87</v>
      </c>
    </row>
    <row r="1412" spans="1:11" x14ac:dyDescent="0.25">
      <c r="A1412" t="s">
        <v>2826</v>
      </c>
      <c r="B1412" s="1">
        <v>45218</v>
      </c>
      <c r="C1412" t="s">
        <v>2827</v>
      </c>
      <c r="D1412" t="s">
        <v>36</v>
      </c>
      <c r="E1412" t="s">
        <v>29</v>
      </c>
      <c r="F1412" t="s">
        <v>4232</v>
      </c>
      <c r="G1412">
        <v>9</v>
      </c>
      <c r="H1412">
        <v>1440.27</v>
      </c>
      <c r="I1412">
        <v>20</v>
      </c>
      <c r="J1412" t="s">
        <v>21</v>
      </c>
      <c r="K1412">
        <v>10369.94</v>
      </c>
    </row>
    <row r="1413" spans="1:11" x14ac:dyDescent="0.25">
      <c r="A1413" t="s">
        <v>2828</v>
      </c>
      <c r="B1413" s="1">
        <v>45394</v>
      </c>
      <c r="C1413" t="s">
        <v>2829</v>
      </c>
      <c r="D1413" t="s">
        <v>24</v>
      </c>
      <c r="E1413" t="s">
        <v>29</v>
      </c>
      <c r="F1413" t="s">
        <v>4594</v>
      </c>
      <c r="G1413">
        <v>7</v>
      </c>
      <c r="H1413">
        <v>72.41</v>
      </c>
      <c r="I1413">
        <v>20</v>
      </c>
      <c r="J1413" t="s">
        <v>39</v>
      </c>
      <c r="K1413">
        <v>405.5</v>
      </c>
    </row>
    <row r="1414" spans="1:11" x14ac:dyDescent="0.25">
      <c r="A1414" t="s">
        <v>2830</v>
      </c>
      <c r="B1414" s="1">
        <v>45346</v>
      </c>
      <c r="C1414" t="s">
        <v>2831</v>
      </c>
      <c r="D1414" t="s">
        <v>13</v>
      </c>
      <c r="E1414" t="s">
        <v>3988</v>
      </c>
      <c r="F1414" t="s">
        <v>4029</v>
      </c>
      <c r="G1414">
        <v>1</v>
      </c>
      <c r="H1414">
        <v>847.12</v>
      </c>
      <c r="I1414">
        <v>5</v>
      </c>
      <c r="J1414" t="s">
        <v>21</v>
      </c>
      <c r="K1414">
        <v>804.76</v>
      </c>
    </row>
    <row r="1415" spans="1:11" x14ac:dyDescent="0.25">
      <c r="A1415" t="s">
        <v>2832</v>
      </c>
      <c r="B1415" s="1">
        <v>45401</v>
      </c>
      <c r="C1415" t="s">
        <v>2833</v>
      </c>
      <c r="D1415" t="s">
        <v>20</v>
      </c>
      <c r="E1415" t="s">
        <v>29</v>
      </c>
      <c r="F1415" t="s">
        <v>4465</v>
      </c>
      <c r="G1415">
        <v>4</v>
      </c>
      <c r="H1415">
        <v>1851.85</v>
      </c>
      <c r="I1415">
        <v>20</v>
      </c>
      <c r="J1415" t="s">
        <v>17</v>
      </c>
      <c r="K1415">
        <v>5925.92</v>
      </c>
    </row>
    <row r="1416" spans="1:11" x14ac:dyDescent="0.25">
      <c r="A1416" t="s">
        <v>2834</v>
      </c>
      <c r="B1416" s="1">
        <v>45240</v>
      </c>
      <c r="C1416" t="s">
        <v>2835</v>
      </c>
      <c r="D1416" t="s">
        <v>13</v>
      </c>
      <c r="E1416" t="s">
        <v>29</v>
      </c>
      <c r="F1416" t="s">
        <v>4594</v>
      </c>
      <c r="G1416">
        <v>4</v>
      </c>
      <c r="H1416">
        <v>268.17</v>
      </c>
      <c r="I1416">
        <v>5</v>
      </c>
      <c r="J1416" t="s">
        <v>39</v>
      </c>
      <c r="K1416">
        <v>1019.05</v>
      </c>
    </row>
    <row r="1417" spans="1:11" x14ac:dyDescent="0.25">
      <c r="A1417" t="s">
        <v>2836</v>
      </c>
      <c r="B1417" s="1">
        <v>45750</v>
      </c>
      <c r="C1417" t="s">
        <v>2837</v>
      </c>
      <c r="D1417" t="s">
        <v>13</v>
      </c>
      <c r="E1417" t="s">
        <v>3988</v>
      </c>
      <c r="F1417" t="s">
        <v>4663</v>
      </c>
      <c r="G1417">
        <v>9</v>
      </c>
      <c r="H1417">
        <v>1057.03</v>
      </c>
      <c r="I1417">
        <v>20</v>
      </c>
      <c r="J1417" t="s">
        <v>14</v>
      </c>
      <c r="K1417">
        <v>7610.62</v>
      </c>
    </row>
    <row r="1418" spans="1:11" x14ac:dyDescent="0.25">
      <c r="A1418" t="s">
        <v>2838</v>
      </c>
      <c r="B1418" s="1">
        <v>45463</v>
      </c>
      <c r="C1418" t="s">
        <v>2839</v>
      </c>
      <c r="D1418" t="s">
        <v>36</v>
      </c>
      <c r="E1418" t="s">
        <v>3988</v>
      </c>
      <c r="F1418" t="s">
        <v>4555</v>
      </c>
      <c r="G1418">
        <v>6</v>
      </c>
      <c r="H1418">
        <v>1583.72</v>
      </c>
      <c r="I1418">
        <v>0</v>
      </c>
      <c r="J1418" t="s">
        <v>14</v>
      </c>
      <c r="K1418">
        <v>9502.32</v>
      </c>
    </row>
    <row r="1419" spans="1:11" x14ac:dyDescent="0.25">
      <c r="A1419" t="s">
        <v>2840</v>
      </c>
      <c r="B1419" s="1">
        <v>45821</v>
      </c>
      <c r="C1419" t="s">
        <v>2841</v>
      </c>
      <c r="D1419" t="s">
        <v>36</v>
      </c>
      <c r="E1419" t="s">
        <v>3988</v>
      </c>
      <c r="F1419" t="s">
        <v>4767</v>
      </c>
      <c r="G1419">
        <v>9</v>
      </c>
      <c r="H1419">
        <v>1887.94</v>
      </c>
      <c r="I1419">
        <v>5</v>
      </c>
      <c r="J1419" t="s">
        <v>39</v>
      </c>
      <c r="K1419">
        <v>16141.89</v>
      </c>
    </row>
    <row r="1420" spans="1:11" x14ac:dyDescent="0.25">
      <c r="A1420" t="s">
        <v>2842</v>
      </c>
      <c r="B1420" s="1">
        <v>45549</v>
      </c>
      <c r="C1420" t="s">
        <v>2843</v>
      </c>
      <c r="D1420" t="s">
        <v>13</v>
      </c>
      <c r="E1420" t="s">
        <v>3272</v>
      </c>
      <c r="F1420" t="s">
        <v>4206</v>
      </c>
      <c r="G1420">
        <v>6</v>
      </c>
      <c r="H1420">
        <v>1506.21</v>
      </c>
      <c r="I1420">
        <v>5</v>
      </c>
      <c r="J1420" t="s">
        <v>14</v>
      </c>
      <c r="K1420">
        <v>8585.4</v>
      </c>
    </row>
    <row r="1421" spans="1:11" x14ac:dyDescent="0.25">
      <c r="A1421" t="s">
        <v>2844</v>
      </c>
      <c r="B1421" s="1">
        <v>45790</v>
      </c>
      <c r="C1421" t="s">
        <v>2845</v>
      </c>
      <c r="D1421" t="s">
        <v>36</v>
      </c>
      <c r="E1421" t="s">
        <v>3988</v>
      </c>
      <c r="F1421" t="s">
        <v>4117</v>
      </c>
      <c r="G1421">
        <v>6</v>
      </c>
      <c r="H1421">
        <v>1455.1</v>
      </c>
      <c r="I1421">
        <v>15</v>
      </c>
      <c r="J1421" t="s">
        <v>39</v>
      </c>
      <c r="K1421">
        <v>7421.01</v>
      </c>
    </row>
    <row r="1422" spans="1:11" x14ac:dyDescent="0.25">
      <c r="A1422" t="s">
        <v>2846</v>
      </c>
      <c r="B1422" s="1">
        <v>45150</v>
      </c>
      <c r="C1422" t="s">
        <v>2847</v>
      </c>
      <c r="D1422" t="s">
        <v>20</v>
      </c>
      <c r="E1422" t="s">
        <v>3988</v>
      </c>
      <c r="F1422" t="s">
        <v>4768</v>
      </c>
      <c r="G1422">
        <v>5</v>
      </c>
      <c r="H1422">
        <v>1661.65</v>
      </c>
      <c r="I1422">
        <v>20</v>
      </c>
      <c r="J1422" t="s">
        <v>21</v>
      </c>
      <c r="K1422">
        <v>6646.6</v>
      </c>
    </row>
    <row r="1423" spans="1:11" x14ac:dyDescent="0.25">
      <c r="A1423" t="s">
        <v>2848</v>
      </c>
      <c r="B1423" s="1">
        <v>45660</v>
      </c>
      <c r="C1423" t="s">
        <v>2849</v>
      </c>
      <c r="D1423" t="s">
        <v>20</v>
      </c>
      <c r="E1423" t="s">
        <v>3988</v>
      </c>
      <c r="F1423" t="s">
        <v>4769</v>
      </c>
      <c r="G1423">
        <v>5</v>
      </c>
      <c r="H1423">
        <v>920.09</v>
      </c>
      <c r="I1423">
        <v>20</v>
      </c>
      <c r="J1423" t="s">
        <v>21</v>
      </c>
      <c r="K1423">
        <v>3680.36</v>
      </c>
    </row>
    <row r="1424" spans="1:11" x14ac:dyDescent="0.25">
      <c r="A1424" t="s">
        <v>2850</v>
      </c>
      <c r="B1424" s="1">
        <v>45825</v>
      </c>
      <c r="C1424" t="s">
        <v>2851</v>
      </c>
      <c r="D1424" t="s">
        <v>13</v>
      </c>
      <c r="E1424" t="s">
        <v>3988</v>
      </c>
      <c r="F1424" t="s">
        <v>4213</v>
      </c>
      <c r="G1424">
        <v>2</v>
      </c>
      <c r="H1424">
        <v>1621.4</v>
      </c>
      <c r="I1424">
        <v>5</v>
      </c>
      <c r="J1424" t="s">
        <v>17</v>
      </c>
      <c r="K1424">
        <v>3080.66</v>
      </c>
    </row>
    <row r="1425" spans="1:11" x14ac:dyDescent="0.25">
      <c r="A1425" t="s">
        <v>2852</v>
      </c>
      <c r="B1425" s="1">
        <v>45571</v>
      </c>
      <c r="C1425" t="s">
        <v>2853</v>
      </c>
      <c r="D1425" t="s">
        <v>20</v>
      </c>
      <c r="E1425" t="s">
        <v>3988</v>
      </c>
      <c r="F1425" t="s">
        <v>4700</v>
      </c>
      <c r="G1425">
        <v>8</v>
      </c>
      <c r="H1425">
        <v>65.53</v>
      </c>
      <c r="I1425">
        <v>0</v>
      </c>
      <c r="J1425" t="s">
        <v>21</v>
      </c>
      <c r="K1425">
        <v>524.24</v>
      </c>
    </row>
    <row r="1426" spans="1:11" x14ac:dyDescent="0.25">
      <c r="A1426" t="s">
        <v>2854</v>
      </c>
      <c r="B1426" s="1">
        <v>45508</v>
      </c>
      <c r="C1426" t="s">
        <v>2855</v>
      </c>
      <c r="D1426" t="s">
        <v>13</v>
      </c>
      <c r="E1426" t="s">
        <v>3272</v>
      </c>
      <c r="F1426" t="s">
        <v>4045</v>
      </c>
      <c r="G1426">
        <v>8</v>
      </c>
      <c r="H1426">
        <v>1852.89</v>
      </c>
      <c r="I1426">
        <v>0</v>
      </c>
      <c r="J1426" t="s">
        <v>21</v>
      </c>
      <c r="K1426">
        <v>14823.12</v>
      </c>
    </row>
    <row r="1427" spans="1:11" x14ac:dyDescent="0.25">
      <c r="A1427" t="s">
        <v>2856</v>
      </c>
      <c r="B1427" s="1">
        <v>45470</v>
      </c>
      <c r="C1427" t="s">
        <v>2857</v>
      </c>
      <c r="D1427" t="s">
        <v>20</v>
      </c>
      <c r="E1427" t="s">
        <v>3272</v>
      </c>
      <c r="F1427" t="s">
        <v>4210</v>
      </c>
      <c r="G1427">
        <v>1</v>
      </c>
      <c r="H1427">
        <v>914.45</v>
      </c>
      <c r="I1427">
        <v>0</v>
      </c>
      <c r="J1427" t="s">
        <v>17</v>
      </c>
      <c r="K1427">
        <v>914.45</v>
      </c>
    </row>
    <row r="1428" spans="1:11" x14ac:dyDescent="0.25">
      <c r="A1428" t="s">
        <v>2858</v>
      </c>
      <c r="B1428" s="1">
        <v>45192</v>
      </c>
      <c r="C1428" t="s">
        <v>2859</v>
      </c>
      <c r="D1428" t="s">
        <v>24</v>
      </c>
      <c r="E1428" t="s">
        <v>3988</v>
      </c>
      <c r="F1428" t="s">
        <v>4543</v>
      </c>
      <c r="G1428">
        <v>8</v>
      </c>
      <c r="H1428">
        <v>1129.0899999999999</v>
      </c>
      <c r="I1428">
        <v>20</v>
      </c>
      <c r="J1428" t="s">
        <v>39</v>
      </c>
      <c r="K1428">
        <v>7226.18</v>
      </c>
    </row>
    <row r="1429" spans="1:11" x14ac:dyDescent="0.25">
      <c r="A1429" t="s">
        <v>2860</v>
      </c>
      <c r="B1429" s="1">
        <v>45295</v>
      </c>
      <c r="C1429" t="s">
        <v>2861</v>
      </c>
      <c r="D1429" t="s">
        <v>13</v>
      </c>
      <c r="E1429" t="s">
        <v>3988</v>
      </c>
      <c r="F1429" t="s">
        <v>4731</v>
      </c>
      <c r="G1429">
        <v>5</v>
      </c>
      <c r="H1429">
        <v>547.02</v>
      </c>
      <c r="I1429">
        <v>15</v>
      </c>
      <c r="J1429" t="s">
        <v>21</v>
      </c>
      <c r="K1429">
        <v>2324.84</v>
      </c>
    </row>
    <row r="1430" spans="1:11" x14ac:dyDescent="0.25">
      <c r="A1430" t="s">
        <v>2862</v>
      </c>
      <c r="B1430" s="1">
        <v>45552</v>
      </c>
      <c r="C1430" t="s">
        <v>2863</v>
      </c>
      <c r="D1430" t="s">
        <v>20</v>
      </c>
      <c r="E1430" t="s">
        <v>3272</v>
      </c>
      <c r="F1430" t="s">
        <v>4457</v>
      </c>
      <c r="G1430">
        <v>2</v>
      </c>
      <c r="H1430">
        <v>1497.94</v>
      </c>
      <c r="I1430">
        <v>5</v>
      </c>
      <c r="J1430" t="s">
        <v>21</v>
      </c>
      <c r="K1430">
        <v>2846.09</v>
      </c>
    </row>
    <row r="1431" spans="1:11" x14ac:dyDescent="0.25">
      <c r="A1431" t="s">
        <v>2864</v>
      </c>
      <c r="B1431" s="1">
        <v>45431</v>
      </c>
      <c r="C1431" t="s">
        <v>2865</v>
      </c>
      <c r="D1431" t="s">
        <v>24</v>
      </c>
      <c r="E1431" t="s">
        <v>3988</v>
      </c>
      <c r="F1431" t="s">
        <v>4068</v>
      </c>
      <c r="G1431">
        <v>2</v>
      </c>
      <c r="H1431">
        <v>199.44</v>
      </c>
      <c r="I1431">
        <v>10</v>
      </c>
      <c r="J1431" t="s">
        <v>21</v>
      </c>
      <c r="K1431">
        <v>358.99</v>
      </c>
    </row>
    <row r="1432" spans="1:11" x14ac:dyDescent="0.25">
      <c r="A1432" t="s">
        <v>2866</v>
      </c>
      <c r="B1432" s="1">
        <v>45633</v>
      </c>
      <c r="C1432" t="s">
        <v>2867</v>
      </c>
      <c r="D1432" t="s">
        <v>13</v>
      </c>
      <c r="E1432" t="s">
        <v>3272</v>
      </c>
      <c r="F1432" t="s">
        <v>4458</v>
      </c>
      <c r="G1432">
        <v>6</v>
      </c>
      <c r="H1432">
        <v>1751.64</v>
      </c>
      <c r="I1432">
        <v>15</v>
      </c>
      <c r="J1432" t="s">
        <v>17</v>
      </c>
      <c r="K1432">
        <v>8933.36</v>
      </c>
    </row>
    <row r="1433" spans="1:11" x14ac:dyDescent="0.25">
      <c r="A1433" t="s">
        <v>2868</v>
      </c>
      <c r="B1433" s="1">
        <v>45737</v>
      </c>
      <c r="C1433" t="s">
        <v>2869</v>
      </c>
      <c r="D1433" t="s">
        <v>20</v>
      </c>
      <c r="E1433" t="s">
        <v>3988</v>
      </c>
      <c r="F1433" t="s">
        <v>4586</v>
      </c>
      <c r="G1433">
        <v>9</v>
      </c>
      <c r="H1433">
        <v>1664.83</v>
      </c>
      <c r="I1433">
        <v>10</v>
      </c>
      <c r="J1433" t="s">
        <v>39</v>
      </c>
      <c r="K1433">
        <v>13485.12</v>
      </c>
    </row>
    <row r="1434" spans="1:11" x14ac:dyDescent="0.25">
      <c r="A1434" t="s">
        <v>2870</v>
      </c>
      <c r="B1434" s="1">
        <v>45537</v>
      </c>
      <c r="C1434" t="s">
        <v>2871</v>
      </c>
      <c r="D1434" t="s">
        <v>20</v>
      </c>
      <c r="E1434" t="s">
        <v>3988</v>
      </c>
      <c r="F1434" t="s">
        <v>4186</v>
      </c>
      <c r="G1434">
        <v>1</v>
      </c>
      <c r="H1434">
        <v>471.32</v>
      </c>
      <c r="I1434">
        <v>15</v>
      </c>
      <c r="J1434" t="s">
        <v>17</v>
      </c>
      <c r="K1434">
        <v>400.62</v>
      </c>
    </row>
    <row r="1435" spans="1:11" x14ac:dyDescent="0.25">
      <c r="A1435" t="s">
        <v>2872</v>
      </c>
      <c r="B1435" s="1">
        <v>45635</v>
      </c>
      <c r="C1435" t="s">
        <v>2873</v>
      </c>
      <c r="D1435" t="s">
        <v>24</v>
      </c>
      <c r="E1435" t="s">
        <v>29</v>
      </c>
      <c r="F1435" t="s">
        <v>4770</v>
      </c>
      <c r="G1435">
        <v>6</v>
      </c>
      <c r="H1435">
        <v>1628.18</v>
      </c>
      <c r="I1435">
        <v>0</v>
      </c>
      <c r="J1435" t="s">
        <v>14</v>
      </c>
      <c r="K1435">
        <v>9769.08</v>
      </c>
    </row>
    <row r="1436" spans="1:11" x14ac:dyDescent="0.25">
      <c r="A1436" t="s">
        <v>2874</v>
      </c>
      <c r="B1436" s="1">
        <v>45493</v>
      </c>
      <c r="C1436" t="s">
        <v>2875</v>
      </c>
      <c r="D1436" t="s">
        <v>36</v>
      </c>
      <c r="E1436" t="s">
        <v>3272</v>
      </c>
      <c r="F1436" t="s">
        <v>4736</v>
      </c>
      <c r="G1436">
        <v>9</v>
      </c>
      <c r="H1436">
        <v>1583.4</v>
      </c>
      <c r="I1436">
        <v>20</v>
      </c>
      <c r="J1436" t="s">
        <v>21</v>
      </c>
      <c r="K1436">
        <v>11400.48</v>
      </c>
    </row>
    <row r="1437" spans="1:11" x14ac:dyDescent="0.25">
      <c r="A1437" t="s">
        <v>2876</v>
      </c>
      <c r="B1437" s="1">
        <v>45740</v>
      </c>
      <c r="C1437" t="s">
        <v>2877</v>
      </c>
      <c r="D1437" t="s">
        <v>36</v>
      </c>
      <c r="E1437" t="s">
        <v>3272</v>
      </c>
      <c r="F1437" t="s">
        <v>4036</v>
      </c>
      <c r="G1437">
        <v>8</v>
      </c>
      <c r="H1437">
        <v>1282.82</v>
      </c>
      <c r="I1437">
        <v>10</v>
      </c>
      <c r="J1437" t="s">
        <v>14</v>
      </c>
      <c r="K1437">
        <v>9236.2999999999993</v>
      </c>
    </row>
    <row r="1438" spans="1:11" x14ac:dyDescent="0.25">
      <c r="A1438" t="s">
        <v>2878</v>
      </c>
      <c r="B1438" s="1">
        <v>45190</v>
      </c>
      <c r="C1438" t="s">
        <v>2879</v>
      </c>
      <c r="D1438" t="s">
        <v>24</v>
      </c>
      <c r="E1438" t="s">
        <v>3988</v>
      </c>
      <c r="F1438" t="s">
        <v>4769</v>
      </c>
      <c r="G1438">
        <v>6</v>
      </c>
      <c r="H1438">
        <v>778.36</v>
      </c>
      <c r="I1438">
        <v>15</v>
      </c>
      <c r="J1438" t="s">
        <v>39</v>
      </c>
      <c r="K1438">
        <v>3969.64</v>
      </c>
    </row>
    <row r="1439" spans="1:11" x14ac:dyDescent="0.25">
      <c r="A1439" t="s">
        <v>2880</v>
      </c>
      <c r="B1439" s="1">
        <v>45308</v>
      </c>
      <c r="C1439" t="s">
        <v>2881</v>
      </c>
      <c r="D1439" t="s">
        <v>24</v>
      </c>
      <c r="E1439" t="s">
        <v>3272</v>
      </c>
      <c r="F1439" t="s">
        <v>4771</v>
      </c>
      <c r="G1439">
        <v>3</v>
      </c>
      <c r="H1439">
        <v>579.41999999999996</v>
      </c>
      <c r="I1439">
        <v>20</v>
      </c>
      <c r="J1439" t="s">
        <v>21</v>
      </c>
      <c r="K1439">
        <v>1390.61</v>
      </c>
    </row>
    <row r="1440" spans="1:11" x14ac:dyDescent="0.25">
      <c r="A1440" t="s">
        <v>2882</v>
      </c>
      <c r="B1440" s="1">
        <v>45357</v>
      </c>
      <c r="C1440" t="s">
        <v>1892</v>
      </c>
      <c r="D1440" t="s">
        <v>13</v>
      </c>
      <c r="E1440" t="s">
        <v>3988</v>
      </c>
      <c r="F1440" t="s">
        <v>4768</v>
      </c>
      <c r="G1440">
        <v>8</v>
      </c>
      <c r="H1440">
        <v>501.98</v>
      </c>
      <c r="I1440">
        <v>10</v>
      </c>
      <c r="J1440" t="s">
        <v>14</v>
      </c>
      <c r="K1440">
        <v>3614.26</v>
      </c>
    </row>
    <row r="1441" spans="1:11" x14ac:dyDescent="0.25">
      <c r="A1441" t="s">
        <v>2883</v>
      </c>
      <c r="B1441" s="1">
        <v>45576</v>
      </c>
      <c r="C1441" t="s">
        <v>2884</v>
      </c>
      <c r="D1441" t="s">
        <v>36</v>
      </c>
      <c r="E1441" t="s">
        <v>3988</v>
      </c>
      <c r="F1441" t="s">
        <v>4772</v>
      </c>
      <c r="G1441">
        <v>9</v>
      </c>
      <c r="H1441">
        <v>671.29</v>
      </c>
      <c r="I1441">
        <v>5</v>
      </c>
      <c r="J1441" t="s">
        <v>14</v>
      </c>
      <c r="K1441">
        <v>5739.53</v>
      </c>
    </row>
    <row r="1442" spans="1:11" x14ac:dyDescent="0.25">
      <c r="A1442" t="s">
        <v>2885</v>
      </c>
      <c r="B1442" s="1">
        <v>45251</v>
      </c>
      <c r="C1442" t="s">
        <v>2886</v>
      </c>
      <c r="D1442" t="s">
        <v>13</v>
      </c>
      <c r="E1442" t="s">
        <v>29</v>
      </c>
      <c r="F1442" t="s">
        <v>4483</v>
      </c>
      <c r="G1442">
        <v>1</v>
      </c>
      <c r="H1442">
        <v>1811.94</v>
      </c>
      <c r="I1442">
        <v>15</v>
      </c>
      <c r="J1442" t="s">
        <v>14</v>
      </c>
      <c r="K1442">
        <v>1540.15</v>
      </c>
    </row>
    <row r="1443" spans="1:11" x14ac:dyDescent="0.25">
      <c r="A1443" t="s">
        <v>2887</v>
      </c>
      <c r="B1443" s="1">
        <v>45870</v>
      </c>
      <c r="C1443" t="s">
        <v>2888</v>
      </c>
      <c r="D1443" t="s">
        <v>20</v>
      </c>
      <c r="E1443" t="s">
        <v>3988</v>
      </c>
      <c r="F1443" t="s">
        <v>4773</v>
      </c>
      <c r="G1443">
        <v>9</v>
      </c>
      <c r="H1443">
        <v>201.4</v>
      </c>
      <c r="I1443">
        <v>5</v>
      </c>
      <c r="J1443" t="s">
        <v>21</v>
      </c>
      <c r="K1443">
        <v>1721.97</v>
      </c>
    </row>
    <row r="1444" spans="1:11" x14ac:dyDescent="0.25">
      <c r="A1444" t="s">
        <v>2889</v>
      </c>
      <c r="B1444" s="1">
        <v>45373</v>
      </c>
      <c r="C1444" t="s">
        <v>2890</v>
      </c>
      <c r="D1444" t="s">
        <v>24</v>
      </c>
      <c r="E1444" t="s">
        <v>3988</v>
      </c>
      <c r="F1444" t="s">
        <v>4768</v>
      </c>
      <c r="G1444">
        <v>6</v>
      </c>
      <c r="H1444">
        <v>1666.3</v>
      </c>
      <c r="I1444">
        <v>0</v>
      </c>
      <c r="J1444" t="s">
        <v>21</v>
      </c>
      <c r="K1444">
        <v>9997.7999999999993</v>
      </c>
    </row>
    <row r="1445" spans="1:11" x14ac:dyDescent="0.25">
      <c r="A1445" t="s">
        <v>2891</v>
      </c>
      <c r="B1445" s="1">
        <v>45490</v>
      </c>
      <c r="C1445" t="s">
        <v>2892</v>
      </c>
      <c r="D1445" t="s">
        <v>13</v>
      </c>
      <c r="E1445" t="s">
        <v>3988</v>
      </c>
      <c r="F1445" t="s">
        <v>4772</v>
      </c>
      <c r="G1445">
        <v>6</v>
      </c>
      <c r="H1445">
        <v>730.34</v>
      </c>
      <c r="I1445">
        <v>5</v>
      </c>
      <c r="J1445" t="s">
        <v>21</v>
      </c>
      <c r="K1445">
        <v>4162.9399999999996</v>
      </c>
    </row>
    <row r="1446" spans="1:11" x14ac:dyDescent="0.25">
      <c r="A1446" t="s">
        <v>2893</v>
      </c>
      <c r="B1446" s="1">
        <v>45834</v>
      </c>
      <c r="C1446" t="s">
        <v>2894</v>
      </c>
      <c r="D1446" t="s">
        <v>24</v>
      </c>
      <c r="E1446" t="s">
        <v>29</v>
      </c>
      <c r="F1446" t="s">
        <v>4483</v>
      </c>
      <c r="G1446">
        <v>4</v>
      </c>
      <c r="H1446">
        <v>1067.1199999999999</v>
      </c>
      <c r="I1446">
        <v>5</v>
      </c>
      <c r="J1446" t="s">
        <v>21</v>
      </c>
      <c r="K1446">
        <v>4055.06</v>
      </c>
    </row>
    <row r="1447" spans="1:11" x14ac:dyDescent="0.25">
      <c r="A1447" t="s">
        <v>2895</v>
      </c>
      <c r="B1447" s="1">
        <v>45692</v>
      </c>
      <c r="C1447" t="s">
        <v>2896</v>
      </c>
      <c r="D1447" t="s">
        <v>13</v>
      </c>
      <c r="E1447" t="s">
        <v>3988</v>
      </c>
      <c r="F1447" t="s">
        <v>4773</v>
      </c>
      <c r="G1447">
        <v>1</v>
      </c>
      <c r="H1447">
        <v>1599.25</v>
      </c>
      <c r="I1447">
        <v>15</v>
      </c>
      <c r="J1447" t="s">
        <v>17</v>
      </c>
      <c r="K1447">
        <v>1359.36</v>
      </c>
    </row>
    <row r="1448" spans="1:11" x14ac:dyDescent="0.25">
      <c r="A1448" t="s">
        <v>2897</v>
      </c>
      <c r="B1448" s="1">
        <v>45526</v>
      </c>
      <c r="C1448" t="s">
        <v>2898</v>
      </c>
      <c r="D1448" t="s">
        <v>20</v>
      </c>
      <c r="E1448" t="s">
        <v>3272</v>
      </c>
      <c r="F1448" t="s">
        <v>4771</v>
      </c>
      <c r="G1448">
        <v>8</v>
      </c>
      <c r="H1448">
        <v>1774.53</v>
      </c>
      <c r="I1448">
        <v>0</v>
      </c>
      <c r="J1448" t="s">
        <v>14</v>
      </c>
      <c r="K1448">
        <v>14196.24</v>
      </c>
    </row>
    <row r="1449" spans="1:11" x14ac:dyDescent="0.25">
      <c r="A1449" t="s">
        <v>2899</v>
      </c>
      <c r="B1449" s="1">
        <v>45244</v>
      </c>
      <c r="C1449" t="s">
        <v>2900</v>
      </c>
      <c r="D1449" t="s">
        <v>20</v>
      </c>
      <c r="E1449" t="s">
        <v>3988</v>
      </c>
      <c r="F1449" t="s">
        <v>4774</v>
      </c>
      <c r="G1449">
        <v>2</v>
      </c>
      <c r="H1449">
        <v>722.32</v>
      </c>
      <c r="I1449">
        <v>5</v>
      </c>
      <c r="J1449" t="s">
        <v>17</v>
      </c>
      <c r="K1449">
        <v>1372.41</v>
      </c>
    </row>
    <row r="1450" spans="1:11" x14ac:dyDescent="0.25">
      <c r="A1450" t="s">
        <v>2901</v>
      </c>
      <c r="B1450" s="1">
        <v>45172</v>
      </c>
      <c r="C1450" t="s">
        <v>2902</v>
      </c>
      <c r="D1450" t="s">
        <v>36</v>
      </c>
      <c r="E1450" t="s">
        <v>3988</v>
      </c>
      <c r="F1450" t="s">
        <v>4374</v>
      </c>
      <c r="G1450">
        <v>1</v>
      </c>
      <c r="H1450">
        <v>950.59</v>
      </c>
      <c r="I1450">
        <v>20</v>
      </c>
      <c r="J1450" t="s">
        <v>39</v>
      </c>
      <c r="K1450">
        <v>760.47</v>
      </c>
    </row>
    <row r="1451" spans="1:11" x14ac:dyDescent="0.25">
      <c r="A1451" t="s">
        <v>2903</v>
      </c>
      <c r="B1451" s="1">
        <v>45639</v>
      </c>
      <c r="C1451" t="s">
        <v>2904</v>
      </c>
      <c r="D1451" t="s">
        <v>36</v>
      </c>
      <c r="E1451" t="s">
        <v>3988</v>
      </c>
      <c r="F1451" t="s">
        <v>4514</v>
      </c>
      <c r="G1451">
        <v>2</v>
      </c>
      <c r="H1451">
        <v>858.31</v>
      </c>
      <c r="I1451">
        <v>10</v>
      </c>
      <c r="J1451" t="s">
        <v>14</v>
      </c>
      <c r="K1451">
        <v>1544.96</v>
      </c>
    </row>
    <row r="1452" spans="1:11" x14ac:dyDescent="0.25">
      <c r="A1452" t="s">
        <v>2905</v>
      </c>
      <c r="B1452" s="1">
        <v>45622</v>
      </c>
      <c r="C1452" t="s">
        <v>2906</v>
      </c>
      <c r="D1452" t="s">
        <v>20</v>
      </c>
      <c r="E1452" t="s">
        <v>3988</v>
      </c>
      <c r="F1452" t="s">
        <v>4551</v>
      </c>
      <c r="G1452">
        <v>1</v>
      </c>
      <c r="H1452">
        <v>75.84</v>
      </c>
      <c r="I1452">
        <v>5</v>
      </c>
      <c r="J1452" t="s">
        <v>21</v>
      </c>
      <c r="K1452">
        <v>72.05</v>
      </c>
    </row>
    <row r="1453" spans="1:11" x14ac:dyDescent="0.25">
      <c r="A1453" t="s">
        <v>2907</v>
      </c>
      <c r="B1453" s="1">
        <v>45770</v>
      </c>
      <c r="C1453" t="s">
        <v>2908</v>
      </c>
      <c r="D1453" t="s">
        <v>13</v>
      </c>
      <c r="E1453" t="s">
        <v>29</v>
      </c>
      <c r="F1453" t="s">
        <v>4061</v>
      </c>
      <c r="G1453">
        <v>1</v>
      </c>
      <c r="H1453">
        <v>627.09</v>
      </c>
      <c r="I1453">
        <v>0</v>
      </c>
      <c r="J1453" t="s">
        <v>21</v>
      </c>
      <c r="K1453">
        <v>627.09</v>
      </c>
    </row>
    <row r="1454" spans="1:11" x14ac:dyDescent="0.25">
      <c r="A1454" t="s">
        <v>2909</v>
      </c>
      <c r="B1454" s="1">
        <v>45335</v>
      </c>
      <c r="C1454" t="s">
        <v>2910</v>
      </c>
      <c r="D1454" t="s">
        <v>24</v>
      </c>
      <c r="E1454" t="s">
        <v>3988</v>
      </c>
      <c r="F1454" t="s">
        <v>4601</v>
      </c>
      <c r="G1454">
        <v>9</v>
      </c>
      <c r="H1454">
        <v>945.42</v>
      </c>
      <c r="I1454">
        <v>5</v>
      </c>
      <c r="J1454" t="s">
        <v>21</v>
      </c>
      <c r="K1454">
        <v>8083.34</v>
      </c>
    </row>
    <row r="1455" spans="1:11" x14ac:dyDescent="0.25">
      <c r="A1455" t="s">
        <v>2911</v>
      </c>
      <c r="B1455" s="1">
        <v>45701</v>
      </c>
      <c r="C1455" t="s">
        <v>2912</v>
      </c>
      <c r="D1455" t="s">
        <v>20</v>
      </c>
      <c r="E1455" t="s">
        <v>29</v>
      </c>
      <c r="F1455" t="s">
        <v>4775</v>
      </c>
      <c r="G1455">
        <v>1</v>
      </c>
      <c r="H1455">
        <v>851.63</v>
      </c>
      <c r="I1455">
        <v>10</v>
      </c>
      <c r="J1455" t="s">
        <v>17</v>
      </c>
      <c r="K1455">
        <v>766.47</v>
      </c>
    </row>
    <row r="1456" spans="1:11" x14ac:dyDescent="0.25">
      <c r="A1456" t="s">
        <v>2913</v>
      </c>
      <c r="B1456" s="1">
        <v>45273</v>
      </c>
      <c r="C1456" t="s">
        <v>2914</v>
      </c>
      <c r="D1456" t="s">
        <v>20</v>
      </c>
      <c r="E1456" t="s">
        <v>3988</v>
      </c>
      <c r="F1456" t="s">
        <v>4517</v>
      </c>
      <c r="G1456">
        <v>4</v>
      </c>
      <c r="H1456">
        <v>1457.76</v>
      </c>
      <c r="I1456">
        <v>0</v>
      </c>
      <c r="J1456" t="s">
        <v>21</v>
      </c>
      <c r="K1456">
        <v>5831.04</v>
      </c>
    </row>
    <row r="1457" spans="1:11" x14ac:dyDescent="0.25">
      <c r="A1457" t="s">
        <v>2915</v>
      </c>
      <c r="B1457" s="1">
        <v>45391</v>
      </c>
      <c r="C1457" t="s">
        <v>2916</v>
      </c>
      <c r="D1457" t="s">
        <v>13</v>
      </c>
      <c r="E1457" t="s">
        <v>3988</v>
      </c>
      <c r="F1457" t="s">
        <v>4361</v>
      </c>
      <c r="G1457">
        <v>6</v>
      </c>
      <c r="H1457">
        <v>800.37</v>
      </c>
      <c r="I1457">
        <v>15</v>
      </c>
      <c r="J1457" t="s">
        <v>14</v>
      </c>
      <c r="K1457">
        <v>4081.89</v>
      </c>
    </row>
    <row r="1458" spans="1:11" x14ac:dyDescent="0.25">
      <c r="A1458" t="s">
        <v>2917</v>
      </c>
      <c r="B1458" s="1">
        <v>45577</v>
      </c>
      <c r="C1458" t="s">
        <v>2918</v>
      </c>
      <c r="D1458" t="s">
        <v>20</v>
      </c>
      <c r="E1458" t="s">
        <v>29</v>
      </c>
      <c r="F1458" t="s">
        <v>4015</v>
      </c>
      <c r="G1458">
        <v>7</v>
      </c>
      <c r="H1458">
        <v>1004.28</v>
      </c>
      <c r="I1458">
        <v>0</v>
      </c>
      <c r="J1458" t="s">
        <v>14</v>
      </c>
      <c r="K1458">
        <v>7029.96</v>
      </c>
    </row>
    <row r="1459" spans="1:11" x14ac:dyDescent="0.25">
      <c r="A1459" t="s">
        <v>2919</v>
      </c>
      <c r="B1459" s="1">
        <v>45160</v>
      </c>
      <c r="C1459" t="s">
        <v>2920</v>
      </c>
      <c r="D1459" t="s">
        <v>20</v>
      </c>
      <c r="E1459" t="s">
        <v>29</v>
      </c>
      <c r="F1459" t="s">
        <v>4776</v>
      </c>
      <c r="G1459">
        <v>2</v>
      </c>
      <c r="H1459">
        <v>887.74</v>
      </c>
      <c r="I1459">
        <v>15</v>
      </c>
      <c r="J1459" t="s">
        <v>39</v>
      </c>
      <c r="K1459">
        <v>1509.16</v>
      </c>
    </row>
    <row r="1460" spans="1:11" x14ac:dyDescent="0.25">
      <c r="A1460" t="s">
        <v>2921</v>
      </c>
      <c r="B1460" s="1">
        <v>45578</v>
      </c>
      <c r="C1460" t="s">
        <v>2922</v>
      </c>
      <c r="D1460" t="s">
        <v>13</v>
      </c>
      <c r="E1460" t="s">
        <v>29</v>
      </c>
      <c r="F1460" t="s">
        <v>4777</v>
      </c>
      <c r="G1460">
        <v>6</v>
      </c>
      <c r="H1460">
        <v>1494.22</v>
      </c>
      <c r="I1460">
        <v>0</v>
      </c>
      <c r="J1460" t="s">
        <v>14</v>
      </c>
      <c r="K1460">
        <v>8965.32</v>
      </c>
    </row>
    <row r="1461" spans="1:11" x14ac:dyDescent="0.25">
      <c r="A1461" t="s">
        <v>2923</v>
      </c>
      <c r="B1461" s="1">
        <v>45466</v>
      </c>
      <c r="C1461" t="s">
        <v>2924</v>
      </c>
      <c r="D1461" t="s">
        <v>20</v>
      </c>
      <c r="E1461" t="s">
        <v>29</v>
      </c>
      <c r="F1461" t="s">
        <v>4015</v>
      </c>
      <c r="G1461">
        <v>7</v>
      </c>
      <c r="H1461">
        <v>1732.8</v>
      </c>
      <c r="I1461">
        <v>10</v>
      </c>
      <c r="J1461" t="s">
        <v>21</v>
      </c>
      <c r="K1461">
        <v>10916.64</v>
      </c>
    </row>
    <row r="1462" spans="1:11" x14ac:dyDescent="0.25">
      <c r="A1462" t="s">
        <v>2925</v>
      </c>
      <c r="B1462" s="1">
        <v>45222</v>
      </c>
      <c r="C1462" t="s">
        <v>2926</v>
      </c>
      <c r="D1462" t="s">
        <v>36</v>
      </c>
      <c r="E1462" t="s">
        <v>29</v>
      </c>
      <c r="F1462" t="s">
        <v>4777</v>
      </c>
      <c r="G1462">
        <v>2</v>
      </c>
      <c r="H1462">
        <v>1087.18</v>
      </c>
      <c r="I1462">
        <v>10</v>
      </c>
      <c r="J1462" t="s">
        <v>14</v>
      </c>
      <c r="K1462">
        <v>1956.92</v>
      </c>
    </row>
    <row r="1463" spans="1:11" x14ac:dyDescent="0.25">
      <c r="A1463" t="s">
        <v>2927</v>
      </c>
      <c r="B1463" s="1">
        <v>45324</v>
      </c>
      <c r="C1463" t="s">
        <v>2928</v>
      </c>
      <c r="D1463" t="s">
        <v>36</v>
      </c>
      <c r="E1463" t="s">
        <v>3988</v>
      </c>
      <c r="F1463" t="s">
        <v>4334</v>
      </c>
      <c r="G1463">
        <v>2</v>
      </c>
      <c r="H1463">
        <v>1589.39</v>
      </c>
      <c r="I1463">
        <v>0</v>
      </c>
      <c r="J1463" t="s">
        <v>14</v>
      </c>
      <c r="K1463">
        <v>3178.78</v>
      </c>
    </row>
    <row r="1464" spans="1:11" x14ac:dyDescent="0.25">
      <c r="A1464" t="s">
        <v>2929</v>
      </c>
      <c r="B1464" s="1">
        <v>45803</v>
      </c>
      <c r="C1464" t="s">
        <v>2930</v>
      </c>
      <c r="D1464" t="s">
        <v>36</v>
      </c>
      <c r="E1464" t="s">
        <v>3988</v>
      </c>
      <c r="F1464" t="s">
        <v>4020</v>
      </c>
      <c r="G1464">
        <v>7</v>
      </c>
      <c r="H1464">
        <v>628.73</v>
      </c>
      <c r="I1464">
        <v>5</v>
      </c>
      <c r="J1464" t="s">
        <v>17</v>
      </c>
      <c r="K1464">
        <v>4181.05</v>
      </c>
    </row>
    <row r="1465" spans="1:11" x14ac:dyDescent="0.25">
      <c r="A1465" t="s">
        <v>2931</v>
      </c>
      <c r="B1465" s="1">
        <v>45859</v>
      </c>
      <c r="C1465" t="s">
        <v>2932</v>
      </c>
      <c r="D1465" t="s">
        <v>36</v>
      </c>
      <c r="E1465" t="s">
        <v>29</v>
      </c>
      <c r="F1465" t="s">
        <v>4778</v>
      </c>
      <c r="G1465">
        <v>1</v>
      </c>
      <c r="H1465">
        <v>1105.67</v>
      </c>
      <c r="I1465">
        <v>10</v>
      </c>
      <c r="J1465" t="s">
        <v>14</v>
      </c>
      <c r="K1465">
        <v>995.1</v>
      </c>
    </row>
    <row r="1466" spans="1:11" x14ac:dyDescent="0.25">
      <c r="A1466" t="s">
        <v>2933</v>
      </c>
      <c r="B1466" s="1">
        <v>45238</v>
      </c>
      <c r="C1466" t="s">
        <v>2934</v>
      </c>
      <c r="D1466" t="s">
        <v>20</v>
      </c>
      <c r="E1466" t="s">
        <v>29</v>
      </c>
      <c r="F1466" t="s">
        <v>4483</v>
      </c>
      <c r="G1466">
        <v>8</v>
      </c>
      <c r="H1466">
        <v>723.2</v>
      </c>
      <c r="I1466">
        <v>15</v>
      </c>
      <c r="J1466" t="s">
        <v>39</v>
      </c>
      <c r="K1466">
        <v>4917.76</v>
      </c>
    </row>
    <row r="1467" spans="1:11" x14ac:dyDescent="0.25">
      <c r="A1467" t="s">
        <v>2935</v>
      </c>
      <c r="B1467" s="1">
        <v>45508</v>
      </c>
      <c r="C1467" t="s">
        <v>2936</v>
      </c>
      <c r="D1467" t="s">
        <v>24</v>
      </c>
      <c r="E1467" t="s">
        <v>29</v>
      </c>
      <c r="F1467" t="s">
        <v>4621</v>
      </c>
      <c r="G1467">
        <v>3</v>
      </c>
      <c r="H1467">
        <v>857.69</v>
      </c>
      <c r="I1467">
        <v>15</v>
      </c>
      <c r="J1467" t="s">
        <v>14</v>
      </c>
      <c r="K1467">
        <v>2187.11</v>
      </c>
    </row>
    <row r="1468" spans="1:11" x14ac:dyDescent="0.25">
      <c r="A1468" t="s">
        <v>2937</v>
      </c>
      <c r="B1468" s="1">
        <v>45241</v>
      </c>
      <c r="C1468" t="s">
        <v>2938</v>
      </c>
      <c r="D1468" t="s">
        <v>36</v>
      </c>
      <c r="E1468" t="s">
        <v>3272</v>
      </c>
      <c r="F1468" t="s">
        <v>4779</v>
      </c>
      <c r="G1468">
        <v>6</v>
      </c>
      <c r="H1468">
        <v>1478.21</v>
      </c>
      <c r="I1468">
        <v>20</v>
      </c>
      <c r="J1468" t="s">
        <v>17</v>
      </c>
      <c r="K1468">
        <v>7095.41</v>
      </c>
    </row>
    <row r="1469" spans="1:11" x14ac:dyDescent="0.25">
      <c r="A1469" t="s">
        <v>2939</v>
      </c>
      <c r="B1469" s="1">
        <v>45653</v>
      </c>
      <c r="C1469" t="s">
        <v>2940</v>
      </c>
      <c r="D1469" t="s">
        <v>36</v>
      </c>
      <c r="E1469" t="s">
        <v>3988</v>
      </c>
      <c r="F1469" t="s">
        <v>4780</v>
      </c>
      <c r="G1469">
        <v>9</v>
      </c>
      <c r="H1469">
        <v>1769.24</v>
      </c>
      <c r="I1469">
        <v>15</v>
      </c>
      <c r="J1469" t="s">
        <v>17</v>
      </c>
      <c r="K1469">
        <v>13534.69</v>
      </c>
    </row>
    <row r="1470" spans="1:11" x14ac:dyDescent="0.25">
      <c r="A1470" t="s">
        <v>2941</v>
      </c>
      <c r="B1470" s="1">
        <v>45796</v>
      </c>
      <c r="C1470" t="s">
        <v>2942</v>
      </c>
      <c r="D1470" t="s">
        <v>20</v>
      </c>
      <c r="E1470" t="s">
        <v>3988</v>
      </c>
      <c r="F1470" t="s">
        <v>4422</v>
      </c>
      <c r="G1470">
        <v>6</v>
      </c>
      <c r="H1470">
        <v>286.92</v>
      </c>
      <c r="I1470">
        <v>20</v>
      </c>
      <c r="J1470" t="s">
        <v>14</v>
      </c>
      <c r="K1470">
        <v>1377.22</v>
      </c>
    </row>
    <row r="1471" spans="1:11" x14ac:dyDescent="0.25">
      <c r="A1471" t="s">
        <v>2943</v>
      </c>
      <c r="B1471" s="1">
        <v>45269</v>
      </c>
      <c r="C1471" t="s">
        <v>2944</v>
      </c>
      <c r="D1471" t="s">
        <v>20</v>
      </c>
      <c r="E1471" t="s">
        <v>3988</v>
      </c>
      <c r="F1471" t="s">
        <v>4781</v>
      </c>
      <c r="G1471">
        <v>9</v>
      </c>
      <c r="H1471">
        <v>1287.55</v>
      </c>
      <c r="I1471">
        <v>0</v>
      </c>
      <c r="J1471" t="s">
        <v>14</v>
      </c>
      <c r="K1471">
        <v>11587.95</v>
      </c>
    </row>
    <row r="1472" spans="1:11" x14ac:dyDescent="0.25">
      <c r="A1472" t="s">
        <v>2945</v>
      </c>
      <c r="B1472" s="1">
        <v>45537</v>
      </c>
      <c r="C1472" t="s">
        <v>2946</v>
      </c>
      <c r="D1472" t="s">
        <v>13</v>
      </c>
      <c r="E1472" t="s">
        <v>29</v>
      </c>
      <c r="F1472" t="s">
        <v>4278</v>
      </c>
      <c r="G1472">
        <v>7</v>
      </c>
      <c r="H1472">
        <v>1185.18</v>
      </c>
      <c r="I1472">
        <v>0</v>
      </c>
      <c r="J1472" t="s">
        <v>17</v>
      </c>
      <c r="K1472">
        <v>8296.26</v>
      </c>
    </row>
    <row r="1473" spans="1:11" x14ac:dyDescent="0.25">
      <c r="A1473" t="s">
        <v>2947</v>
      </c>
      <c r="B1473" s="1">
        <v>45874</v>
      </c>
      <c r="C1473" t="s">
        <v>2948</v>
      </c>
      <c r="D1473" t="s">
        <v>36</v>
      </c>
      <c r="E1473" t="s">
        <v>3988</v>
      </c>
      <c r="F1473" t="s">
        <v>4264</v>
      </c>
      <c r="G1473">
        <v>9</v>
      </c>
      <c r="H1473">
        <v>280.91000000000003</v>
      </c>
      <c r="I1473">
        <v>0</v>
      </c>
      <c r="J1473" t="s">
        <v>21</v>
      </c>
      <c r="K1473">
        <v>2528.19</v>
      </c>
    </row>
    <row r="1474" spans="1:11" x14ac:dyDescent="0.25">
      <c r="A1474" t="s">
        <v>2949</v>
      </c>
      <c r="B1474" s="1">
        <v>45706</v>
      </c>
      <c r="C1474" t="s">
        <v>2950</v>
      </c>
      <c r="D1474" t="s">
        <v>13</v>
      </c>
      <c r="E1474" t="s">
        <v>3272</v>
      </c>
      <c r="F1474" t="s">
        <v>4171</v>
      </c>
      <c r="G1474">
        <v>2</v>
      </c>
      <c r="H1474">
        <v>463.19</v>
      </c>
      <c r="I1474">
        <v>5</v>
      </c>
      <c r="J1474" t="s">
        <v>14</v>
      </c>
      <c r="K1474">
        <v>880.06</v>
      </c>
    </row>
    <row r="1475" spans="1:11" x14ac:dyDescent="0.25">
      <c r="A1475" t="s">
        <v>2951</v>
      </c>
      <c r="B1475" s="1">
        <v>45376</v>
      </c>
      <c r="C1475" t="s">
        <v>2952</v>
      </c>
      <c r="D1475" t="s">
        <v>36</v>
      </c>
      <c r="E1475" t="s">
        <v>3988</v>
      </c>
      <c r="F1475" t="s">
        <v>4782</v>
      </c>
      <c r="G1475">
        <v>8</v>
      </c>
      <c r="H1475">
        <v>656.45</v>
      </c>
      <c r="I1475">
        <v>5</v>
      </c>
      <c r="J1475" t="s">
        <v>17</v>
      </c>
      <c r="K1475">
        <v>4989.0200000000004</v>
      </c>
    </row>
    <row r="1476" spans="1:11" x14ac:dyDescent="0.25">
      <c r="A1476" t="s">
        <v>2953</v>
      </c>
      <c r="B1476" s="1">
        <v>45545</v>
      </c>
      <c r="C1476" t="s">
        <v>2954</v>
      </c>
      <c r="D1476" t="s">
        <v>24</v>
      </c>
      <c r="E1476" t="s">
        <v>3272</v>
      </c>
      <c r="F1476" t="s">
        <v>4193</v>
      </c>
      <c r="G1476">
        <v>8</v>
      </c>
      <c r="H1476">
        <v>375.52</v>
      </c>
      <c r="I1476">
        <v>20</v>
      </c>
      <c r="J1476" t="s">
        <v>14</v>
      </c>
      <c r="K1476">
        <v>2403.33</v>
      </c>
    </row>
    <row r="1477" spans="1:11" x14ac:dyDescent="0.25">
      <c r="A1477" t="s">
        <v>2955</v>
      </c>
      <c r="B1477" s="1">
        <v>45697</v>
      </c>
      <c r="C1477" t="s">
        <v>2956</v>
      </c>
      <c r="D1477" t="s">
        <v>20</v>
      </c>
      <c r="E1477" t="s">
        <v>3272</v>
      </c>
      <c r="F1477" t="s">
        <v>4199</v>
      </c>
      <c r="G1477">
        <v>2</v>
      </c>
      <c r="H1477">
        <v>525.27</v>
      </c>
      <c r="I1477">
        <v>15</v>
      </c>
      <c r="J1477" t="s">
        <v>17</v>
      </c>
      <c r="K1477">
        <v>892.96</v>
      </c>
    </row>
    <row r="1478" spans="1:11" x14ac:dyDescent="0.25">
      <c r="A1478" t="s">
        <v>2957</v>
      </c>
      <c r="B1478" s="1">
        <v>45362</v>
      </c>
      <c r="C1478" t="s">
        <v>2958</v>
      </c>
      <c r="D1478" t="s">
        <v>20</v>
      </c>
      <c r="E1478" t="s">
        <v>3988</v>
      </c>
      <c r="F1478" t="s">
        <v>4110</v>
      </c>
      <c r="G1478">
        <v>4</v>
      </c>
      <c r="H1478">
        <v>571.82000000000005</v>
      </c>
      <c r="I1478">
        <v>15</v>
      </c>
      <c r="J1478" t="s">
        <v>21</v>
      </c>
      <c r="K1478">
        <v>1944.19</v>
      </c>
    </row>
    <row r="1479" spans="1:11" x14ac:dyDescent="0.25">
      <c r="A1479" t="s">
        <v>2959</v>
      </c>
      <c r="B1479" s="1">
        <v>45472</v>
      </c>
      <c r="C1479" t="s">
        <v>2960</v>
      </c>
      <c r="D1479" t="s">
        <v>13</v>
      </c>
      <c r="E1479" t="s">
        <v>3988</v>
      </c>
      <c r="F1479" t="s">
        <v>4783</v>
      </c>
      <c r="G1479">
        <v>7</v>
      </c>
      <c r="H1479">
        <v>704.56</v>
      </c>
      <c r="I1479">
        <v>0</v>
      </c>
      <c r="J1479" t="s">
        <v>39</v>
      </c>
      <c r="K1479">
        <v>4931.92</v>
      </c>
    </row>
    <row r="1480" spans="1:11" x14ac:dyDescent="0.25">
      <c r="A1480" t="s">
        <v>2961</v>
      </c>
      <c r="B1480" s="1">
        <v>45798</v>
      </c>
      <c r="C1480" t="s">
        <v>2962</v>
      </c>
      <c r="D1480" t="s">
        <v>13</v>
      </c>
      <c r="E1480" t="s">
        <v>3988</v>
      </c>
      <c r="F1480" t="s">
        <v>4374</v>
      </c>
      <c r="G1480">
        <v>4</v>
      </c>
      <c r="H1480">
        <v>1511.31</v>
      </c>
      <c r="I1480">
        <v>10</v>
      </c>
      <c r="J1480" t="s">
        <v>14</v>
      </c>
      <c r="K1480">
        <v>5440.72</v>
      </c>
    </row>
    <row r="1481" spans="1:11" x14ac:dyDescent="0.25">
      <c r="A1481" t="s">
        <v>2963</v>
      </c>
      <c r="B1481" s="1">
        <v>45524</v>
      </c>
      <c r="C1481" t="s">
        <v>2964</v>
      </c>
      <c r="D1481" t="s">
        <v>20</v>
      </c>
      <c r="E1481" t="s">
        <v>3988</v>
      </c>
      <c r="F1481" t="s">
        <v>4649</v>
      </c>
      <c r="G1481">
        <v>4</v>
      </c>
      <c r="H1481">
        <v>1165.23</v>
      </c>
      <c r="I1481">
        <v>5</v>
      </c>
      <c r="J1481" t="s">
        <v>14</v>
      </c>
      <c r="K1481">
        <v>4427.87</v>
      </c>
    </row>
    <row r="1482" spans="1:11" x14ac:dyDescent="0.25">
      <c r="A1482" t="s">
        <v>2965</v>
      </c>
      <c r="B1482" s="1">
        <v>45516</v>
      </c>
      <c r="C1482" t="s">
        <v>2966</v>
      </c>
      <c r="D1482" t="s">
        <v>20</v>
      </c>
      <c r="E1482" t="s">
        <v>3988</v>
      </c>
      <c r="F1482" t="s">
        <v>4784</v>
      </c>
      <c r="G1482">
        <v>6</v>
      </c>
      <c r="H1482">
        <v>1973.18</v>
      </c>
      <c r="I1482">
        <v>5</v>
      </c>
      <c r="J1482" t="s">
        <v>39</v>
      </c>
      <c r="K1482">
        <v>11247.13</v>
      </c>
    </row>
    <row r="1483" spans="1:11" x14ac:dyDescent="0.25">
      <c r="A1483" t="s">
        <v>2967</v>
      </c>
      <c r="B1483" s="1">
        <v>45339</v>
      </c>
      <c r="C1483" t="s">
        <v>2968</v>
      </c>
      <c r="D1483" t="s">
        <v>20</v>
      </c>
      <c r="E1483" t="s">
        <v>3272</v>
      </c>
      <c r="F1483" t="s">
        <v>4785</v>
      </c>
      <c r="G1483">
        <v>6</v>
      </c>
      <c r="H1483">
        <v>858.73</v>
      </c>
      <c r="I1483">
        <v>0</v>
      </c>
      <c r="J1483" t="s">
        <v>39</v>
      </c>
      <c r="K1483">
        <v>5152.38</v>
      </c>
    </row>
    <row r="1484" spans="1:11" x14ac:dyDescent="0.25">
      <c r="A1484" t="s">
        <v>2969</v>
      </c>
      <c r="B1484" s="1">
        <v>45504</v>
      </c>
      <c r="C1484" t="s">
        <v>2970</v>
      </c>
      <c r="D1484" t="s">
        <v>36</v>
      </c>
      <c r="E1484" t="s">
        <v>3988</v>
      </c>
      <c r="F1484" t="s">
        <v>4112</v>
      </c>
      <c r="G1484">
        <v>3</v>
      </c>
      <c r="H1484">
        <v>1520.04</v>
      </c>
      <c r="I1484">
        <v>5</v>
      </c>
      <c r="J1484" t="s">
        <v>14</v>
      </c>
      <c r="K1484">
        <v>4332.1099999999997</v>
      </c>
    </row>
    <row r="1485" spans="1:11" x14ac:dyDescent="0.25">
      <c r="A1485" t="s">
        <v>2971</v>
      </c>
      <c r="B1485" s="1">
        <v>45578</v>
      </c>
      <c r="C1485" t="s">
        <v>2972</v>
      </c>
      <c r="D1485" t="s">
        <v>36</v>
      </c>
      <c r="E1485" t="s">
        <v>3988</v>
      </c>
      <c r="F1485" t="s">
        <v>4526</v>
      </c>
      <c r="G1485">
        <v>9</v>
      </c>
      <c r="H1485">
        <v>1749.36</v>
      </c>
      <c r="I1485">
        <v>0</v>
      </c>
      <c r="J1485" t="s">
        <v>21</v>
      </c>
      <c r="K1485">
        <v>15744.24</v>
      </c>
    </row>
    <row r="1486" spans="1:11" x14ac:dyDescent="0.25">
      <c r="A1486" t="s">
        <v>2973</v>
      </c>
      <c r="B1486" s="1">
        <v>45262</v>
      </c>
      <c r="C1486" t="s">
        <v>2974</v>
      </c>
      <c r="D1486" t="s">
        <v>24</v>
      </c>
      <c r="E1486" t="s">
        <v>3988</v>
      </c>
      <c r="F1486" t="s">
        <v>4608</v>
      </c>
      <c r="G1486">
        <v>2</v>
      </c>
      <c r="H1486">
        <v>1374.01</v>
      </c>
      <c r="I1486">
        <v>20</v>
      </c>
      <c r="J1486" t="s">
        <v>14</v>
      </c>
      <c r="K1486">
        <v>2198.42</v>
      </c>
    </row>
    <row r="1487" spans="1:11" x14ac:dyDescent="0.25">
      <c r="A1487" t="s">
        <v>2975</v>
      </c>
      <c r="B1487" s="1">
        <v>45447</v>
      </c>
      <c r="C1487" t="s">
        <v>2976</v>
      </c>
      <c r="D1487" t="s">
        <v>36</v>
      </c>
      <c r="E1487" t="s">
        <v>3988</v>
      </c>
      <c r="F1487" t="s">
        <v>4536</v>
      </c>
      <c r="G1487">
        <v>6</v>
      </c>
      <c r="H1487">
        <v>853.14</v>
      </c>
      <c r="I1487">
        <v>15</v>
      </c>
      <c r="J1487" t="s">
        <v>39</v>
      </c>
      <c r="K1487">
        <v>4351.01</v>
      </c>
    </row>
    <row r="1488" spans="1:11" x14ac:dyDescent="0.25">
      <c r="A1488" t="s">
        <v>2977</v>
      </c>
      <c r="B1488" s="1">
        <v>45298</v>
      </c>
      <c r="C1488" t="s">
        <v>2978</v>
      </c>
      <c r="D1488" t="s">
        <v>20</v>
      </c>
      <c r="E1488" t="s">
        <v>3988</v>
      </c>
      <c r="F1488" t="s">
        <v>4526</v>
      </c>
      <c r="G1488">
        <v>7</v>
      </c>
      <c r="H1488">
        <v>1519.51</v>
      </c>
      <c r="I1488">
        <v>10</v>
      </c>
      <c r="J1488" t="s">
        <v>17</v>
      </c>
      <c r="K1488">
        <v>9572.91</v>
      </c>
    </row>
    <row r="1489" spans="1:11" x14ac:dyDescent="0.25">
      <c r="A1489" t="s">
        <v>2979</v>
      </c>
      <c r="B1489" s="1">
        <v>45866</v>
      </c>
      <c r="C1489" t="s">
        <v>2980</v>
      </c>
      <c r="D1489" t="s">
        <v>36</v>
      </c>
      <c r="E1489" t="s">
        <v>3988</v>
      </c>
      <c r="F1489" t="s">
        <v>4549</v>
      </c>
      <c r="G1489">
        <v>9</v>
      </c>
      <c r="H1489">
        <v>447.15</v>
      </c>
      <c r="I1489">
        <v>15</v>
      </c>
      <c r="J1489" t="s">
        <v>21</v>
      </c>
      <c r="K1489">
        <v>3420.7</v>
      </c>
    </row>
    <row r="1490" spans="1:11" x14ac:dyDescent="0.25">
      <c r="A1490" t="s">
        <v>2981</v>
      </c>
      <c r="B1490" s="1">
        <v>45615</v>
      </c>
      <c r="C1490" t="s">
        <v>2982</v>
      </c>
      <c r="D1490" t="s">
        <v>13</v>
      </c>
      <c r="E1490" t="s">
        <v>3988</v>
      </c>
      <c r="F1490" t="s">
        <v>4536</v>
      </c>
      <c r="G1490">
        <v>3</v>
      </c>
      <c r="H1490">
        <v>688.73</v>
      </c>
      <c r="I1490">
        <v>15</v>
      </c>
      <c r="J1490" t="s">
        <v>14</v>
      </c>
      <c r="K1490">
        <v>1756.26</v>
      </c>
    </row>
    <row r="1491" spans="1:11" x14ac:dyDescent="0.25">
      <c r="A1491" t="s">
        <v>2983</v>
      </c>
      <c r="B1491" s="1">
        <v>45544</v>
      </c>
      <c r="C1491" t="s">
        <v>2984</v>
      </c>
      <c r="D1491" t="s">
        <v>20</v>
      </c>
      <c r="E1491" t="s">
        <v>3988</v>
      </c>
      <c r="F1491" t="s">
        <v>4786</v>
      </c>
      <c r="G1491">
        <v>3</v>
      </c>
      <c r="H1491">
        <v>1116.04</v>
      </c>
      <c r="I1491">
        <v>20</v>
      </c>
      <c r="J1491" t="s">
        <v>14</v>
      </c>
      <c r="K1491">
        <v>2678.5</v>
      </c>
    </row>
    <row r="1492" spans="1:11" x14ac:dyDescent="0.25">
      <c r="A1492" t="s">
        <v>2985</v>
      </c>
      <c r="B1492" s="1">
        <v>45729</v>
      </c>
      <c r="C1492" t="s">
        <v>2986</v>
      </c>
      <c r="D1492" t="s">
        <v>36</v>
      </c>
      <c r="E1492" t="s">
        <v>3988</v>
      </c>
      <c r="F1492" t="s">
        <v>4787</v>
      </c>
      <c r="G1492">
        <v>7</v>
      </c>
      <c r="H1492">
        <v>1172.05</v>
      </c>
      <c r="I1492">
        <v>5</v>
      </c>
      <c r="J1492" t="s">
        <v>17</v>
      </c>
      <c r="K1492">
        <v>7794.13</v>
      </c>
    </row>
    <row r="1493" spans="1:11" x14ac:dyDescent="0.25">
      <c r="A1493" t="s">
        <v>2987</v>
      </c>
      <c r="B1493" s="1">
        <v>45832</v>
      </c>
      <c r="C1493" t="s">
        <v>2988</v>
      </c>
      <c r="D1493" t="s">
        <v>20</v>
      </c>
      <c r="E1493" t="s">
        <v>3988</v>
      </c>
      <c r="F1493" t="s">
        <v>4248</v>
      </c>
      <c r="G1493">
        <v>4</v>
      </c>
      <c r="H1493">
        <v>93.18</v>
      </c>
      <c r="I1493">
        <v>10</v>
      </c>
      <c r="J1493" t="s">
        <v>17</v>
      </c>
      <c r="K1493">
        <v>335.45</v>
      </c>
    </row>
    <row r="1494" spans="1:11" x14ac:dyDescent="0.25">
      <c r="A1494" t="s">
        <v>2989</v>
      </c>
      <c r="B1494" s="1">
        <v>45256</v>
      </c>
      <c r="C1494" t="s">
        <v>2990</v>
      </c>
      <c r="D1494" t="s">
        <v>13</v>
      </c>
      <c r="E1494" t="s">
        <v>29</v>
      </c>
      <c r="F1494" t="s">
        <v>4424</v>
      </c>
      <c r="G1494">
        <v>8</v>
      </c>
      <c r="H1494">
        <v>1892.97</v>
      </c>
      <c r="I1494">
        <v>5</v>
      </c>
      <c r="J1494" t="s">
        <v>21</v>
      </c>
      <c r="K1494">
        <v>14386.57</v>
      </c>
    </row>
    <row r="1495" spans="1:11" x14ac:dyDescent="0.25">
      <c r="A1495" t="s">
        <v>2991</v>
      </c>
      <c r="B1495" s="1">
        <v>45821</v>
      </c>
      <c r="C1495" t="s">
        <v>2992</v>
      </c>
      <c r="D1495" t="s">
        <v>13</v>
      </c>
      <c r="E1495" t="s">
        <v>29</v>
      </c>
      <c r="F1495" t="s">
        <v>4423</v>
      </c>
      <c r="G1495">
        <v>7</v>
      </c>
      <c r="H1495">
        <v>1408.42</v>
      </c>
      <c r="I1495">
        <v>15</v>
      </c>
      <c r="J1495" t="s">
        <v>21</v>
      </c>
      <c r="K1495">
        <v>8380.1</v>
      </c>
    </row>
    <row r="1496" spans="1:11" x14ac:dyDescent="0.25">
      <c r="A1496" t="s">
        <v>2993</v>
      </c>
      <c r="B1496" s="1">
        <v>45204</v>
      </c>
      <c r="C1496" t="s">
        <v>2994</v>
      </c>
      <c r="D1496" t="s">
        <v>36</v>
      </c>
      <c r="E1496" t="s">
        <v>3272</v>
      </c>
      <c r="F1496" t="s">
        <v>4393</v>
      </c>
      <c r="G1496">
        <v>5</v>
      </c>
      <c r="H1496">
        <v>1016.62</v>
      </c>
      <c r="I1496">
        <v>0</v>
      </c>
      <c r="J1496" t="s">
        <v>14</v>
      </c>
      <c r="K1496">
        <v>5083.1000000000004</v>
      </c>
    </row>
    <row r="1497" spans="1:11" x14ac:dyDescent="0.25">
      <c r="A1497" t="s">
        <v>2995</v>
      </c>
      <c r="B1497" s="1">
        <v>45364</v>
      </c>
      <c r="C1497" t="s">
        <v>2996</v>
      </c>
      <c r="D1497" t="s">
        <v>20</v>
      </c>
      <c r="E1497" t="s">
        <v>3272</v>
      </c>
      <c r="F1497" t="s">
        <v>4788</v>
      </c>
      <c r="G1497">
        <v>7</v>
      </c>
      <c r="H1497">
        <v>1869.6</v>
      </c>
      <c r="I1497">
        <v>15</v>
      </c>
      <c r="J1497" t="s">
        <v>14</v>
      </c>
      <c r="K1497">
        <v>11124.12</v>
      </c>
    </row>
    <row r="1498" spans="1:11" x14ac:dyDescent="0.25">
      <c r="A1498" t="s">
        <v>2997</v>
      </c>
      <c r="B1498" s="1">
        <v>45750</v>
      </c>
      <c r="C1498" t="s">
        <v>2998</v>
      </c>
      <c r="D1498" t="s">
        <v>24</v>
      </c>
      <c r="E1498" t="s">
        <v>3272</v>
      </c>
      <c r="F1498" t="s">
        <v>4708</v>
      </c>
      <c r="G1498">
        <v>3</v>
      </c>
      <c r="H1498">
        <v>906.24</v>
      </c>
      <c r="I1498">
        <v>5</v>
      </c>
      <c r="J1498" t="s">
        <v>39</v>
      </c>
      <c r="K1498">
        <v>2582.7800000000002</v>
      </c>
    </row>
    <row r="1499" spans="1:11" x14ac:dyDescent="0.25">
      <c r="A1499" t="s">
        <v>2999</v>
      </c>
      <c r="B1499" s="1">
        <v>45763</v>
      </c>
      <c r="C1499" t="s">
        <v>3000</v>
      </c>
      <c r="D1499" t="s">
        <v>13</v>
      </c>
      <c r="E1499" t="s">
        <v>3988</v>
      </c>
      <c r="F1499" t="s">
        <v>4510</v>
      </c>
      <c r="G1499">
        <v>2</v>
      </c>
      <c r="H1499">
        <v>1961.85</v>
      </c>
      <c r="I1499">
        <v>15</v>
      </c>
      <c r="J1499" t="s">
        <v>14</v>
      </c>
      <c r="K1499">
        <v>3335.14</v>
      </c>
    </row>
    <row r="1500" spans="1:11" x14ac:dyDescent="0.25">
      <c r="A1500" t="s">
        <v>3001</v>
      </c>
      <c r="B1500" s="1">
        <v>45813</v>
      </c>
      <c r="C1500" t="s">
        <v>3002</v>
      </c>
      <c r="D1500" t="s">
        <v>24</v>
      </c>
      <c r="E1500" t="s">
        <v>3988</v>
      </c>
      <c r="F1500" t="s">
        <v>4556</v>
      </c>
      <c r="G1500">
        <v>6</v>
      </c>
      <c r="H1500">
        <v>1048.96</v>
      </c>
      <c r="I1500">
        <v>0</v>
      </c>
      <c r="J1500" t="s">
        <v>17</v>
      </c>
      <c r="K1500">
        <v>6293.76</v>
      </c>
    </row>
    <row r="1501" spans="1:11" x14ac:dyDescent="0.25">
      <c r="A1501" t="s">
        <v>3003</v>
      </c>
      <c r="B1501" s="1">
        <v>45472</v>
      </c>
      <c r="C1501" t="s">
        <v>3004</v>
      </c>
      <c r="D1501" t="s">
        <v>36</v>
      </c>
      <c r="E1501" t="s">
        <v>29</v>
      </c>
      <c r="F1501" t="s">
        <v>4789</v>
      </c>
      <c r="G1501">
        <v>2</v>
      </c>
      <c r="H1501">
        <v>272.86</v>
      </c>
      <c r="I1501">
        <v>20</v>
      </c>
      <c r="J1501" t="s">
        <v>21</v>
      </c>
      <c r="K1501">
        <v>436.58</v>
      </c>
    </row>
    <row r="1502" spans="1:11" x14ac:dyDescent="0.25">
      <c r="A1502" t="s">
        <v>3005</v>
      </c>
      <c r="B1502" s="1">
        <v>45413</v>
      </c>
      <c r="C1502" t="s">
        <v>3006</v>
      </c>
      <c r="D1502" t="s">
        <v>13</v>
      </c>
      <c r="E1502" t="s">
        <v>3272</v>
      </c>
      <c r="F1502" t="s">
        <v>4087</v>
      </c>
      <c r="G1502">
        <v>3</v>
      </c>
      <c r="H1502">
        <v>1541.36</v>
      </c>
      <c r="I1502">
        <v>5</v>
      </c>
      <c r="J1502" t="s">
        <v>14</v>
      </c>
      <c r="K1502">
        <v>4392.88</v>
      </c>
    </row>
    <row r="1503" spans="1:11" x14ac:dyDescent="0.25">
      <c r="A1503" t="s">
        <v>3007</v>
      </c>
      <c r="B1503" s="1">
        <v>45875</v>
      </c>
      <c r="C1503" t="s">
        <v>3008</v>
      </c>
      <c r="D1503" t="s">
        <v>24</v>
      </c>
      <c r="E1503" t="s">
        <v>3272</v>
      </c>
      <c r="F1503" t="s">
        <v>4354</v>
      </c>
      <c r="G1503">
        <v>6</v>
      </c>
      <c r="H1503">
        <v>1373.85</v>
      </c>
      <c r="I1503">
        <v>15</v>
      </c>
      <c r="J1503" t="s">
        <v>21</v>
      </c>
      <c r="K1503">
        <v>7006.63</v>
      </c>
    </row>
    <row r="1504" spans="1:11" x14ac:dyDescent="0.25">
      <c r="A1504" t="s">
        <v>3009</v>
      </c>
      <c r="B1504" s="1">
        <v>45761</v>
      </c>
      <c r="C1504" t="s">
        <v>3010</v>
      </c>
      <c r="D1504" t="s">
        <v>13</v>
      </c>
      <c r="E1504" t="s">
        <v>3988</v>
      </c>
      <c r="F1504" t="s">
        <v>4662</v>
      </c>
      <c r="G1504">
        <v>5</v>
      </c>
      <c r="H1504">
        <v>1557.32</v>
      </c>
      <c r="I1504">
        <v>5</v>
      </c>
      <c r="J1504" t="s">
        <v>14</v>
      </c>
      <c r="K1504">
        <v>7397.27</v>
      </c>
    </row>
    <row r="1505" spans="1:11" x14ac:dyDescent="0.25">
      <c r="A1505" t="s">
        <v>3011</v>
      </c>
      <c r="B1505" s="1">
        <v>45544</v>
      </c>
      <c r="C1505" t="s">
        <v>3012</v>
      </c>
      <c r="D1505" t="s">
        <v>24</v>
      </c>
      <c r="E1505" t="s">
        <v>3272</v>
      </c>
      <c r="F1505" t="s">
        <v>4150</v>
      </c>
      <c r="G1505">
        <v>8</v>
      </c>
      <c r="H1505">
        <v>1905.31</v>
      </c>
      <c r="I1505">
        <v>20</v>
      </c>
      <c r="J1505" t="s">
        <v>17</v>
      </c>
      <c r="K1505">
        <v>12193.98</v>
      </c>
    </row>
    <row r="1506" spans="1:11" x14ac:dyDescent="0.25">
      <c r="A1506" t="s">
        <v>3013</v>
      </c>
      <c r="B1506" s="1">
        <v>45357</v>
      </c>
      <c r="C1506" t="s">
        <v>3014</v>
      </c>
      <c r="D1506" t="s">
        <v>20</v>
      </c>
      <c r="E1506" t="s">
        <v>29</v>
      </c>
      <c r="F1506" t="s">
        <v>4493</v>
      </c>
      <c r="G1506">
        <v>9</v>
      </c>
      <c r="H1506">
        <v>1564.15</v>
      </c>
      <c r="I1506">
        <v>15</v>
      </c>
      <c r="J1506" t="s">
        <v>39</v>
      </c>
      <c r="K1506">
        <v>11965.75</v>
      </c>
    </row>
    <row r="1507" spans="1:11" x14ac:dyDescent="0.25">
      <c r="A1507" t="s">
        <v>3015</v>
      </c>
      <c r="B1507" s="1">
        <v>45787</v>
      </c>
      <c r="C1507" t="s">
        <v>3016</v>
      </c>
      <c r="D1507" t="s">
        <v>20</v>
      </c>
      <c r="E1507" t="s">
        <v>29</v>
      </c>
      <c r="F1507" t="s">
        <v>4790</v>
      </c>
      <c r="G1507">
        <v>3</v>
      </c>
      <c r="H1507">
        <v>1242.1099999999999</v>
      </c>
      <c r="I1507">
        <v>15</v>
      </c>
      <c r="J1507" t="s">
        <v>39</v>
      </c>
      <c r="K1507">
        <v>3167.38</v>
      </c>
    </row>
    <row r="1508" spans="1:11" x14ac:dyDescent="0.25">
      <c r="A1508" t="s">
        <v>3017</v>
      </c>
      <c r="B1508" s="1">
        <v>45151</v>
      </c>
      <c r="C1508" t="s">
        <v>3018</v>
      </c>
      <c r="D1508" t="s">
        <v>36</v>
      </c>
      <c r="E1508" t="s">
        <v>3988</v>
      </c>
      <c r="F1508" t="s">
        <v>4791</v>
      </c>
      <c r="G1508">
        <v>3</v>
      </c>
      <c r="H1508">
        <v>1721.75</v>
      </c>
      <c r="I1508">
        <v>5</v>
      </c>
      <c r="J1508" t="s">
        <v>21</v>
      </c>
      <c r="K1508">
        <v>4906.99</v>
      </c>
    </row>
    <row r="1509" spans="1:11" x14ac:dyDescent="0.25">
      <c r="A1509" t="s">
        <v>3019</v>
      </c>
      <c r="B1509" s="1">
        <v>45369</v>
      </c>
      <c r="C1509" t="s">
        <v>3020</v>
      </c>
      <c r="D1509" t="s">
        <v>13</v>
      </c>
      <c r="E1509" t="s">
        <v>3988</v>
      </c>
      <c r="F1509" t="s">
        <v>4792</v>
      </c>
      <c r="G1509">
        <v>3</v>
      </c>
      <c r="H1509">
        <v>1362.83</v>
      </c>
      <c r="I1509">
        <v>5</v>
      </c>
      <c r="J1509" t="s">
        <v>17</v>
      </c>
      <c r="K1509">
        <v>3884.07</v>
      </c>
    </row>
    <row r="1510" spans="1:11" x14ac:dyDescent="0.25">
      <c r="A1510" t="s">
        <v>3021</v>
      </c>
      <c r="B1510" s="1">
        <v>45713</v>
      </c>
      <c r="C1510" t="s">
        <v>3022</v>
      </c>
      <c r="D1510" t="s">
        <v>24</v>
      </c>
      <c r="E1510" t="s">
        <v>3988</v>
      </c>
      <c r="F1510" t="s">
        <v>4793</v>
      </c>
      <c r="G1510">
        <v>6</v>
      </c>
      <c r="H1510">
        <v>845.83</v>
      </c>
      <c r="I1510">
        <v>0</v>
      </c>
      <c r="J1510" t="s">
        <v>17</v>
      </c>
      <c r="K1510">
        <v>5074.9799999999996</v>
      </c>
    </row>
    <row r="1511" spans="1:11" x14ac:dyDescent="0.25">
      <c r="A1511" t="s">
        <v>3023</v>
      </c>
      <c r="B1511" s="1">
        <v>45381</v>
      </c>
      <c r="C1511" t="s">
        <v>3024</v>
      </c>
      <c r="D1511" t="s">
        <v>36</v>
      </c>
      <c r="E1511" t="s">
        <v>3988</v>
      </c>
      <c r="F1511" t="s">
        <v>4662</v>
      </c>
      <c r="G1511">
        <v>1</v>
      </c>
      <c r="H1511">
        <v>1776.96</v>
      </c>
      <c r="I1511">
        <v>20</v>
      </c>
      <c r="J1511" t="s">
        <v>17</v>
      </c>
      <c r="K1511">
        <v>1421.57</v>
      </c>
    </row>
    <row r="1512" spans="1:11" x14ac:dyDescent="0.25">
      <c r="A1512" t="s">
        <v>3025</v>
      </c>
      <c r="B1512" s="1">
        <v>45800</v>
      </c>
      <c r="C1512" t="s">
        <v>3026</v>
      </c>
      <c r="D1512" t="s">
        <v>20</v>
      </c>
      <c r="E1512" t="s">
        <v>29</v>
      </c>
      <c r="F1512" t="s">
        <v>4794</v>
      </c>
      <c r="G1512">
        <v>7</v>
      </c>
      <c r="H1512">
        <v>482.71</v>
      </c>
      <c r="I1512">
        <v>0</v>
      </c>
      <c r="J1512" t="s">
        <v>14</v>
      </c>
      <c r="K1512">
        <v>3378.97</v>
      </c>
    </row>
    <row r="1513" spans="1:11" x14ac:dyDescent="0.25">
      <c r="A1513" t="s">
        <v>3027</v>
      </c>
      <c r="B1513" s="1">
        <v>45605</v>
      </c>
      <c r="C1513" t="s">
        <v>3028</v>
      </c>
      <c r="D1513" t="s">
        <v>20</v>
      </c>
      <c r="E1513" t="s">
        <v>3988</v>
      </c>
      <c r="F1513" t="s">
        <v>4795</v>
      </c>
      <c r="G1513">
        <v>1</v>
      </c>
      <c r="H1513">
        <v>1443.55</v>
      </c>
      <c r="I1513">
        <v>15</v>
      </c>
      <c r="J1513" t="s">
        <v>39</v>
      </c>
      <c r="K1513">
        <v>1227.02</v>
      </c>
    </row>
    <row r="1514" spans="1:11" x14ac:dyDescent="0.25">
      <c r="A1514" t="s">
        <v>3029</v>
      </c>
      <c r="B1514" s="1">
        <v>45600</v>
      </c>
      <c r="C1514" t="s">
        <v>3030</v>
      </c>
      <c r="D1514" t="s">
        <v>36</v>
      </c>
      <c r="E1514" t="s">
        <v>3988</v>
      </c>
      <c r="F1514" t="s">
        <v>4796</v>
      </c>
      <c r="G1514">
        <v>5</v>
      </c>
      <c r="H1514">
        <v>1769.05</v>
      </c>
      <c r="I1514">
        <v>5</v>
      </c>
      <c r="J1514" t="s">
        <v>17</v>
      </c>
      <c r="K1514">
        <v>8402.99</v>
      </c>
    </row>
    <row r="1515" spans="1:11" x14ac:dyDescent="0.25">
      <c r="A1515" t="s">
        <v>3031</v>
      </c>
      <c r="B1515" s="1">
        <v>45662</v>
      </c>
      <c r="C1515" t="s">
        <v>1576</v>
      </c>
      <c r="D1515" t="s">
        <v>13</v>
      </c>
      <c r="E1515" t="s">
        <v>3988</v>
      </c>
      <c r="F1515" t="s">
        <v>4198</v>
      </c>
      <c r="G1515">
        <v>8</v>
      </c>
      <c r="H1515">
        <v>1476.07</v>
      </c>
      <c r="I1515">
        <v>15</v>
      </c>
      <c r="J1515" t="s">
        <v>14</v>
      </c>
      <c r="K1515">
        <v>10037.280000000001</v>
      </c>
    </row>
    <row r="1516" spans="1:11" x14ac:dyDescent="0.25">
      <c r="A1516" t="s">
        <v>3032</v>
      </c>
      <c r="B1516" s="1">
        <v>45530</v>
      </c>
      <c r="C1516" t="s">
        <v>3033</v>
      </c>
      <c r="D1516" t="s">
        <v>24</v>
      </c>
      <c r="E1516" t="s">
        <v>3988</v>
      </c>
      <c r="F1516" t="s">
        <v>4797</v>
      </c>
      <c r="G1516">
        <v>4</v>
      </c>
      <c r="H1516">
        <v>1409.69</v>
      </c>
      <c r="I1516">
        <v>15</v>
      </c>
      <c r="J1516" t="s">
        <v>21</v>
      </c>
      <c r="K1516">
        <v>4792.95</v>
      </c>
    </row>
    <row r="1517" spans="1:11" x14ac:dyDescent="0.25">
      <c r="A1517" t="s">
        <v>3034</v>
      </c>
      <c r="B1517" s="1">
        <v>45822</v>
      </c>
      <c r="C1517" t="s">
        <v>3035</v>
      </c>
      <c r="D1517" t="s">
        <v>20</v>
      </c>
      <c r="E1517" t="s">
        <v>3988</v>
      </c>
      <c r="F1517" t="s">
        <v>4198</v>
      </c>
      <c r="G1517">
        <v>5</v>
      </c>
      <c r="H1517">
        <v>1517.64</v>
      </c>
      <c r="I1517">
        <v>10</v>
      </c>
      <c r="J1517" t="s">
        <v>14</v>
      </c>
      <c r="K1517">
        <v>6829.38</v>
      </c>
    </row>
    <row r="1518" spans="1:11" x14ac:dyDescent="0.25">
      <c r="A1518" t="s">
        <v>3036</v>
      </c>
      <c r="B1518" s="1">
        <v>45265</v>
      </c>
      <c r="C1518" t="s">
        <v>3037</v>
      </c>
      <c r="D1518" t="s">
        <v>36</v>
      </c>
      <c r="E1518" t="s">
        <v>29</v>
      </c>
      <c r="F1518" t="s">
        <v>4798</v>
      </c>
      <c r="G1518">
        <v>4</v>
      </c>
      <c r="H1518">
        <v>956.86</v>
      </c>
      <c r="I1518">
        <v>10</v>
      </c>
      <c r="J1518" t="s">
        <v>14</v>
      </c>
      <c r="K1518">
        <v>3444.7</v>
      </c>
    </row>
    <row r="1519" spans="1:11" x14ac:dyDescent="0.25">
      <c r="A1519" t="s">
        <v>3038</v>
      </c>
      <c r="B1519" s="1">
        <v>45496</v>
      </c>
      <c r="C1519" t="s">
        <v>3039</v>
      </c>
      <c r="D1519" t="s">
        <v>20</v>
      </c>
      <c r="E1519" t="s">
        <v>3988</v>
      </c>
      <c r="F1519" t="s">
        <v>4236</v>
      </c>
      <c r="G1519">
        <v>4</v>
      </c>
      <c r="H1519">
        <v>1754.63</v>
      </c>
      <c r="I1519">
        <v>15</v>
      </c>
      <c r="J1519" t="s">
        <v>17</v>
      </c>
      <c r="K1519">
        <v>5965.74</v>
      </c>
    </row>
    <row r="1520" spans="1:11" x14ac:dyDescent="0.25">
      <c r="A1520" t="s">
        <v>3040</v>
      </c>
      <c r="B1520" s="1">
        <v>45568</v>
      </c>
      <c r="C1520" t="s">
        <v>3041</v>
      </c>
      <c r="D1520" t="s">
        <v>20</v>
      </c>
      <c r="E1520" t="s">
        <v>3988</v>
      </c>
      <c r="F1520" t="s">
        <v>4527</v>
      </c>
      <c r="G1520">
        <v>8</v>
      </c>
      <c r="H1520">
        <v>446.7</v>
      </c>
      <c r="I1520">
        <v>5</v>
      </c>
      <c r="J1520" t="s">
        <v>21</v>
      </c>
      <c r="K1520">
        <v>3394.92</v>
      </c>
    </row>
    <row r="1521" spans="1:11" x14ac:dyDescent="0.25">
      <c r="A1521" t="s">
        <v>3042</v>
      </c>
      <c r="B1521" s="1">
        <v>45526</v>
      </c>
      <c r="C1521" t="s">
        <v>3043</v>
      </c>
      <c r="D1521" t="s">
        <v>24</v>
      </c>
      <c r="E1521" t="s">
        <v>3988</v>
      </c>
      <c r="F1521" t="s">
        <v>4276</v>
      </c>
      <c r="G1521">
        <v>2</v>
      </c>
      <c r="H1521">
        <v>298.39999999999998</v>
      </c>
      <c r="I1521">
        <v>15</v>
      </c>
      <c r="J1521" t="s">
        <v>39</v>
      </c>
      <c r="K1521">
        <v>507.28</v>
      </c>
    </row>
    <row r="1522" spans="1:11" x14ac:dyDescent="0.25">
      <c r="A1522" t="s">
        <v>3044</v>
      </c>
      <c r="B1522" s="1">
        <v>45418</v>
      </c>
      <c r="C1522" t="s">
        <v>3045</v>
      </c>
      <c r="D1522" t="s">
        <v>13</v>
      </c>
      <c r="E1522" t="s">
        <v>29</v>
      </c>
      <c r="F1522" t="s">
        <v>4799</v>
      </c>
      <c r="G1522">
        <v>1</v>
      </c>
      <c r="H1522">
        <v>606.74</v>
      </c>
      <c r="I1522">
        <v>10</v>
      </c>
      <c r="J1522" t="s">
        <v>21</v>
      </c>
      <c r="K1522">
        <v>546.07000000000005</v>
      </c>
    </row>
    <row r="1523" spans="1:11" x14ac:dyDescent="0.25">
      <c r="A1523" t="s">
        <v>3046</v>
      </c>
      <c r="B1523" s="1">
        <v>45408</v>
      </c>
      <c r="C1523" t="s">
        <v>3047</v>
      </c>
      <c r="D1523" t="s">
        <v>13</v>
      </c>
      <c r="E1523" t="s">
        <v>3988</v>
      </c>
      <c r="F1523" t="s">
        <v>4506</v>
      </c>
      <c r="G1523">
        <v>3</v>
      </c>
      <c r="H1523">
        <v>1086.58</v>
      </c>
      <c r="I1523">
        <v>5</v>
      </c>
      <c r="J1523" t="s">
        <v>21</v>
      </c>
      <c r="K1523">
        <v>3096.75</v>
      </c>
    </row>
    <row r="1524" spans="1:11" x14ac:dyDescent="0.25">
      <c r="A1524" t="s">
        <v>3048</v>
      </c>
      <c r="B1524" s="1">
        <v>45578</v>
      </c>
      <c r="C1524" t="s">
        <v>3049</v>
      </c>
      <c r="D1524" t="s">
        <v>24</v>
      </c>
      <c r="E1524" t="s">
        <v>3272</v>
      </c>
      <c r="F1524" t="s">
        <v>4268</v>
      </c>
      <c r="G1524">
        <v>9</v>
      </c>
      <c r="H1524">
        <v>1045.5999999999999</v>
      </c>
      <c r="I1524">
        <v>15</v>
      </c>
      <c r="J1524" t="s">
        <v>21</v>
      </c>
      <c r="K1524">
        <v>7998.84</v>
      </c>
    </row>
    <row r="1525" spans="1:11" x14ac:dyDescent="0.25">
      <c r="A1525" t="s">
        <v>3050</v>
      </c>
      <c r="B1525" s="1">
        <v>45742</v>
      </c>
      <c r="C1525" t="s">
        <v>3051</v>
      </c>
      <c r="D1525" t="s">
        <v>36</v>
      </c>
      <c r="E1525" t="s">
        <v>3988</v>
      </c>
      <c r="F1525" t="s">
        <v>4800</v>
      </c>
      <c r="G1525">
        <v>4</v>
      </c>
      <c r="H1525">
        <v>1650.17</v>
      </c>
      <c r="I1525">
        <v>20</v>
      </c>
      <c r="J1525" t="s">
        <v>21</v>
      </c>
      <c r="K1525">
        <v>5280.54</v>
      </c>
    </row>
    <row r="1526" spans="1:11" x14ac:dyDescent="0.25">
      <c r="A1526" t="s">
        <v>3052</v>
      </c>
      <c r="B1526" s="1">
        <v>45572</v>
      </c>
      <c r="C1526" t="s">
        <v>3053</v>
      </c>
      <c r="D1526" t="s">
        <v>36</v>
      </c>
      <c r="E1526" t="s">
        <v>3988</v>
      </c>
      <c r="F1526" t="s">
        <v>4801</v>
      </c>
      <c r="G1526">
        <v>5</v>
      </c>
      <c r="H1526">
        <v>838.91</v>
      </c>
      <c r="I1526">
        <v>20</v>
      </c>
      <c r="J1526" t="s">
        <v>17</v>
      </c>
      <c r="K1526">
        <v>3355.64</v>
      </c>
    </row>
    <row r="1527" spans="1:11" x14ac:dyDescent="0.25">
      <c r="A1527" t="s">
        <v>3054</v>
      </c>
      <c r="B1527" s="1">
        <v>45442</v>
      </c>
      <c r="C1527" t="s">
        <v>3055</v>
      </c>
      <c r="D1527" t="s">
        <v>13</v>
      </c>
      <c r="E1527" t="s">
        <v>3988</v>
      </c>
      <c r="F1527" t="s">
        <v>4768</v>
      </c>
      <c r="G1527">
        <v>2</v>
      </c>
      <c r="H1527">
        <v>994.47</v>
      </c>
      <c r="I1527">
        <v>15</v>
      </c>
      <c r="J1527" t="s">
        <v>14</v>
      </c>
      <c r="K1527">
        <v>1690.6</v>
      </c>
    </row>
    <row r="1528" spans="1:11" x14ac:dyDescent="0.25">
      <c r="A1528" t="s">
        <v>3056</v>
      </c>
      <c r="B1528" s="1">
        <v>45503</v>
      </c>
      <c r="C1528" t="s">
        <v>3057</v>
      </c>
      <c r="D1528" t="s">
        <v>20</v>
      </c>
      <c r="E1528" t="s">
        <v>29</v>
      </c>
      <c r="F1528" t="s">
        <v>4583</v>
      </c>
      <c r="G1528">
        <v>4</v>
      </c>
      <c r="H1528">
        <v>76.069999999999993</v>
      </c>
      <c r="I1528">
        <v>5</v>
      </c>
      <c r="J1528" t="s">
        <v>39</v>
      </c>
      <c r="K1528">
        <v>289.07</v>
      </c>
    </row>
    <row r="1529" spans="1:11" x14ac:dyDescent="0.25">
      <c r="A1529" t="s">
        <v>3058</v>
      </c>
      <c r="B1529" s="1">
        <v>45874</v>
      </c>
      <c r="C1529" t="s">
        <v>3059</v>
      </c>
      <c r="D1529" t="s">
        <v>20</v>
      </c>
      <c r="E1529" t="s">
        <v>29</v>
      </c>
      <c r="F1529" t="s">
        <v>4073</v>
      </c>
      <c r="G1529">
        <v>2</v>
      </c>
      <c r="H1529">
        <v>848.99</v>
      </c>
      <c r="I1529">
        <v>15</v>
      </c>
      <c r="J1529" t="s">
        <v>39</v>
      </c>
      <c r="K1529">
        <v>1443.28</v>
      </c>
    </row>
    <row r="1530" spans="1:11" x14ac:dyDescent="0.25">
      <c r="A1530" t="s">
        <v>3060</v>
      </c>
      <c r="B1530" s="1">
        <v>45399</v>
      </c>
      <c r="C1530" t="s">
        <v>3061</v>
      </c>
      <c r="D1530" t="s">
        <v>36</v>
      </c>
      <c r="E1530" t="s">
        <v>3272</v>
      </c>
      <c r="F1530" t="s">
        <v>4115</v>
      </c>
      <c r="G1530">
        <v>2</v>
      </c>
      <c r="H1530">
        <v>1313.16</v>
      </c>
      <c r="I1530">
        <v>15</v>
      </c>
      <c r="J1530" t="s">
        <v>14</v>
      </c>
      <c r="K1530">
        <v>2232.37</v>
      </c>
    </row>
    <row r="1531" spans="1:11" x14ac:dyDescent="0.25">
      <c r="A1531" t="s">
        <v>3062</v>
      </c>
      <c r="B1531" s="1">
        <v>45825</v>
      </c>
      <c r="C1531" t="s">
        <v>3063</v>
      </c>
      <c r="D1531" t="s">
        <v>24</v>
      </c>
      <c r="E1531" t="s">
        <v>3988</v>
      </c>
      <c r="F1531" t="s">
        <v>4802</v>
      </c>
      <c r="G1531">
        <v>4</v>
      </c>
      <c r="H1531">
        <v>80.239999999999995</v>
      </c>
      <c r="I1531">
        <v>10</v>
      </c>
      <c r="J1531" t="s">
        <v>39</v>
      </c>
      <c r="K1531">
        <v>288.86</v>
      </c>
    </row>
    <row r="1532" spans="1:11" x14ac:dyDescent="0.25">
      <c r="A1532" t="s">
        <v>3064</v>
      </c>
      <c r="B1532" s="1">
        <v>45296</v>
      </c>
      <c r="C1532" t="s">
        <v>3065</v>
      </c>
      <c r="D1532" t="s">
        <v>20</v>
      </c>
      <c r="E1532" t="s">
        <v>29</v>
      </c>
      <c r="F1532" t="s">
        <v>4803</v>
      </c>
      <c r="G1532">
        <v>6</v>
      </c>
      <c r="H1532">
        <v>597.72</v>
      </c>
      <c r="I1532">
        <v>20</v>
      </c>
      <c r="J1532" t="s">
        <v>21</v>
      </c>
      <c r="K1532">
        <v>2869.06</v>
      </c>
    </row>
    <row r="1533" spans="1:11" x14ac:dyDescent="0.25">
      <c r="A1533" t="s">
        <v>3066</v>
      </c>
      <c r="B1533" s="1">
        <v>45691</v>
      </c>
      <c r="C1533" t="s">
        <v>3067</v>
      </c>
      <c r="D1533" t="s">
        <v>36</v>
      </c>
      <c r="E1533" t="s">
        <v>3988</v>
      </c>
      <c r="F1533" t="s">
        <v>4588</v>
      </c>
      <c r="G1533">
        <v>7</v>
      </c>
      <c r="H1533">
        <v>455.51</v>
      </c>
      <c r="I1533">
        <v>10</v>
      </c>
      <c r="J1533" t="s">
        <v>17</v>
      </c>
      <c r="K1533">
        <v>2869.71</v>
      </c>
    </row>
    <row r="1534" spans="1:11" x14ac:dyDescent="0.25">
      <c r="A1534" t="s">
        <v>3068</v>
      </c>
      <c r="B1534" s="1">
        <v>45335</v>
      </c>
      <c r="C1534" t="s">
        <v>3069</v>
      </c>
      <c r="D1534" t="s">
        <v>24</v>
      </c>
      <c r="E1534" t="s">
        <v>3988</v>
      </c>
      <c r="F1534" t="s">
        <v>4804</v>
      </c>
      <c r="G1534">
        <v>3</v>
      </c>
      <c r="H1534">
        <v>131.87</v>
      </c>
      <c r="I1534">
        <v>10</v>
      </c>
      <c r="J1534" t="s">
        <v>21</v>
      </c>
      <c r="K1534">
        <v>356.05</v>
      </c>
    </row>
    <row r="1535" spans="1:11" x14ac:dyDescent="0.25">
      <c r="A1535" t="s">
        <v>3070</v>
      </c>
      <c r="B1535" s="1">
        <v>45594</v>
      </c>
      <c r="C1535" t="s">
        <v>3071</v>
      </c>
      <c r="D1535" t="s">
        <v>13</v>
      </c>
      <c r="E1535" t="s">
        <v>3988</v>
      </c>
      <c r="F1535" t="s">
        <v>4714</v>
      </c>
      <c r="G1535">
        <v>3</v>
      </c>
      <c r="H1535">
        <v>984.56</v>
      </c>
      <c r="I1535">
        <v>15</v>
      </c>
      <c r="J1535" t="s">
        <v>21</v>
      </c>
      <c r="K1535">
        <v>2510.63</v>
      </c>
    </row>
    <row r="1536" spans="1:11" x14ac:dyDescent="0.25">
      <c r="A1536" t="s">
        <v>3072</v>
      </c>
      <c r="B1536" s="1">
        <v>45447</v>
      </c>
      <c r="C1536" t="s">
        <v>3073</v>
      </c>
      <c r="D1536" t="s">
        <v>24</v>
      </c>
      <c r="E1536" t="s">
        <v>29</v>
      </c>
      <c r="F1536" t="s">
        <v>4387</v>
      </c>
      <c r="G1536">
        <v>6</v>
      </c>
      <c r="H1536">
        <v>404.36</v>
      </c>
      <c r="I1536">
        <v>10</v>
      </c>
      <c r="J1536" t="s">
        <v>17</v>
      </c>
      <c r="K1536">
        <v>2183.54</v>
      </c>
    </row>
    <row r="1537" spans="1:11" x14ac:dyDescent="0.25">
      <c r="A1537" t="s">
        <v>3074</v>
      </c>
      <c r="B1537" s="1">
        <v>45331</v>
      </c>
      <c r="C1537" t="s">
        <v>3075</v>
      </c>
      <c r="D1537" t="s">
        <v>13</v>
      </c>
      <c r="E1537" t="s">
        <v>3988</v>
      </c>
      <c r="F1537" t="s">
        <v>4805</v>
      </c>
      <c r="G1537">
        <v>3</v>
      </c>
      <c r="H1537">
        <v>1499.01</v>
      </c>
      <c r="I1537">
        <v>20</v>
      </c>
      <c r="J1537" t="s">
        <v>39</v>
      </c>
      <c r="K1537">
        <v>3597.62</v>
      </c>
    </row>
    <row r="1538" spans="1:11" x14ac:dyDescent="0.25">
      <c r="A1538" t="s">
        <v>3076</v>
      </c>
      <c r="B1538" s="1">
        <v>45814</v>
      </c>
      <c r="C1538" t="s">
        <v>3077</v>
      </c>
      <c r="D1538" t="s">
        <v>36</v>
      </c>
      <c r="E1538" t="s">
        <v>29</v>
      </c>
      <c r="F1538" t="s">
        <v>4554</v>
      </c>
      <c r="G1538">
        <v>2</v>
      </c>
      <c r="H1538">
        <v>1703.46</v>
      </c>
      <c r="I1538">
        <v>10</v>
      </c>
      <c r="J1538" t="s">
        <v>17</v>
      </c>
      <c r="K1538">
        <v>3066.23</v>
      </c>
    </row>
    <row r="1539" spans="1:11" x14ac:dyDescent="0.25">
      <c r="A1539" t="s">
        <v>3078</v>
      </c>
      <c r="B1539" s="1">
        <v>45752</v>
      </c>
      <c r="C1539" t="s">
        <v>3079</v>
      </c>
      <c r="D1539" t="s">
        <v>24</v>
      </c>
      <c r="E1539" t="s">
        <v>3272</v>
      </c>
      <c r="F1539" t="s">
        <v>4469</v>
      </c>
      <c r="G1539">
        <v>8</v>
      </c>
      <c r="H1539">
        <v>1113.8900000000001</v>
      </c>
      <c r="I1539">
        <v>20</v>
      </c>
      <c r="J1539" t="s">
        <v>14</v>
      </c>
      <c r="K1539">
        <v>7128.9</v>
      </c>
    </row>
    <row r="1540" spans="1:11" x14ac:dyDescent="0.25">
      <c r="A1540" t="s">
        <v>3080</v>
      </c>
      <c r="B1540" s="1">
        <v>45469</v>
      </c>
      <c r="C1540" t="s">
        <v>3081</v>
      </c>
      <c r="D1540" t="s">
        <v>36</v>
      </c>
      <c r="E1540" t="s">
        <v>3988</v>
      </c>
      <c r="F1540" t="s">
        <v>4806</v>
      </c>
      <c r="G1540">
        <v>5</v>
      </c>
      <c r="H1540">
        <v>1964.33</v>
      </c>
      <c r="I1540">
        <v>10</v>
      </c>
      <c r="J1540" t="s">
        <v>14</v>
      </c>
      <c r="K1540">
        <v>8839.48</v>
      </c>
    </row>
    <row r="1541" spans="1:11" x14ac:dyDescent="0.25">
      <c r="A1541" t="s">
        <v>3082</v>
      </c>
      <c r="B1541" s="1">
        <v>45183</v>
      </c>
      <c r="C1541" t="s">
        <v>3083</v>
      </c>
      <c r="D1541" t="s">
        <v>13</v>
      </c>
      <c r="E1541" t="s">
        <v>3272</v>
      </c>
      <c r="F1541" t="s">
        <v>4298</v>
      </c>
      <c r="G1541">
        <v>1</v>
      </c>
      <c r="H1541">
        <v>928.43</v>
      </c>
      <c r="I1541">
        <v>20</v>
      </c>
      <c r="J1541" t="s">
        <v>14</v>
      </c>
      <c r="K1541">
        <v>742.74</v>
      </c>
    </row>
    <row r="1542" spans="1:11" x14ac:dyDescent="0.25">
      <c r="A1542" t="s">
        <v>3084</v>
      </c>
      <c r="B1542" s="1">
        <v>45397</v>
      </c>
      <c r="C1542" t="s">
        <v>3085</v>
      </c>
      <c r="D1542" t="s">
        <v>20</v>
      </c>
      <c r="E1542" t="s">
        <v>3988</v>
      </c>
      <c r="F1542" t="s">
        <v>4141</v>
      </c>
      <c r="G1542">
        <v>3</v>
      </c>
      <c r="H1542">
        <v>1051.07</v>
      </c>
      <c r="I1542">
        <v>10</v>
      </c>
      <c r="J1542" t="s">
        <v>17</v>
      </c>
      <c r="K1542">
        <v>2837.89</v>
      </c>
    </row>
    <row r="1543" spans="1:11" x14ac:dyDescent="0.25">
      <c r="A1543" t="s">
        <v>3086</v>
      </c>
      <c r="B1543" s="1">
        <v>45728</v>
      </c>
      <c r="C1543" t="s">
        <v>3087</v>
      </c>
      <c r="D1543" t="s">
        <v>20</v>
      </c>
      <c r="E1543" t="s">
        <v>3988</v>
      </c>
      <c r="F1543" t="s">
        <v>4255</v>
      </c>
      <c r="G1543">
        <v>8</v>
      </c>
      <c r="H1543">
        <v>1978.97</v>
      </c>
      <c r="I1543">
        <v>10</v>
      </c>
      <c r="J1543" t="s">
        <v>14</v>
      </c>
      <c r="K1543">
        <v>14248.58</v>
      </c>
    </row>
    <row r="1544" spans="1:11" x14ac:dyDescent="0.25">
      <c r="A1544" t="s">
        <v>3088</v>
      </c>
      <c r="B1544" s="1">
        <v>45517</v>
      </c>
      <c r="C1544" t="s">
        <v>3089</v>
      </c>
      <c r="D1544" t="s">
        <v>13</v>
      </c>
      <c r="E1544" t="s">
        <v>3988</v>
      </c>
      <c r="F1544" t="s">
        <v>4765</v>
      </c>
      <c r="G1544">
        <v>4</v>
      </c>
      <c r="H1544">
        <v>501.52</v>
      </c>
      <c r="I1544">
        <v>5</v>
      </c>
      <c r="J1544" t="s">
        <v>21</v>
      </c>
      <c r="K1544">
        <v>1905.78</v>
      </c>
    </row>
    <row r="1545" spans="1:11" x14ac:dyDescent="0.25">
      <c r="A1545" t="s">
        <v>3090</v>
      </c>
      <c r="B1545" s="1">
        <v>45697</v>
      </c>
      <c r="C1545" t="s">
        <v>3091</v>
      </c>
      <c r="D1545" t="s">
        <v>20</v>
      </c>
      <c r="E1545" t="s">
        <v>29</v>
      </c>
      <c r="F1545" t="s">
        <v>4295</v>
      </c>
      <c r="G1545">
        <v>7</v>
      </c>
      <c r="H1545">
        <v>1887.96</v>
      </c>
      <c r="I1545">
        <v>20</v>
      </c>
      <c r="J1545" t="s">
        <v>21</v>
      </c>
      <c r="K1545">
        <v>10572.58</v>
      </c>
    </row>
    <row r="1546" spans="1:11" x14ac:dyDescent="0.25">
      <c r="A1546" t="s">
        <v>3092</v>
      </c>
      <c r="B1546" s="1">
        <v>45859</v>
      </c>
      <c r="C1546" t="s">
        <v>3093</v>
      </c>
      <c r="D1546" t="s">
        <v>20</v>
      </c>
      <c r="E1546" t="s">
        <v>3272</v>
      </c>
      <c r="F1546" t="s">
        <v>4751</v>
      </c>
      <c r="G1546">
        <v>2</v>
      </c>
      <c r="H1546">
        <v>133.53</v>
      </c>
      <c r="I1546">
        <v>20</v>
      </c>
      <c r="J1546" t="s">
        <v>14</v>
      </c>
      <c r="K1546">
        <v>213.65</v>
      </c>
    </row>
    <row r="1547" spans="1:11" x14ac:dyDescent="0.25">
      <c r="A1547" t="s">
        <v>3094</v>
      </c>
      <c r="B1547" s="1">
        <v>45780</v>
      </c>
      <c r="C1547" t="s">
        <v>3095</v>
      </c>
      <c r="D1547" t="s">
        <v>24</v>
      </c>
      <c r="E1547" t="s">
        <v>3988</v>
      </c>
      <c r="F1547" t="s">
        <v>4658</v>
      </c>
      <c r="G1547">
        <v>7</v>
      </c>
      <c r="H1547">
        <v>920.45</v>
      </c>
      <c r="I1547">
        <v>20</v>
      </c>
      <c r="J1547" t="s">
        <v>14</v>
      </c>
      <c r="K1547">
        <v>5154.5200000000004</v>
      </c>
    </row>
    <row r="1548" spans="1:11" x14ac:dyDescent="0.25">
      <c r="A1548" t="s">
        <v>3096</v>
      </c>
      <c r="B1548" s="1">
        <v>45446</v>
      </c>
      <c r="C1548" t="s">
        <v>3097</v>
      </c>
      <c r="D1548" t="s">
        <v>24</v>
      </c>
      <c r="E1548" t="s">
        <v>3272</v>
      </c>
      <c r="F1548" t="s">
        <v>4807</v>
      </c>
      <c r="G1548">
        <v>5</v>
      </c>
      <c r="H1548">
        <v>186.51</v>
      </c>
      <c r="I1548">
        <v>0</v>
      </c>
      <c r="J1548" t="s">
        <v>14</v>
      </c>
      <c r="K1548">
        <v>932.55</v>
      </c>
    </row>
    <row r="1549" spans="1:11" x14ac:dyDescent="0.25">
      <c r="A1549" t="s">
        <v>3098</v>
      </c>
      <c r="B1549" s="1">
        <v>45449</v>
      </c>
      <c r="C1549" t="s">
        <v>3099</v>
      </c>
      <c r="D1549" t="s">
        <v>20</v>
      </c>
      <c r="E1549" t="s">
        <v>3272</v>
      </c>
      <c r="F1549" t="s">
        <v>4354</v>
      </c>
      <c r="G1549">
        <v>5</v>
      </c>
      <c r="H1549">
        <v>1472.01</v>
      </c>
      <c r="I1549">
        <v>10</v>
      </c>
      <c r="J1549" t="s">
        <v>14</v>
      </c>
      <c r="K1549">
        <v>6624.04</v>
      </c>
    </row>
    <row r="1550" spans="1:11" x14ac:dyDescent="0.25">
      <c r="A1550" t="s">
        <v>3100</v>
      </c>
      <c r="B1550" s="1">
        <v>45665</v>
      </c>
      <c r="C1550" t="s">
        <v>3101</v>
      </c>
      <c r="D1550" t="s">
        <v>24</v>
      </c>
      <c r="E1550" t="s">
        <v>29</v>
      </c>
      <c r="F1550" t="s">
        <v>4808</v>
      </c>
      <c r="G1550">
        <v>6</v>
      </c>
      <c r="H1550">
        <v>1236.4000000000001</v>
      </c>
      <c r="I1550">
        <v>20</v>
      </c>
      <c r="J1550" t="s">
        <v>17</v>
      </c>
      <c r="K1550">
        <v>5934.72</v>
      </c>
    </row>
    <row r="1551" spans="1:11" x14ac:dyDescent="0.25">
      <c r="A1551" t="s">
        <v>3102</v>
      </c>
      <c r="B1551" s="1">
        <v>45765</v>
      </c>
      <c r="C1551" t="s">
        <v>3103</v>
      </c>
      <c r="D1551" t="s">
        <v>13</v>
      </c>
      <c r="E1551" t="s">
        <v>29</v>
      </c>
      <c r="F1551" t="s">
        <v>4809</v>
      </c>
      <c r="G1551">
        <v>9</v>
      </c>
      <c r="H1551">
        <v>1427.94</v>
      </c>
      <c r="I1551">
        <v>0</v>
      </c>
      <c r="J1551" t="s">
        <v>17</v>
      </c>
      <c r="K1551">
        <v>12851.46</v>
      </c>
    </row>
    <row r="1552" spans="1:11" x14ac:dyDescent="0.25">
      <c r="A1552" t="s">
        <v>3104</v>
      </c>
      <c r="B1552" s="1">
        <v>45787</v>
      </c>
      <c r="C1552" t="s">
        <v>3105</v>
      </c>
      <c r="D1552" t="s">
        <v>24</v>
      </c>
      <c r="E1552" t="s">
        <v>29</v>
      </c>
      <c r="F1552" t="s">
        <v>4808</v>
      </c>
      <c r="G1552">
        <v>6</v>
      </c>
      <c r="H1552">
        <v>780.24</v>
      </c>
      <c r="I1552">
        <v>5</v>
      </c>
      <c r="J1552" t="s">
        <v>21</v>
      </c>
      <c r="K1552">
        <v>4447.37</v>
      </c>
    </row>
    <row r="1553" spans="1:11" x14ac:dyDescent="0.25">
      <c r="A1553" t="s">
        <v>3106</v>
      </c>
      <c r="B1553" s="1">
        <v>45656</v>
      </c>
      <c r="C1553" t="s">
        <v>3107</v>
      </c>
      <c r="D1553" t="s">
        <v>24</v>
      </c>
      <c r="E1553" t="s">
        <v>3988</v>
      </c>
      <c r="F1553" t="s">
        <v>4053</v>
      </c>
      <c r="G1553">
        <v>8</v>
      </c>
      <c r="H1553">
        <v>770.49</v>
      </c>
      <c r="I1553">
        <v>20</v>
      </c>
      <c r="J1553" t="s">
        <v>39</v>
      </c>
      <c r="K1553">
        <v>4931.1400000000003</v>
      </c>
    </row>
    <row r="1554" spans="1:11" x14ac:dyDescent="0.25">
      <c r="A1554" t="s">
        <v>3108</v>
      </c>
      <c r="B1554" s="1">
        <v>45268</v>
      </c>
      <c r="C1554" t="s">
        <v>3109</v>
      </c>
      <c r="D1554" t="s">
        <v>24</v>
      </c>
      <c r="E1554" t="s">
        <v>3988</v>
      </c>
      <c r="F1554" t="s">
        <v>4695</v>
      </c>
      <c r="G1554">
        <v>7</v>
      </c>
      <c r="H1554">
        <v>138.37</v>
      </c>
      <c r="I1554">
        <v>20</v>
      </c>
      <c r="J1554" t="s">
        <v>21</v>
      </c>
      <c r="K1554">
        <v>774.87</v>
      </c>
    </row>
    <row r="1555" spans="1:11" x14ac:dyDescent="0.25">
      <c r="A1555" t="s">
        <v>3110</v>
      </c>
      <c r="B1555" s="1">
        <v>45534</v>
      </c>
      <c r="C1555" t="s">
        <v>3111</v>
      </c>
      <c r="D1555" t="s">
        <v>36</v>
      </c>
      <c r="E1555" t="s">
        <v>3988</v>
      </c>
      <c r="F1555" t="s">
        <v>4810</v>
      </c>
      <c r="G1555">
        <v>9</v>
      </c>
      <c r="H1555">
        <v>732.39</v>
      </c>
      <c r="I1555">
        <v>0</v>
      </c>
      <c r="J1555" t="s">
        <v>17</v>
      </c>
      <c r="K1555">
        <v>6591.51</v>
      </c>
    </row>
    <row r="1556" spans="1:11" x14ac:dyDescent="0.25">
      <c r="A1556" t="s">
        <v>3112</v>
      </c>
      <c r="B1556" s="1">
        <v>45178</v>
      </c>
      <c r="C1556" t="s">
        <v>381</v>
      </c>
      <c r="D1556" t="s">
        <v>13</v>
      </c>
      <c r="E1556" t="s">
        <v>3988</v>
      </c>
      <c r="F1556" t="s">
        <v>4811</v>
      </c>
      <c r="G1556">
        <v>4</v>
      </c>
      <c r="H1556">
        <v>1862.11</v>
      </c>
      <c r="I1556">
        <v>10</v>
      </c>
      <c r="J1556" t="s">
        <v>21</v>
      </c>
      <c r="K1556">
        <v>6703.6</v>
      </c>
    </row>
    <row r="1557" spans="1:11" x14ac:dyDescent="0.25">
      <c r="A1557" t="s">
        <v>3113</v>
      </c>
      <c r="B1557" s="1">
        <v>45248</v>
      </c>
      <c r="C1557" t="s">
        <v>3114</v>
      </c>
      <c r="D1557" t="s">
        <v>20</v>
      </c>
      <c r="E1557" t="s">
        <v>3988</v>
      </c>
      <c r="F1557" t="s">
        <v>4112</v>
      </c>
      <c r="G1557">
        <v>2</v>
      </c>
      <c r="H1557">
        <v>789.49</v>
      </c>
      <c r="I1557">
        <v>5</v>
      </c>
      <c r="J1557" t="s">
        <v>21</v>
      </c>
      <c r="K1557">
        <v>1500.03</v>
      </c>
    </row>
    <row r="1558" spans="1:11" x14ac:dyDescent="0.25">
      <c r="A1558" t="s">
        <v>3115</v>
      </c>
      <c r="B1558" s="1">
        <v>45540</v>
      </c>
      <c r="C1558" t="s">
        <v>3116</v>
      </c>
      <c r="D1558" t="s">
        <v>20</v>
      </c>
      <c r="E1558" t="s">
        <v>3988</v>
      </c>
      <c r="F1558" t="s">
        <v>4530</v>
      </c>
      <c r="G1558">
        <v>7</v>
      </c>
      <c r="H1558">
        <v>1671.17</v>
      </c>
      <c r="I1558">
        <v>20</v>
      </c>
      <c r="J1558" t="s">
        <v>17</v>
      </c>
      <c r="K1558">
        <v>9358.5499999999993</v>
      </c>
    </row>
    <row r="1559" spans="1:11" x14ac:dyDescent="0.25">
      <c r="A1559" t="s">
        <v>3117</v>
      </c>
      <c r="B1559" s="1">
        <v>45608</v>
      </c>
      <c r="C1559" t="s">
        <v>3118</v>
      </c>
      <c r="D1559" t="s">
        <v>36</v>
      </c>
      <c r="E1559" t="s">
        <v>3988</v>
      </c>
      <c r="F1559" t="s">
        <v>4317</v>
      </c>
      <c r="G1559">
        <v>6</v>
      </c>
      <c r="H1559">
        <v>1692.53</v>
      </c>
      <c r="I1559">
        <v>10</v>
      </c>
      <c r="J1559" t="s">
        <v>39</v>
      </c>
      <c r="K1559">
        <v>9139.66</v>
      </c>
    </row>
    <row r="1560" spans="1:11" x14ac:dyDescent="0.25">
      <c r="A1560" t="s">
        <v>3119</v>
      </c>
      <c r="B1560" s="1">
        <v>45407</v>
      </c>
      <c r="C1560" t="s">
        <v>3120</v>
      </c>
      <c r="D1560" t="s">
        <v>24</v>
      </c>
      <c r="E1560" t="s">
        <v>3272</v>
      </c>
      <c r="F1560" t="s">
        <v>4094</v>
      </c>
      <c r="G1560">
        <v>1</v>
      </c>
      <c r="H1560">
        <v>777.82</v>
      </c>
      <c r="I1560">
        <v>5</v>
      </c>
      <c r="J1560" t="s">
        <v>17</v>
      </c>
      <c r="K1560">
        <v>738.93</v>
      </c>
    </row>
    <row r="1561" spans="1:11" x14ac:dyDescent="0.25">
      <c r="A1561" t="s">
        <v>3121</v>
      </c>
      <c r="B1561" s="1">
        <v>45825</v>
      </c>
      <c r="C1561" t="s">
        <v>3122</v>
      </c>
      <c r="D1561" t="s">
        <v>13</v>
      </c>
      <c r="E1561" t="s">
        <v>29</v>
      </c>
      <c r="F1561" t="s">
        <v>4312</v>
      </c>
      <c r="G1561">
        <v>9</v>
      </c>
      <c r="H1561">
        <v>1282.3800000000001</v>
      </c>
      <c r="I1561">
        <v>15</v>
      </c>
      <c r="J1561" t="s">
        <v>21</v>
      </c>
      <c r="K1561">
        <v>9810.2099999999991</v>
      </c>
    </row>
    <row r="1562" spans="1:11" x14ac:dyDescent="0.25">
      <c r="A1562" t="s">
        <v>3123</v>
      </c>
      <c r="B1562" s="1">
        <v>45227</v>
      </c>
      <c r="C1562" t="s">
        <v>3124</v>
      </c>
      <c r="D1562" t="s">
        <v>13</v>
      </c>
      <c r="E1562" t="s">
        <v>3988</v>
      </c>
      <c r="F1562" t="s">
        <v>4812</v>
      </c>
      <c r="G1562">
        <v>9</v>
      </c>
      <c r="H1562">
        <v>235.97</v>
      </c>
      <c r="I1562">
        <v>15</v>
      </c>
      <c r="J1562" t="s">
        <v>17</v>
      </c>
      <c r="K1562">
        <v>1805.17</v>
      </c>
    </row>
    <row r="1563" spans="1:11" x14ac:dyDescent="0.25">
      <c r="A1563" t="s">
        <v>3125</v>
      </c>
      <c r="B1563" s="1">
        <v>45829</v>
      </c>
      <c r="C1563" t="s">
        <v>3126</v>
      </c>
      <c r="D1563" t="s">
        <v>20</v>
      </c>
      <c r="E1563" t="s">
        <v>3272</v>
      </c>
      <c r="F1563" t="s">
        <v>4813</v>
      </c>
      <c r="G1563">
        <v>2</v>
      </c>
      <c r="H1563">
        <v>252.17</v>
      </c>
      <c r="I1563">
        <v>5</v>
      </c>
      <c r="J1563" t="s">
        <v>39</v>
      </c>
      <c r="K1563">
        <v>479.12</v>
      </c>
    </row>
    <row r="1564" spans="1:11" x14ac:dyDescent="0.25">
      <c r="A1564" t="s">
        <v>3127</v>
      </c>
      <c r="B1564" s="1">
        <v>45806</v>
      </c>
      <c r="C1564" t="s">
        <v>3128</v>
      </c>
      <c r="D1564" t="s">
        <v>36</v>
      </c>
      <c r="E1564" t="s">
        <v>3272</v>
      </c>
      <c r="F1564" t="s">
        <v>4033</v>
      </c>
      <c r="G1564">
        <v>3</v>
      </c>
      <c r="H1564">
        <v>144.88</v>
      </c>
      <c r="I1564">
        <v>0</v>
      </c>
      <c r="J1564" t="s">
        <v>39</v>
      </c>
      <c r="K1564">
        <v>434.64</v>
      </c>
    </row>
    <row r="1565" spans="1:11" x14ac:dyDescent="0.25">
      <c r="A1565" t="s">
        <v>3129</v>
      </c>
      <c r="B1565" s="1">
        <v>45491</v>
      </c>
      <c r="C1565" t="s">
        <v>3130</v>
      </c>
      <c r="D1565" t="s">
        <v>36</v>
      </c>
      <c r="E1565" t="s">
        <v>3272</v>
      </c>
      <c r="F1565" t="s">
        <v>4354</v>
      </c>
      <c r="G1565">
        <v>5</v>
      </c>
      <c r="H1565">
        <v>1182.98</v>
      </c>
      <c r="I1565">
        <v>5</v>
      </c>
      <c r="J1565" t="s">
        <v>17</v>
      </c>
      <c r="K1565">
        <v>5619.16</v>
      </c>
    </row>
    <row r="1566" spans="1:11" x14ac:dyDescent="0.25">
      <c r="A1566" t="s">
        <v>3131</v>
      </c>
      <c r="B1566" s="1">
        <v>45227</v>
      </c>
      <c r="C1566" t="s">
        <v>3132</v>
      </c>
      <c r="D1566" t="s">
        <v>36</v>
      </c>
      <c r="E1566" t="s">
        <v>3988</v>
      </c>
      <c r="F1566" t="s">
        <v>4543</v>
      </c>
      <c r="G1566">
        <v>5</v>
      </c>
      <c r="H1566">
        <v>880.84</v>
      </c>
      <c r="I1566">
        <v>5</v>
      </c>
      <c r="J1566" t="s">
        <v>17</v>
      </c>
      <c r="K1566">
        <v>4183.99</v>
      </c>
    </row>
    <row r="1567" spans="1:11" x14ac:dyDescent="0.25">
      <c r="A1567" t="s">
        <v>3133</v>
      </c>
      <c r="B1567" s="1">
        <v>45558</v>
      </c>
      <c r="C1567" t="s">
        <v>3134</v>
      </c>
      <c r="D1567" t="s">
        <v>36</v>
      </c>
      <c r="E1567" t="s">
        <v>3272</v>
      </c>
      <c r="F1567" t="s">
        <v>4814</v>
      </c>
      <c r="G1567">
        <v>1</v>
      </c>
      <c r="H1567">
        <v>1118.6600000000001</v>
      </c>
      <c r="I1567">
        <v>0</v>
      </c>
      <c r="J1567" t="s">
        <v>17</v>
      </c>
      <c r="K1567">
        <v>1118.6600000000001</v>
      </c>
    </row>
    <row r="1568" spans="1:11" x14ac:dyDescent="0.25">
      <c r="A1568" t="s">
        <v>3135</v>
      </c>
      <c r="B1568" s="1">
        <v>45857</v>
      </c>
      <c r="C1568" t="s">
        <v>3136</v>
      </c>
      <c r="D1568" t="s">
        <v>13</v>
      </c>
      <c r="E1568" t="s">
        <v>3988</v>
      </c>
      <c r="F1568" t="s">
        <v>4815</v>
      </c>
      <c r="G1568">
        <v>8</v>
      </c>
      <c r="H1568">
        <v>1066.0899999999999</v>
      </c>
      <c r="I1568">
        <v>0</v>
      </c>
      <c r="J1568" t="s">
        <v>14</v>
      </c>
      <c r="K1568">
        <v>8528.7199999999993</v>
      </c>
    </row>
    <row r="1569" spans="1:11" x14ac:dyDescent="0.25">
      <c r="A1569" t="s">
        <v>3137</v>
      </c>
      <c r="B1569" s="1">
        <v>45504</v>
      </c>
      <c r="C1569" t="s">
        <v>3138</v>
      </c>
      <c r="D1569" t="s">
        <v>24</v>
      </c>
      <c r="E1569" t="s">
        <v>3272</v>
      </c>
      <c r="F1569" t="s">
        <v>4370</v>
      </c>
      <c r="G1569">
        <v>8</v>
      </c>
      <c r="H1569">
        <v>732.9</v>
      </c>
      <c r="I1569">
        <v>10</v>
      </c>
      <c r="J1569" t="s">
        <v>21</v>
      </c>
      <c r="K1569">
        <v>5276.88</v>
      </c>
    </row>
    <row r="1570" spans="1:11" x14ac:dyDescent="0.25">
      <c r="A1570" t="s">
        <v>3139</v>
      </c>
      <c r="B1570" s="1">
        <v>45161</v>
      </c>
      <c r="C1570" t="s">
        <v>3140</v>
      </c>
      <c r="D1570" t="s">
        <v>20</v>
      </c>
      <c r="E1570" t="s">
        <v>3988</v>
      </c>
      <c r="F1570" t="s">
        <v>4816</v>
      </c>
      <c r="G1570">
        <v>4</v>
      </c>
      <c r="H1570">
        <v>1371.07</v>
      </c>
      <c r="I1570">
        <v>10</v>
      </c>
      <c r="J1570" t="s">
        <v>21</v>
      </c>
      <c r="K1570">
        <v>4935.8500000000004</v>
      </c>
    </row>
    <row r="1571" spans="1:11" x14ac:dyDescent="0.25">
      <c r="A1571" t="s">
        <v>3141</v>
      </c>
      <c r="B1571" s="1">
        <v>45711</v>
      </c>
      <c r="C1571" t="s">
        <v>3142</v>
      </c>
      <c r="D1571" t="s">
        <v>13</v>
      </c>
      <c r="E1571" t="s">
        <v>3988</v>
      </c>
      <c r="F1571" t="s">
        <v>4320</v>
      </c>
      <c r="G1571">
        <v>7</v>
      </c>
      <c r="H1571">
        <v>1529.08</v>
      </c>
      <c r="I1571">
        <v>0</v>
      </c>
      <c r="J1571" t="s">
        <v>39</v>
      </c>
      <c r="K1571">
        <v>10703.56</v>
      </c>
    </row>
    <row r="1572" spans="1:11" x14ac:dyDescent="0.25">
      <c r="A1572" t="s">
        <v>3143</v>
      </c>
      <c r="B1572" s="1">
        <v>45261</v>
      </c>
      <c r="C1572" t="s">
        <v>3144</v>
      </c>
      <c r="D1572" t="s">
        <v>36</v>
      </c>
      <c r="E1572" t="s">
        <v>3988</v>
      </c>
      <c r="F1572" t="s">
        <v>4817</v>
      </c>
      <c r="G1572">
        <v>3</v>
      </c>
      <c r="H1572">
        <v>78.53</v>
      </c>
      <c r="I1572">
        <v>15</v>
      </c>
      <c r="J1572" t="s">
        <v>21</v>
      </c>
      <c r="K1572">
        <v>200.25</v>
      </c>
    </row>
    <row r="1573" spans="1:11" x14ac:dyDescent="0.25">
      <c r="A1573" t="s">
        <v>3145</v>
      </c>
      <c r="B1573" s="1">
        <v>45468</v>
      </c>
      <c r="C1573" t="s">
        <v>3146</v>
      </c>
      <c r="D1573" t="s">
        <v>36</v>
      </c>
      <c r="E1573" t="s">
        <v>3988</v>
      </c>
      <c r="F1573" t="s">
        <v>3994</v>
      </c>
      <c r="G1573">
        <v>6</v>
      </c>
      <c r="H1573">
        <v>454.12</v>
      </c>
      <c r="I1573">
        <v>15</v>
      </c>
      <c r="J1573" t="s">
        <v>14</v>
      </c>
      <c r="K1573">
        <v>2316.0100000000002</v>
      </c>
    </row>
    <row r="1574" spans="1:11" x14ac:dyDescent="0.25">
      <c r="A1574" t="s">
        <v>3147</v>
      </c>
      <c r="B1574" s="1">
        <v>45826</v>
      </c>
      <c r="C1574" t="s">
        <v>3148</v>
      </c>
      <c r="D1574" t="s">
        <v>20</v>
      </c>
      <c r="E1574" t="s">
        <v>3272</v>
      </c>
      <c r="F1574" t="s">
        <v>4193</v>
      </c>
      <c r="G1574">
        <v>9</v>
      </c>
      <c r="H1574">
        <v>1440.81</v>
      </c>
      <c r="I1574">
        <v>5</v>
      </c>
      <c r="J1574" t="s">
        <v>39</v>
      </c>
      <c r="K1574">
        <v>12318.93</v>
      </c>
    </row>
    <row r="1575" spans="1:11" x14ac:dyDescent="0.25">
      <c r="A1575" t="s">
        <v>3149</v>
      </c>
      <c r="B1575" s="1">
        <v>45658</v>
      </c>
      <c r="C1575" t="s">
        <v>3150</v>
      </c>
      <c r="D1575" t="s">
        <v>24</v>
      </c>
      <c r="E1575" t="s">
        <v>3272</v>
      </c>
      <c r="F1575" t="s">
        <v>4818</v>
      </c>
      <c r="G1575">
        <v>1</v>
      </c>
      <c r="H1575">
        <v>803.91</v>
      </c>
      <c r="I1575">
        <v>20</v>
      </c>
      <c r="J1575" t="s">
        <v>17</v>
      </c>
      <c r="K1575">
        <v>643.13</v>
      </c>
    </row>
    <row r="1576" spans="1:11" x14ac:dyDescent="0.25">
      <c r="A1576" t="s">
        <v>3151</v>
      </c>
      <c r="B1576" s="1">
        <v>45269</v>
      </c>
      <c r="C1576" t="s">
        <v>3152</v>
      </c>
      <c r="D1576" t="s">
        <v>24</v>
      </c>
      <c r="E1576" t="s">
        <v>3988</v>
      </c>
      <c r="F1576" t="s">
        <v>4819</v>
      </c>
      <c r="G1576">
        <v>5</v>
      </c>
      <c r="H1576">
        <v>1341.84</v>
      </c>
      <c r="I1576">
        <v>5</v>
      </c>
      <c r="J1576" t="s">
        <v>17</v>
      </c>
      <c r="K1576">
        <v>6373.74</v>
      </c>
    </row>
    <row r="1577" spans="1:11" x14ac:dyDescent="0.25">
      <c r="A1577" t="s">
        <v>3153</v>
      </c>
      <c r="B1577" s="1">
        <v>45208</v>
      </c>
      <c r="C1577" t="s">
        <v>3154</v>
      </c>
      <c r="D1577" t="s">
        <v>24</v>
      </c>
      <c r="E1577" t="s">
        <v>3272</v>
      </c>
      <c r="F1577" t="s">
        <v>4304</v>
      </c>
      <c r="G1577">
        <v>4</v>
      </c>
      <c r="H1577">
        <v>726.58</v>
      </c>
      <c r="I1577">
        <v>5</v>
      </c>
      <c r="J1577" t="s">
        <v>39</v>
      </c>
      <c r="K1577">
        <v>2761</v>
      </c>
    </row>
    <row r="1578" spans="1:11" x14ac:dyDescent="0.25">
      <c r="A1578" t="s">
        <v>3155</v>
      </c>
      <c r="B1578" s="1">
        <v>45514</v>
      </c>
      <c r="C1578" t="s">
        <v>3156</v>
      </c>
      <c r="D1578" t="s">
        <v>36</v>
      </c>
      <c r="E1578" t="s">
        <v>3988</v>
      </c>
      <c r="F1578" t="s">
        <v>4551</v>
      </c>
      <c r="G1578">
        <v>8</v>
      </c>
      <c r="H1578">
        <v>811.97</v>
      </c>
      <c r="I1578">
        <v>20</v>
      </c>
      <c r="J1578" t="s">
        <v>39</v>
      </c>
      <c r="K1578">
        <v>5196.6099999999997</v>
      </c>
    </row>
    <row r="1579" spans="1:11" x14ac:dyDescent="0.25">
      <c r="A1579" t="s">
        <v>3157</v>
      </c>
      <c r="B1579" s="1">
        <v>45757</v>
      </c>
      <c r="C1579" t="s">
        <v>3158</v>
      </c>
      <c r="D1579" t="s">
        <v>13</v>
      </c>
      <c r="E1579" t="s">
        <v>3988</v>
      </c>
      <c r="F1579" t="s">
        <v>4820</v>
      </c>
      <c r="G1579">
        <v>1</v>
      </c>
      <c r="H1579">
        <v>359.42</v>
      </c>
      <c r="I1579">
        <v>0</v>
      </c>
      <c r="J1579" t="s">
        <v>39</v>
      </c>
      <c r="K1579">
        <v>359.42</v>
      </c>
    </row>
    <row r="1580" spans="1:11" x14ac:dyDescent="0.25">
      <c r="A1580" t="s">
        <v>3159</v>
      </c>
      <c r="B1580" s="1">
        <v>45355</v>
      </c>
      <c r="C1580" t="s">
        <v>3160</v>
      </c>
      <c r="D1580" t="s">
        <v>13</v>
      </c>
      <c r="E1580" t="s">
        <v>3272</v>
      </c>
      <c r="F1580" t="s">
        <v>4821</v>
      </c>
      <c r="G1580">
        <v>9</v>
      </c>
      <c r="H1580">
        <v>553.54999999999995</v>
      </c>
      <c r="I1580">
        <v>15</v>
      </c>
      <c r="J1580" t="s">
        <v>14</v>
      </c>
      <c r="K1580">
        <v>4234.66</v>
      </c>
    </row>
    <row r="1581" spans="1:11" x14ac:dyDescent="0.25">
      <c r="A1581" t="s">
        <v>3161</v>
      </c>
      <c r="B1581" s="1">
        <v>45412</v>
      </c>
      <c r="C1581" t="s">
        <v>3162</v>
      </c>
      <c r="D1581" t="s">
        <v>24</v>
      </c>
      <c r="E1581" t="s">
        <v>3988</v>
      </c>
      <c r="F1581" t="s">
        <v>4186</v>
      </c>
      <c r="G1581">
        <v>6</v>
      </c>
      <c r="H1581">
        <v>1230.55</v>
      </c>
      <c r="I1581">
        <v>5</v>
      </c>
      <c r="J1581" t="s">
        <v>17</v>
      </c>
      <c r="K1581">
        <v>7014.13</v>
      </c>
    </row>
    <row r="1582" spans="1:11" x14ac:dyDescent="0.25">
      <c r="A1582" t="s">
        <v>3163</v>
      </c>
      <c r="B1582" s="1">
        <v>45634</v>
      </c>
      <c r="C1582" t="s">
        <v>3164</v>
      </c>
      <c r="D1582" t="s">
        <v>20</v>
      </c>
      <c r="E1582" t="s">
        <v>3988</v>
      </c>
      <c r="F1582" t="s">
        <v>4822</v>
      </c>
      <c r="G1582">
        <v>4</v>
      </c>
      <c r="H1582">
        <v>894.67</v>
      </c>
      <c r="I1582">
        <v>20</v>
      </c>
      <c r="J1582" t="s">
        <v>14</v>
      </c>
      <c r="K1582">
        <v>2862.94</v>
      </c>
    </row>
    <row r="1583" spans="1:11" x14ac:dyDescent="0.25">
      <c r="A1583" t="s">
        <v>3165</v>
      </c>
      <c r="B1583" s="1">
        <v>45688</v>
      </c>
      <c r="C1583" t="s">
        <v>3166</v>
      </c>
      <c r="D1583" t="s">
        <v>24</v>
      </c>
      <c r="E1583" t="s">
        <v>3988</v>
      </c>
      <c r="F1583" t="s">
        <v>4445</v>
      </c>
      <c r="G1583">
        <v>9</v>
      </c>
      <c r="H1583">
        <v>1559.89</v>
      </c>
      <c r="I1583">
        <v>10</v>
      </c>
      <c r="J1583" t="s">
        <v>17</v>
      </c>
      <c r="K1583">
        <v>12635.11</v>
      </c>
    </row>
    <row r="1584" spans="1:11" x14ac:dyDescent="0.25">
      <c r="A1584" t="s">
        <v>3167</v>
      </c>
      <c r="B1584" s="1">
        <v>45458</v>
      </c>
      <c r="C1584" t="s">
        <v>3168</v>
      </c>
      <c r="D1584" t="s">
        <v>24</v>
      </c>
      <c r="E1584" t="s">
        <v>3272</v>
      </c>
      <c r="F1584" t="s">
        <v>4823</v>
      </c>
      <c r="G1584">
        <v>5</v>
      </c>
      <c r="H1584">
        <v>1712.54</v>
      </c>
      <c r="I1584">
        <v>5</v>
      </c>
      <c r="J1584" t="s">
        <v>39</v>
      </c>
      <c r="K1584">
        <v>8134.56</v>
      </c>
    </row>
    <row r="1585" spans="1:11" x14ac:dyDescent="0.25">
      <c r="A1585" t="s">
        <v>3169</v>
      </c>
      <c r="B1585" s="1">
        <v>45654</v>
      </c>
      <c r="C1585" t="s">
        <v>3170</v>
      </c>
      <c r="D1585" t="s">
        <v>20</v>
      </c>
      <c r="E1585" t="s">
        <v>3272</v>
      </c>
      <c r="F1585" t="s">
        <v>4585</v>
      </c>
      <c r="G1585">
        <v>5</v>
      </c>
      <c r="H1585">
        <v>1106.21</v>
      </c>
      <c r="I1585">
        <v>15</v>
      </c>
      <c r="J1585" t="s">
        <v>14</v>
      </c>
      <c r="K1585">
        <v>4701.3900000000003</v>
      </c>
    </row>
    <row r="1586" spans="1:11" x14ac:dyDescent="0.25">
      <c r="A1586" t="s">
        <v>3171</v>
      </c>
      <c r="B1586" s="1">
        <v>45212</v>
      </c>
      <c r="C1586" t="s">
        <v>1775</v>
      </c>
      <c r="D1586" t="s">
        <v>24</v>
      </c>
      <c r="E1586" t="s">
        <v>3988</v>
      </c>
      <c r="F1586" t="s">
        <v>4695</v>
      </c>
      <c r="G1586">
        <v>5</v>
      </c>
      <c r="H1586">
        <v>1528.62</v>
      </c>
      <c r="I1586">
        <v>0</v>
      </c>
      <c r="J1586" t="s">
        <v>21</v>
      </c>
      <c r="K1586">
        <v>7643.1</v>
      </c>
    </row>
    <row r="1587" spans="1:11" x14ac:dyDescent="0.25">
      <c r="A1587" t="s">
        <v>3172</v>
      </c>
      <c r="B1587" s="1">
        <v>45811</v>
      </c>
      <c r="C1587" t="s">
        <v>3173</v>
      </c>
      <c r="D1587" t="s">
        <v>20</v>
      </c>
      <c r="E1587" t="s">
        <v>3988</v>
      </c>
      <c r="F1587" t="s">
        <v>4824</v>
      </c>
      <c r="G1587">
        <v>1</v>
      </c>
      <c r="H1587">
        <v>648.46</v>
      </c>
      <c r="I1587">
        <v>5</v>
      </c>
      <c r="J1587" t="s">
        <v>17</v>
      </c>
      <c r="K1587">
        <v>616.04</v>
      </c>
    </row>
    <row r="1588" spans="1:11" x14ac:dyDescent="0.25">
      <c r="A1588" t="s">
        <v>3174</v>
      </c>
      <c r="B1588" s="1">
        <v>45405</v>
      </c>
      <c r="C1588" t="s">
        <v>3175</v>
      </c>
      <c r="D1588" t="s">
        <v>20</v>
      </c>
      <c r="E1588" t="s">
        <v>3272</v>
      </c>
      <c r="F1588" t="s">
        <v>4315</v>
      </c>
      <c r="G1588">
        <v>1</v>
      </c>
      <c r="H1588">
        <v>859.19</v>
      </c>
      <c r="I1588">
        <v>5</v>
      </c>
      <c r="J1588" t="s">
        <v>39</v>
      </c>
      <c r="K1588">
        <v>816.23</v>
      </c>
    </row>
    <row r="1589" spans="1:11" x14ac:dyDescent="0.25">
      <c r="A1589" t="s">
        <v>3176</v>
      </c>
      <c r="B1589" s="1">
        <v>45812</v>
      </c>
      <c r="C1589" t="s">
        <v>3177</v>
      </c>
      <c r="D1589" t="s">
        <v>13</v>
      </c>
      <c r="E1589" t="s">
        <v>3988</v>
      </c>
      <c r="F1589" t="s">
        <v>4098</v>
      </c>
      <c r="G1589">
        <v>8</v>
      </c>
      <c r="H1589">
        <v>1439.92</v>
      </c>
      <c r="I1589">
        <v>20</v>
      </c>
      <c r="J1589" t="s">
        <v>39</v>
      </c>
      <c r="K1589">
        <v>9215.49</v>
      </c>
    </row>
    <row r="1590" spans="1:11" x14ac:dyDescent="0.25">
      <c r="A1590" t="s">
        <v>3178</v>
      </c>
      <c r="B1590" s="1">
        <v>45673</v>
      </c>
      <c r="C1590" t="s">
        <v>3179</v>
      </c>
      <c r="D1590" t="s">
        <v>20</v>
      </c>
      <c r="E1590" t="s">
        <v>3988</v>
      </c>
      <c r="F1590" t="s">
        <v>4520</v>
      </c>
      <c r="G1590">
        <v>8</v>
      </c>
      <c r="H1590">
        <v>803.11</v>
      </c>
      <c r="I1590">
        <v>10</v>
      </c>
      <c r="J1590" t="s">
        <v>14</v>
      </c>
      <c r="K1590">
        <v>5782.39</v>
      </c>
    </row>
    <row r="1591" spans="1:11" x14ac:dyDescent="0.25">
      <c r="A1591" t="s">
        <v>3180</v>
      </c>
      <c r="B1591" s="1">
        <v>45817</v>
      </c>
      <c r="C1591" t="s">
        <v>3181</v>
      </c>
      <c r="D1591" t="s">
        <v>24</v>
      </c>
      <c r="E1591" t="s">
        <v>3272</v>
      </c>
      <c r="F1591" t="s">
        <v>4250</v>
      </c>
      <c r="G1591">
        <v>6</v>
      </c>
      <c r="H1591">
        <v>1197.58</v>
      </c>
      <c r="I1591">
        <v>10</v>
      </c>
      <c r="J1591" t="s">
        <v>21</v>
      </c>
      <c r="K1591">
        <v>6466.93</v>
      </c>
    </row>
    <row r="1592" spans="1:11" x14ac:dyDescent="0.25">
      <c r="A1592" t="s">
        <v>3182</v>
      </c>
      <c r="B1592" s="1">
        <v>45564</v>
      </c>
      <c r="C1592" t="s">
        <v>3183</v>
      </c>
      <c r="D1592" t="s">
        <v>20</v>
      </c>
      <c r="E1592" t="s">
        <v>29</v>
      </c>
      <c r="F1592" t="s">
        <v>4482</v>
      </c>
      <c r="G1592">
        <v>4</v>
      </c>
      <c r="H1592">
        <v>411.48</v>
      </c>
      <c r="I1592">
        <v>0</v>
      </c>
      <c r="J1592" t="s">
        <v>21</v>
      </c>
      <c r="K1592">
        <v>1645.92</v>
      </c>
    </row>
    <row r="1593" spans="1:11" x14ac:dyDescent="0.25">
      <c r="A1593" t="s">
        <v>3184</v>
      </c>
      <c r="B1593" s="1">
        <v>45445</v>
      </c>
      <c r="C1593" t="s">
        <v>3185</v>
      </c>
      <c r="D1593" t="s">
        <v>24</v>
      </c>
      <c r="E1593" t="s">
        <v>3272</v>
      </c>
      <c r="F1593" t="s">
        <v>4217</v>
      </c>
      <c r="G1593">
        <v>2</v>
      </c>
      <c r="H1593">
        <v>1219.55</v>
      </c>
      <c r="I1593">
        <v>15</v>
      </c>
      <c r="J1593" t="s">
        <v>17</v>
      </c>
      <c r="K1593">
        <v>2073.23</v>
      </c>
    </row>
    <row r="1594" spans="1:11" x14ac:dyDescent="0.25">
      <c r="A1594" t="s">
        <v>3186</v>
      </c>
      <c r="B1594" s="1">
        <v>45395</v>
      </c>
      <c r="C1594" t="s">
        <v>3187</v>
      </c>
      <c r="D1594" t="s">
        <v>20</v>
      </c>
      <c r="E1594" t="s">
        <v>3272</v>
      </c>
      <c r="F1594" t="s">
        <v>4416</v>
      </c>
      <c r="G1594">
        <v>2</v>
      </c>
      <c r="H1594">
        <v>1729.95</v>
      </c>
      <c r="I1594">
        <v>0</v>
      </c>
      <c r="J1594" t="s">
        <v>17</v>
      </c>
      <c r="K1594">
        <v>3459.9</v>
      </c>
    </row>
    <row r="1595" spans="1:11" x14ac:dyDescent="0.25">
      <c r="A1595" t="s">
        <v>3188</v>
      </c>
      <c r="B1595" s="1">
        <v>45636</v>
      </c>
      <c r="C1595" t="s">
        <v>3189</v>
      </c>
      <c r="D1595" t="s">
        <v>13</v>
      </c>
      <c r="E1595" t="s">
        <v>3272</v>
      </c>
      <c r="F1595" t="s">
        <v>4691</v>
      </c>
      <c r="G1595">
        <v>9</v>
      </c>
      <c r="H1595">
        <v>1743.85</v>
      </c>
      <c r="I1595">
        <v>5</v>
      </c>
      <c r="J1595" t="s">
        <v>17</v>
      </c>
      <c r="K1595">
        <v>14909.92</v>
      </c>
    </row>
    <row r="1596" spans="1:11" x14ac:dyDescent="0.25">
      <c r="A1596" t="s">
        <v>3190</v>
      </c>
      <c r="B1596" s="1">
        <v>45708</v>
      </c>
      <c r="C1596" t="s">
        <v>3191</v>
      </c>
      <c r="D1596" t="s">
        <v>24</v>
      </c>
      <c r="E1596" t="s">
        <v>3988</v>
      </c>
      <c r="F1596" t="s">
        <v>4824</v>
      </c>
      <c r="G1596">
        <v>5</v>
      </c>
      <c r="H1596">
        <v>1462.47</v>
      </c>
      <c r="I1596">
        <v>5</v>
      </c>
      <c r="J1596" t="s">
        <v>14</v>
      </c>
      <c r="K1596">
        <v>6946.73</v>
      </c>
    </row>
    <row r="1597" spans="1:11" x14ac:dyDescent="0.25">
      <c r="A1597" t="s">
        <v>3192</v>
      </c>
      <c r="B1597" s="1">
        <v>45839</v>
      </c>
      <c r="C1597" t="s">
        <v>3193</v>
      </c>
      <c r="D1597" t="s">
        <v>24</v>
      </c>
      <c r="E1597" t="s">
        <v>29</v>
      </c>
      <c r="F1597" t="s">
        <v>4770</v>
      </c>
      <c r="G1597">
        <v>4</v>
      </c>
      <c r="H1597">
        <v>1504.22</v>
      </c>
      <c r="I1597">
        <v>10</v>
      </c>
      <c r="J1597" t="s">
        <v>39</v>
      </c>
      <c r="K1597">
        <v>5415.19</v>
      </c>
    </row>
    <row r="1598" spans="1:11" x14ac:dyDescent="0.25">
      <c r="A1598" t="s">
        <v>3194</v>
      </c>
      <c r="B1598" s="1">
        <v>45739</v>
      </c>
      <c r="C1598" t="s">
        <v>3195</v>
      </c>
      <c r="D1598" t="s">
        <v>24</v>
      </c>
      <c r="E1598" t="s">
        <v>29</v>
      </c>
      <c r="F1598" t="s">
        <v>4825</v>
      </c>
      <c r="G1598">
        <v>1</v>
      </c>
      <c r="H1598">
        <v>1137.96</v>
      </c>
      <c r="I1598">
        <v>15</v>
      </c>
      <c r="J1598" t="s">
        <v>14</v>
      </c>
      <c r="K1598">
        <v>967.27</v>
      </c>
    </row>
    <row r="1599" spans="1:11" x14ac:dyDescent="0.25">
      <c r="A1599" t="s">
        <v>3196</v>
      </c>
      <c r="B1599" s="1">
        <v>45529</v>
      </c>
      <c r="C1599" t="s">
        <v>3197</v>
      </c>
      <c r="D1599" t="s">
        <v>20</v>
      </c>
      <c r="E1599" t="s">
        <v>3988</v>
      </c>
      <c r="F1599" t="s">
        <v>4826</v>
      </c>
      <c r="G1599">
        <v>7</v>
      </c>
      <c r="H1599">
        <v>1190.0999999999999</v>
      </c>
      <c r="I1599">
        <v>20</v>
      </c>
      <c r="J1599" t="s">
        <v>39</v>
      </c>
      <c r="K1599">
        <v>6664.56</v>
      </c>
    </row>
    <row r="1600" spans="1:11" x14ac:dyDescent="0.25">
      <c r="A1600" t="s">
        <v>3198</v>
      </c>
      <c r="B1600" s="1">
        <v>45827</v>
      </c>
      <c r="C1600" t="s">
        <v>3199</v>
      </c>
      <c r="D1600" t="s">
        <v>13</v>
      </c>
      <c r="E1600" t="s">
        <v>3988</v>
      </c>
      <c r="F1600" t="s">
        <v>4635</v>
      </c>
      <c r="G1600">
        <v>3</v>
      </c>
      <c r="H1600">
        <v>310.62</v>
      </c>
      <c r="I1600">
        <v>15</v>
      </c>
      <c r="J1600" t="s">
        <v>39</v>
      </c>
      <c r="K1600">
        <v>792.08</v>
      </c>
    </row>
    <row r="1601" spans="1:11" x14ac:dyDescent="0.25">
      <c r="A1601" t="s">
        <v>3200</v>
      </c>
      <c r="B1601" s="1">
        <v>45570</v>
      </c>
      <c r="C1601" t="s">
        <v>3201</v>
      </c>
      <c r="D1601" t="s">
        <v>13</v>
      </c>
      <c r="E1601" t="s">
        <v>29</v>
      </c>
      <c r="F1601" t="s">
        <v>4564</v>
      </c>
      <c r="G1601">
        <v>6</v>
      </c>
      <c r="H1601">
        <v>915.53</v>
      </c>
      <c r="I1601">
        <v>5</v>
      </c>
      <c r="J1601" t="s">
        <v>39</v>
      </c>
      <c r="K1601">
        <v>5218.5200000000004</v>
      </c>
    </row>
    <row r="1602" spans="1:11" x14ac:dyDescent="0.25">
      <c r="A1602" t="s">
        <v>3202</v>
      </c>
      <c r="B1602" s="1">
        <v>45177</v>
      </c>
      <c r="C1602" t="s">
        <v>3203</v>
      </c>
      <c r="D1602" t="s">
        <v>13</v>
      </c>
      <c r="E1602" t="s">
        <v>3988</v>
      </c>
      <c r="F1602" t="s">
        <v>4031</v>
      </c>
      <c r="G1602">
        <v>5</v>
      </c>
      <c r="H1602">
        <v>929.01</v>
      </c>
      <c r="I1602">
        <v>20</v>
      </c>
      <c r="J1602" t="s">
        <v>21</v>
      </c>
      <c r="K1602">
        <v>3716.04</v>
      </c>
    </row>
    <row r="1603" spans="1:11" x14ac:dyDescent="0.25">
      <c r="A1603" t="s">
        <v>3204</v>
      </c>
      <c r="B1603" s="1">
        <v>45629</v>
      </c>
      <c r="C1603" t="s">
        <v>3205</v>
      </c>
      <c r="D1603" t="s">
        <v>13</v>
      </c>
      <c r="E1603" t="s">
        <v>3272</v>
      </c>
      <c r="F1603" t="s">
        <v>4097</v>
      </c>
      <c r="G1603">
        <v>5</v>
      </c>
      <c r="H1603">
        <v>1919.07</v>
      </c>
      <c r="I1603">
        <v>15</v>
      </c>
      <c r="J1603" t="s">
        <v>14</v>
      </c>
      <c r="K1603">
        <v>8156.05</v>
      </c>
    </row>
    <row r="1604" spans="1:11" x14ac:dyDescent="0.25">
      <c r="A1604" t="s">
        <v>3206</v>
      </c>
      <c r="B1604" s="1">
        <v>45203</v>
      </c>
      <c r="C1604" t="s">
        <v>3207</v>
      </c>
      <c r="D1604" t="s">
        <v>20</v>
      </c>
      <c r="E1604" t="s">
        <v>3272</v>
      </c>
      <c r="F1604" t="s">
        <v>4063</v>
      </c>
      <c r="G1604">
        <v>5</v>
      </c>
      <c r="H1604">
        <v>890.62</v>
      </c>
      <c r="I1604">
        <v>15</v>
      </c>
      <c r="J1604" t="s">
        <v>14</v>
      </c>
      <c r="K1604">
        <v>3785.14</v>
      </c>
    </row>
    <row r="1605" spans="1:11" x14ac:dyDescent="0.25">
      <c r="A1605" t="s">
        <v>3208</v>
      </c>
      <c r="B1605" s="1">
        <v>45332</v>
      </c>
      <c r="C1605" t="s">
        <v>3209</v>
      </c>
      <c r="D1605" t="s">
        <v>24</v>
      </c>
      <c r="E1605" t="s">
        <v>3988</v>
      </c>
      <c r="F1605" t="s">
        <v>4749</v>
      </c>
      <c r="G1605">
        <v>1</v>
      </c>
      <c r="H1605">
        <v>1121.22</v>
      </c>
      <c r="I1605">
        <v>20</v>
      </c>
      <c r="J1605" t="s">
        <v>14</v>
      </c>
      <c r="K1605">
        <v>896.98</v>
      </c>
    </row>
    <row r="1606" spans="1:11" x14ac:dyDescent="0.25">
      <c r="A1606" t="s">
        <v>3210</v>
      </c>
      <c r="B1606" s="1">
        <v>45640</v>
      </c>
      <c r="C1606" t="s">
        <v>3211</v>
      </c>
      <c r="D1606" t="s">
        <v>36</v>
      </c>
      <c r="E1606" t="s">
        <v>29</v>
      </c>
      <c r="F1606" t="s">
        <v>4827</v>
      </c>
      <c r="G1606">
        <v>1</v>
      </c>
      <c r="H1606">
        <v>1089.8399999999999</v>
      </c>
      <c r="I1606">
        <v>5</v>
      </c>
      <c r="J1606" t="s">
        <v>21</v>
      </c>
      <c r="K1606">
        <v>1035.3499999999999</v>
      </c>
    </row>
    <row r="1607" spans="1:11" x14ac:dyDescent="0.25">
      <c r="A1607" t="s">
        <v>3212</v>
      </c>
      <c r="B1607" s="1">
        <v>45681</v>
      </c>
      <c r="C1607" t="s">
        <v>3213</v>
      </c>
      <c r="D1607" t="s">
        <v>13</v>
      </c>
      <c r="E1607" t="s">
        <v>3272</v>
      </c>
      <c r="F1607" t="s">
        <v>4459</v>
      </c>
      <c r="G1607">
        <v>3</v>
      </c>
      <c r="H1607">
        <v>1291.69</v>
      </c>
      <c r="I1607">
        <v>15</v>
      </c>
      <c r="J1607" t="s">
        <v>21</v>
      </c>
      <c r="K1607">
        <v>3293.81</v>
      </c>
    </row>
    <row r="1608" spans="1:11" x14ac:dyDescent="0.25">
      <c r="A1608" t="s">
        <v>3214</v>
      </c>
      <c r="B1608" s="1">
        <v>45865</v>
      </c>
      <c r="C1608" t="s">
        <v>3215</v>
      </c>
      <c r="D1608" t="s">
        <v>36</v>
      </c>
      <c r="E1608" t="s">
        <v>3988</v>
      </c>
      <c r="F1608" t="s">
        <v>4209</v>
      </c>
      <c r="G1608">
        <v>4</v>
      </c>
      <c r="H1608">
        <v>1509.05</v>
      </c>
      <c r="I1608">
        <v>20</v>
      </c>
      <c r="J1608" t="s">
        <v>39</v>
      </c>
      <c r="K1608">
        <v>4828.96</v>
      </c>
    </row>
    <row r="1609" spans="1:11" x14ac:dyDescent="0.25">
      <c r="A1609" t="s">
        <v>3216</v>
      </c>
      <c r="B1609" s="1">
        <v>45373</v>
      </c>
      <c r="C1609" t="s">
        <v>3217</v>
      </c>
      <c r="D1609" t="s">
        <v>20</v>
      </c>
      <c r="E1609" t="s">
        <v>3988</v>
      </c>
      <c r="F1609" t="s">
        <v>4240</v>
      </c>
      <c r="G1609">
        <v>5</v>
      </c>
      <c r="H1609">
        <v>488.83</v>
      </c>
      <c r="I1609">
        <v>5</v>
      </c>
      <c r="J1609" t="s">
        <v>21</v>
      </c>
      <c r="K1609">
        <v>2321.94</v>
      </c>
    </row>
    <row r="1610" spans="1:11" x14ac:dyDescent="0.25">
      <c r="A1610" t="s">
        <v>3218</v>
      </c>
      <c r="B1610" s="1">
        <v>45326</v>
      </c>
      <c r="C1610" t="s">
        <v>3219</v>
      </c>
      <c r="D1610" t="s">
        <v>20</v>
      </c>
      <c r="E1610" t="s">
        <v>29</v>
      </c>
      <c r="F1610" t="s">
        <v>4147</v>
      </c>
      <c r="G1610">
        <v>2</v>
      </c>
      <c r="H1610">
        <v>1081.01</v>
      </c>
      <c r="I1610">
        <v>20</v>
      </c>
      <c r="J1610" t="s">
        <v>17</v>
      </c>
      <c r="K1610">
        <v>1729.62</v>
      </c>
    </row>
    <row r="1611" spans="1:11" x14ac:dyDescent="0.25">
      <c r="A1611" t="s">
        <v>3220</v>
      </c>
      <c r="B1611" s="1">
        <v>45730</v>
      </c>
      <c r="C1611" t="s">
        <v>3221</v>
      </c>
      <c r="D1611" t="s">
        <v>36</v>
      </c>
      <c r="E1611" t="s">
        <v>3988</v>
      </c>
      <c r="F1611" t="s">
        <v>4732</v>
      </c>
      <c r="G1611">
        <v>8</v>
      </c>
      <c r="H1611">
        <v>1660.54</v>
      </c>
      <c r="I1611">
        <v>20</v>
      </c>
      <c r="J1611" t="s">
        <v>17</v>
      </c>
      <c r="K1611">
        <v>10627.46</v>
      </c>
    </row>
    <row r="1612" spans="1:11" x14ac:dyDescent="0.25">
      <c r="A1612" t="s">
        <v>3222</v>
      </c>
      <c r="B1612" s="1">
        <v>45220</v>
      </c>
      <c r="C1612" t="s">
        <v>3223</v>
      </c>
      <c r="D1612" t="s">
        <v>24</v>
      </c>
      <c r="E1612" t="s">
        <v>3988</v>
      </c>
      <c r="F1612" t="s">
        <v>4590</v>
      </c>
      <c r="G1612">
        <v>2</v>
      </c>
      <c r="H1612">
        <v>953.07</v>
      </c>
      <c r="I1612">
        <v>15</v>
      </c>
      <c r="J1612" t="s">
        <v>17</v>
      </c>
      <c r="K1612">
        <v>1620.22</v>
      </c>
    </row>
    <row r="1613" spans="1:11" x14ac:dyDescent="0.25">
      <c r="A1613" t="s">
        <v>3224</v>
      </c>
      <c r="B1613" s="1">
        <v>45487</v>
      </c>
      <c r="C1613" t="s">
        <v>3225</v>
      </c>
      <c r="D1613" t="s">
        <v>36</v>
      </c>
      <c r="E1613" t="s">
        <v>3272</v>
      </c>
      <c r="F1613" t="s">
        <v>4168</v>
      </c>
      <c r="G1613">
        <v>9</v>
      </c>
      <c r="H1613">
        <v>592.99</v>
      </c>
      <c r="I1613">
        <v>5</v>
      </c>
      <c r="J1613" t="s">
        <v>14</v>
      </c>
      <c r="K1613">
        <v>5070.0600000000004</v>
      </c>
    </row>
    <row r="1614" spans="1:11" x14ac:dyDescent="0.25">
      <c r="A1614" t="s">
        <v>3226</v>
      </c>
      <c r="B1614" s="1">
        <v>45226</v>
      </c>
      <c r="C1614" t="s">
        <v>3227</v>
      </c>
      <c r="D1614" t="s">
        <v>20</v>
      </c>
      <c r="E1614" t="s">
        <v>29</v>
      </c>
      <c r="F1614" t="s">
        <v>4775</v>
      </c>
      <c r="G1614">
        <v>2</v>
      </c>
      <c r="H1614">
        <v>1326.68</v>
      </c>
      <c r="I1614">
        <v>15</v>
      </c>
      <c r="J1614" t="s">
        <v>17</v>
      </c>
      <c r="K1614">
        <v>2255.36</v>
      </c>
    </row>
    <row r="1615" spans="1:11" x14ac:dyDescent="0.25">
      <c r="A1615" t="s">
        <v>3228</v>
      </c>
      <c r="B1615" s="1">
        <v>45740</v>
      </c>
      <c r="C1615" t="s">
        <v>3229</v>
      </c>
      <c r="D1615" t="s">
        <v>36</v>
      </c>
      <c r="E1615" t="s">
        <v>29</v>
      </c>
      <c r="F1615" t="s">
        <v>4249</v>
      </c>
      <c r="G1615">
        <v>9</v>
      </c>
      <c r="H1615">
        <v>1656.35</v>
      </c>
      <c r="I1615">
        <v>0</v>
      </c>
      <c r="J1615" t="s">
        <v>21</v>
      </c>
      <c r="K1615">
        <v>14907.15</v>
      </c>
    </row>
    <row r="1616" spans="1:11" x14ac:dyDescent="0.25">
      <c r="A1616" t="s">
        <v>3230</v>
      </c>
      <c r="B1616" s="1">
        <v>45642</v>
      </c>
      <c r="C1616" t="s">
        <v>3231</v>
      </c>
      <c r="D1616" t="s">
        <v>13</v>
      </c>
      <c r="E1616" t="s">
        <v>3988</v>
      </c>
      <c r="F1616" t="s">
        <v>4828</v>
      </c>
      <c r="G1616">
        <v>7</v>
      </c>
      <c r="H1616">
        <v>173.12</v>
      </c>
      <c r="I1616">
        <v>0</v>
      </c>
      <c r="J1616" t="s">
        <v>14</v>
      </c>
      <c r="K1616">
        <v>1211.8399999999999</v>
      </c>
    </row>
    <row r="1617" spans="1:11" x14ac:dyDescent="0.25">
      <c r="A1617" t="s">
        <v>3232</v>
      </c>
      <c r="B1617" s="1">
        <v>45696</v>
      </c>
      <c r="C1617" t="s">
        <v>3233</v>
      </c>
      <c r="D1617" t="s">
        <v>13</v>
      </c>
      <c r="E1617" t="s">
        <v>3272</v>
      </c>
      <c r="F1617" t="s">
        <v>4003</v>
      </c>
      <c r="G1617">
        <v>8</v>
      </c>
      <c r="H1617">
        <v>1564.74</v>
      </c>
      <c r="I1617">
        <v>5</v>
      </c>
      <c r="J1617" t="s">
        <v>14</v>
      </c>
      <c r="K1617">
        <v>11892.02</v>
      </c>
    </row>
    <row r="1618" spans="1:11" x14ac:dyDescent="0.25">
      <c r="A1618" t="s">
        <v>3234</v>
      </c>
      <c r="B1618" s="1">
        <v>45827</v>
      </c>
      <c r="C1618" t="s">
        <v>3235</v>
      </c>
      <c r="D1618" t="s">
        <v>24</v>
      </c>
      <c r="E1618" t="s">
        <v>3988</v>
      </c>
      <c r="F1618" t="s">
        <v>4052</v>
      </c>
      <c r="G1618">
        <v>2</v>
      </c>
      <c r="H1618">
        <v>1652.21</v>
      </c>
      <c r="I1618">
        <v>20</v>
      </c>
      <c r="J1618" t="s">
        <v>17</v>
      </c>
      <c r="K1618">
        <v>2643.54</v>
      </c>
    </row>
    <row r="1619" spans="1:11" x14ac:dyDescent="0.25">
      <c r="A1619" t="s">
        <v>3236</v>
      </c>
      <c r="B1619" s="1">
        <v>45228</v>
      </c>
      <c r="C1619" t="s">
        <v>3237</v>
      </c>
      <c r="D1619" t="s">
        <v>36</v>
      </c>
      <c r="E1619" t="s">
        <v>3272</v>
      </c>
      <c r="F1619" t="s">
        <v>4003</v>
      </c>
      <c r="G1619">
        <v>7</v>
      </c>
      <c r="H1619">
        <v>949.97</v>
      </c>
      <c r="I1619">
        <v>15</v>
      </c>
      <c r="J1619" t="s">
        <v>39</v>
      </c>
      <c r="K1619">
        <v>5652.32</v>
      </c>
    </row>
    <row r="1620" spans="1:11" x14ac:dyDescent="0.25">
      <c r="A1620" t="s">
        <v>3238</v>
      </c>
      <c r="B1620" s="1">
        <v>45494</v>
      </c>
      <c r="C1620" t="s">
        <v>3239</v>
      </c>
      <c r="D1620" t="s">
        <v>36</v>
      </c>
      <c r="E1620" t="s">
        <v>3988</v>
      </c>
      <c r="F1620" t="s">
        <v>4227</v>
      </c>
      <c r="G1620">
        <v>6</v>
      </c>
      <c r="H1620">
        <v>1967.45</v>
      </c>
      <c r="I1620">
        <v>15</v>
      </c>
      <c r="J1620" t="s">
        <v>39</v>
      </c>
      <c r="K1620">
        <v>10034</v>
      </c>
    </row>
    <row r="1621" spans="1:11" x14ac:dyDescent="0.25">
      <c r="A1621" t="s">
        <v>3240</v>
      </c>
      <c r="B1621" s="1">
        <v>45279</v>
      </c>
      <c r="C1621" t="s">
        <v>3241</v>
      </c>
      <c r="D1621" t="s">
        <v>36</v>
      </c>
      <c r="E1621" t="s">
        <v>3988</v>
      </c>
      <c r="F1621" t="s">
        <v>4280</v>
      </c>
      <c r="G1621">
        <v>4</v>
      </c>
      <c r="H1621">
        <v>1584.08</v>
      </c>
      <c r="I1621">
        <v>5</v>
      </c>
      <c r="J1621" t="s">
        <v>21</v>
      </c>
      <c r="K1621">
        <v>6019.5</v>
      </c>
    </row>
    <row r="1622" spans="1:11" x14ac:dyDescent="0.25">
      <c r="A1622" t="s">
        <v>3242</v>
      </c>
      <c r="B1622" s="1">
        <v>45689</v>
      </c>
      <c r="C1622" t="s">
        <v>3243</v>
      </c>
      <c r="D1622" t="s">
        <v>36</v>
      </c>
      <c r="E1622" t="s">
        <v>29</v>
      </c>
      <c r="F1622" t="s">
        <v>4829</v>
      </c>
      <c r="G1622">
        <v>7</v>
      </c>
      <c r="H1622">
        <v>1558.64</v>
      </c>
      <c r="I1622">
        <v>5</v>
      </c>
      <c r="J1622" t="s">
        <v>17</v>
      </c>
      <c r="K1622">
        <v>10364.959999999999</v>
      </c>
    </row>
    <row r="1623" spans="1:11" x14ac:dyDescent="0.25">
      <c r="A1623" t="s">
        <v>3244</v>
      </c>
      <c r="B1623" s="1">
        <v>45382</v>
      </c>
      <c r="C1623" t="s">
        <v>3245</v>
      </c>
      <c r="D1623" t="s">
        <v>24</v>
      </c>
      <c r="E1623" t="s">
        <v>3988</v>
      </c>
      <c r="F1623" t="s">
        <v>4526</v>
      </c>
      <c r="G1623">
        <v>4</v>
      </c>
      <c r="H1623">
        <v>1508.29</v>
      </c>
      <c r="I1623">
        <v>0</v>
      </c>
      <c r="J1623" t="s">
        <v>21</v>
      </c>
      <c r="K1623">
        <v>6033.16</v>
      </c>
    </row>
    <row r="1624" spans="1:11" x14ac:dyDescent="0.25">
      <c r="A1624" t="s">
        <v>3246</v>
      </c>
      <c r="B1624" s="1">
        <v>45851</v>
      </c>
      <c r="C1624" t="s">
        <v>3247</v>
      </c>
      <c r="D1624" t="s">
        <v>20</v>
      </c>
      <c r="E1624" t="s">
        <v>3988</v>
      </c>
      <c r="F1624" t="s">
        <v>4830</v>
      </c>
      <c r="G1624">
        <v>2</v>
      </c>
      <c r="H1624">
        <v>343.69</v>
      </c>
      <c r="I1624">
        <v>10</v>
      </c>
      <c r="J1624" t="s">
        <v>39</v>
      </c>
      <c r="K1624">
        <v>618.64</v>
      </c>
    </row>
    <row r="1625" spans="1:11" x14ac:dyDescent="0.25">
      <c r="A1625" t="s">
        <v>3248</v>
      </c>
      <c r="B1625" s="1">
        <v>45172</v>
      </c>
      <c r="C1625" t="s">
        <v>3249</v>
      </c>
      <c r="D1625" t="s">
        <v>24</v>
      </c>
      <c r="E1625" t="s">
        <v>3272</v>
      </c>
      <c r="F1625" t="s">
        <v>4831</v>
      </c>
      <c r="G1625">
        <v>7</v>
      </c>
      <c r="H1625">
        <v>473.6</v>
      </c>
      <c r="I1625">
        <v>5</v>
      </c>
      <c r="J1625" t="s">
        <v>39</v>
      </c>
      <c r="K1625">
        <v>3149.44</v>
      </c>
    </row>
    <row r="1626" spans="1:11" x14ac:dyDescent="0.25">
      <c r="A1626" t="s">
        <v>3250</v>
      </c>
      <c r="B1626" s="1">
        <v>45185</v>
      </c>
      <c r="C1626" t="s">
        <v>3251</v>
      </c>
      <c r="D1626" t="s">
        <v>20</v>
      </c>
      <c r="E1626" t="s">
        <v>3272</v>
      </c>
      <c r="F1626" t="s">
        <v>4151</v>
      </c>
      <c r="G1626">
        <v>8</v>
      </c>
      <c r="H1626">
        <v>954.78</v>
      </c>
      <c r="I1626">
        <v>10</v>
      </c>
      <c r="J1626" t="s">
        <v>17</v>
      </c>
      <c r="K1626">
        <v>6874.42</v>
      </c>
    </row>
    <row r="1627" spans="1:11" x14ac:dyDescent="0.25">
      <c r="A1627" t="s">
        <v>3252</v>
      </c>
      <c r="B1627" s="1">
        <v>45401</v>
      </c>
      <c r="C1627" t="s">
        <v>3253</v>
      </c>
      <c r="D1627" t="s">
        <v>20</v>
      </c>
      <c r="E1627" t="s">
        <v>3272</v>
      </c>
      <c r="F1627" t="s">
        <v>4151</v>
      </c>
      <c r="G1627">
        <v>2</v>
      </c>
      <c r="H1627">
        <v>564.80999999999995</v>
      </c>
      <c r="I1627">
        <v>5</v>
      </c>
      <c r="J1627" t="s">
        <v>39</v>
      </c>
      <c r="K1627">
        <v>1073.1400000000001</v>
      </c>
    </row>
    <row r="1628" spans="1:11" x14ac:dyDescent="0.25">
      <c r="A1628" t="s">
        <v>3254</v>
      </c>
      <c r="B1628" s="1">
        <v>45768</v>
      </c>
      <c r="C1628" t="s">
        <v>3255</v>
      </c>
      <c r="D1628" t="s">
        <v>20</v>
      </c>
      <c r="E1628" t="s">
        <v>3988</v>
      </c>
      <c r="F1628" t="s">
        <v>4716</v>
      </c>
      <c r="G1628">
        <v>5</v>
      </c>
      <c r="H1628">
        <v>859.72</v>
      </c>
      <c r="I1628">
        <v>20</v>
      </c>
      <c r="J1628" t="s">
        <v>39</v>
      </c>
      <c r="K1628">
        <v>3438.88</v>
      </c>
    </row>
    <row r="1629" spans="1:11" x14ac:dyDescent="0.25">
      <c r="A1629" t="s">
        <v>3256</v>
      </c>
      <c r="B1629" s="1">
        <v>45193</v>
      </c>
      <c r="C1629" t="s">
        <v>3257</v>
      </c>
      <c r="D1629" t="s">
        <v>36</v>
      </c>
      <c r="E1629" t="s">
        <v>29</v>
      </c>
      <c r="F1629" t="s">
        <v>4697</v>
      </c>
      <c r="G1629">
        <v>1</v>
      </c>
      <c r="H1629">
        <v>1782.51</v>
      </c>
      <c r="I1629">
        <v>20</v>
      </c>
      <c r="J1629" t="s">
        <v>39</v>
      </c>
      <c r="K1629">
        <v>1426.01</v>
      </c>
    </row>
    <row r="1630" spans="1:11" x14ac:dyDescent="0.25">
      <c r="A1630" t="s">
        <v>3258</v>
      </c>
      <c r="B1630" s="1">
        <v>45377</v>
      </c>
      <c r="C1630" t="s">
        <v>3259</v>
      </c>
      <c r="D1630" t="s">
        <v>24</v>
      </c>
      <c r="E1630" t="s">
        <v>3988</v>
      </c>
      <c r="F1630" t="s">
        <v>4329</v>
      </c>
      <c r="G1630">
        <v>7</v>
      </c>
      <c r="H1630">
        <v>1657.44</v>
      </c>
      <c r="I1630">
        <v>0</v>
      </c>
      <c r="J1630" t="s">
        <v>17</v>
      </c>
      <c r="K1630">
        <v>11602.08</v>
      </c>
    </row>
    <row r="1631" spans="1:11" x14ac:dyDescent="0.25">
      <c r="A1631" t="s">
        <v>3260</v>
      </c>
      <c r="B1631" s="1">
        <v>45428</v>
      </c>
      <c r="C1631" t="s">
        <v>3261</v>
      </c>
      <c r="D1631" t="s">
        <v>20</v>
      </c>
      <c r="E1631" t="s">
        <v>3988</v>
      </c>
      <c r="F1631" t="s">
        <v>4832</v>
      </c>
      <c r="G1631">
        <v>8</v>
      </c>
      <c r="H1631">
        <v>1278.58</v>
      </c>
      <c r="I1631">
        <v>0</v>
      </c>
      <c r="J1631" t="s">
        <v>17</v>
      </c>
      <c r="K1631">
        <v>10228.64</v>
      </c>
    </row>
    <row r="1632" spans="1:11" x14ac:dyDescent="0.25">
      <c r="A1632" t="s">
        <v>3262</v>
      </c>
      <c r="B1632" s="1">
        <v>45441</v>
      </c>
      <c r="C1632" t="s">
        <v>3263</v>
      </c>
      <c r="D1632" t="s">
        <v>13</v>
      </c>
      <c r="E1632" t="s">
        <v>29</v>
      </c>
      <c r="F1632" t="s">
        <v>4833</v>
      </c>
      <c r="G1632">
        <v>6</v>
      </c>
      <c r="H1632">
        <v>1723.33</v>
      </c>
      <c r="I1632">
        <v>10</v>
      </c>
      <c r="J1632" t="s">
        <v>39</v>
      </c>
      <c r="K1632">
        <v>9305.98</v>
      </c>
    </row>
    <row r="1633" spans="1:11" x14ac:dyDescent="0.25">
      <c r="A1633" t="s">
        <v>3264</v>
      </c>
      <c r="B1633" s="1">
        <v>45484</v>
      </c>
      <c r="C1633" t="s">
        <v>3265</v>
      </c>
      <c r="D1633" t="s">
        <v>20</v>
      </c>
      <c r="E1633" t="s">
        <v>3272</v>
      </c>
      <c r="F1633" t="s">
        <v>4694</v>
      </c>
      <c r="G1633">
        <v>5</v>
      </c>
      <c r="H1633">
        <v>1578.36</v>
      </c>
      <c r="I1633">
        <v>5</v>
      </c>
      <c r="J1633" t="s">
        <v>39</v>
      </c>
      <c r="K1633">
        <v>7497.21</v>
      </c>
    </row>
    <row r="1634" spans="1:11" x14ac:dyDescent="0.25">
      <c r="A1634" t="s">
        <v>3266</v>
      </c>
      <c r="B1634" s="1">
        <v>45263</v>
      </c>
      <c r="C1634" t="s">
        <v>3267</v>
      </c>
      <c r="D1634" t="s">
        <v>24</v>
      </c>
      <c r="E1634" t="s">
        <v>3988</v>
      </c>
      <c r="F1634" t="s">
        <v>4758</v>
      </c>
      <c r="G1634">
        <v>6</v>
      </c>
      <c r="H1634">
        <v>886.52</v>
      </c>
      <c r="I1634">
        <v>15</v>
      </c>
      <c r="J1634" t="s">
        <v>14</v>
      </c>
      <c r="K1634">
        <v>4521.25</v>
      </c>
    </row>
    <row r="1635" spans="1:11" x14ac:dyDescent="0.25">
      <c r="A1635" t="s">
        <v>3268</v>
      </c>
      <c r="B1635" s="1">
        <v>45339</v>
      </c>
      <c r="C1635" t="s">
        <v>3269</v>
      </c>
      <c r="D1635" t="s">
        <v>36</v>
      </c>
      <c r="E1635" t="s">
        <v>3988</v>
      </c>
      <c r="F1635" t="s">
        <v>4452</v>
      </c>
      <c r="G1635">
        <v>2</v>
      </c>
      <c r="H1635">
        <v>442.08</v>
      </c>
      <c r="I1635">
        <v>0</v>
      </c>
      <c r="J1635" t="s">
        <v>17</v>
      </c>
      <c r="K1635">
        <v>884.16</v>
      </c>
    </row>
    <row r="1636" spans="1:11" x14ac:dyDescent="0.25">
      <c r="A1636" t="s">
        <v>3270</v>
      </c>
      <c r="B1636" s="1">
        <v>45562</v>
      </c>
      <c r="C1636" t="s">
        <v>3271</v>
      </c>
      <c r="D1636" t="s">
        <v>13</v>
      </c>
      <c r="E1636" t="s">
        <v>29</v>
      </c>
      <c r="F1636" t="s">
        <v>3999</v>
      </c>
      <c r="G1636">
        <v>1</v>
      </c>
      <c r="H1636">
        <v>1052.69</v>
      </c>
      <c r="I1636">
        <v>15</v>
      </c>
      <c r="J1636" t="s">
        <v>21</v>
      </c>
      <c r="K1636">
        <v>894.79</v>
      </c>
    </row>
    <row r="1637" spans="1:11" x14ac:dyDescent="0.25">
      <c r="A1637" t="s">
        <v>3273</v>
      </c>
      <c r="B1637" s="1">
        <v>45470</v>
      </c>
      <c r="C1637" t="s">
        <v>3274</v>
      </c>
      <c r="D1637" t="s">
        <v>20</v>
      </c>
      <c r="E1637" t="s">
        <v>3272</v>
      </c>
      <c r="F1637" t="s">
        <v>4834</v>
      </c>
      <c r="G1637">
        <v>7</v>
      </c>
      <c r="H1637">
        <v>1485.65</v>
      </c>
      <c r="I1637">
        <v>15</v>
      </c>
      <c r="J1637" t="s">
        <v>21</v>
      </c>
      <c r="K1637">
        <v>8839.6200000000008</v>
      </c>
    </row>
    <row r="1638" spans="1:11" x14ac:dyDescent="0.25">
      <c r="A1638" t="s">
        <v>3275</v>
      </c>
      <c r="B1638" s="1">
        <v>45589</v>
      </c>
      <c r="C1638" t="s">
        <v>3276</v>
      </c>
      <c r="D1638" t="s">
        <v>36</v>
      </c>
      <c r="E1638" t="s">
        <v>3988</v>
      </c>
      <c r="F1638" t="s">
        <v>4758</v>
      </c>
      <c r="G1638">
        <v>7</v>
      </c>
      <c r="H1638">
        <v>901.02</v>
      </c>
      <c r="I1638">
        <v>5</v>
      </c>
      <c r="J1638" t="s">
        <v>39</v>
      </c>
      <c r="K1638">
        <v>5991.78</v>
      </c>
    </row>
    <row r="1639" spans="1:11" x14ac:dyDescent="0.25">
      <c r="A1639" t="s">
        <v>3277</v>
      </c>
      <c r="B1639" s="1">
        <v>45679</v>
      </c>
      <c r="C1639" t="s">
        <v>827</v>
      </c>
      <c r="D1639" t="s">
        <v>24</v>
      </c>
      <c r="E1639" t="s">
        <v>3272</v>
      </c>
      <c r="F1639" t="s">
        <v>4694</v>
      </c>
      <c r="G1639">
        <v>2</v>
      </c>
      <c r="H1639">
        <v>1350.21</v>
      </c>
      <c r="I1639">
        <v>10</v>
      </c>
      <c r="J1639" t="s">
        <v>39</v>
      </c>
      <c r="K1639">
        <v>2430.38</v>
      </c>
    </row>
    <row r="1640" spans="1:11" x14ac:dyDescent="0.25">
      <c r="A1640" t="s">
        <v>3278</v>
      </c>
      <c r="B1640" s="1">
        <v>45765</v>
      </c>
      <c r="C1640" t="s">
        <v>3279</v>
      </c>
      <c r="D1640" t="s">
        <v>24</v>
      </c>
      <c r="E1640" t="s">
        <v>3988</v>
      </c>
      <c r="F1640" t="s">
        <v>4452</v>
      </c>
      <c r="G1640">
        <v>2</v>
      </c>
      <c r="H1640">
        <v>233.94</v>
      </c>
      <c r="I1640">
        <v>5</v>
      </c>
      <c r="J1640" t="s">
        <v>14</v>
      </c>
      <c r="K1640">
        <v>444.49</v>
      </c>
    </row>
    <row r="1641" spans="1:11" x14ac:dyDescent="0.25">
      <c r="A1641" t="s">
        <v>3280</v>
      </c>
      <c r="B1641" s="1">
        <v>45289</v>
      </c>
      <c r="C1641" t="s">
        <v>3281</v>
      </c>
      <c r="D1641" t="s">
        <v>13</v>
      </c>
      <c r="E1641" t="s">
        <v>29</v>
      </c>
      <c r="F1641" t="s">
        <v>3999</v>
      </c>
      <c r="G1641">
        <v>1</v>
      </c>
      <c r="H1641">
        <v>1508.61</v>
      </c>
      <c r="I1641">
        <v>0</v>
      </c>
      <c r="J1641" t="s">
        <v>14</v>
      </c>
      <c r="K1641">
        <v>1508.61</v>
      </c>
    </row>
    <row r="1642" spans="1:11" x14ac:dyDescent="0.25">
      <c r="A1642" t="s">
        <v>3282</v>
      </c>
      <c r="B1642" s="1">
        <v>45282</v>
      </c>
      <c r="C1642" t="s">
        <v>3283</v>
      </c>
      <c r="D1642" t="s">
        <v>13</v>
      </c>
      <c r="E1642" t="s">
        <v>3988</v>
      </c>
      <c r="F1642" t="s">
        <v>4329</v>
      </c>
      <c r="G1642">
        <v>8</v>
      </c>
      <c r="H1642">
        <v>1634.79</v>
      </c>
      <c r="I1642">
        <v>15</v>
      </c>
      <c r="J1642" t="s">
        <v>17</v>
      </c>
      <c r="K1642">
        <v>11116.57</v>
      </c>
    </row>
    <row r="1643" spans="1:11" x14ac:dyDescent="0.25">
      <c r="A1643" t="s">
        <v>3284</v>
      </c>
      <c r="B1643" s="1">
        <v>45285</v>
      </c>
      <c r="C1643" t="s">
        <v>3285</v>
      </c>
      <c r="D1643" t="s">
        <v>20</v>
      </c>
      <c r="E1643" t="s">
        <v>3988</v>
      </c>
      <c r="F1643" t="s">
        <v>4832</v>
      </c>
      <c r="G1643">
        <v>8</v>
      </c>
      <c r="H1643">
        <v>1428.33</v>
      </c>
      <c r="I1643">
        <v>5</v>
      </c>
      <c r="J1643" t="s">
        <v>21</v>
      </c>
      <c r="K1643">
        <v>10855.31</v>
      </c>
    </row>
    <row r="1644" spans="1:11" x14ac:dyDescent="0.25">
      <c r="A1644" t="s">
        <v>3286</v>
      </c>
      <c r="B1644" s="1">
        <v>45211</v>
      </c>
      <c r="C1644" t="s">
        <v>3287</v>
      </c>
      <c r="D1644" t="s">
        <v>36</v>
      </c>
      <c r="E1644" t="s">
        <v>29</v>
      </c>
      <c r="F1644" t="s">
        <v>4833</v>
      </c>
      <c r="G1644">
        <v>1</v>
      </c>
      <c r="H1644">
        <v>1936.16</v>
      </c>
      <c r="I1644">
        <v>5</v>
      </c>
      <c r="J1644" t="s">
        <v>14</v>
      </c>
      <c r="K1644">
        <v>1839.35</v>
      </c>
    </row>
    <row r="1645" spans="1:11" x14ac:dyDescent="0.25">
      <c r="A1645" t="s">
        <v>3288</v>
      </c>
      <c r="B1645" s="1">
        <v>45623</v>
      </c>
      <c r="C1645" t="s">
        <v>3289</v>
      </c>
      <c r="D1645" t="s">
        <v>36</v>
      </c>
      <c r="E1645" t="s">
        <v>29</v>
      </c>
      <c r="F1645" t="s">
        <v>4576</v>
      </c>
      <c r="G1645">
        <v>8</v>
      </c>
      <c r="H1645">
        <v>1661.97</v>
      </c>
      <c r="I1645">
        <v>5</v>
      </c>
      <c r="J1645" t="s">
        <v>21</v>
      </c>
      <c r="K1645">
        <v>12630.97</v>
      </c>
    </row>
    <row r="1646" spans="1:11" x14ac:dyDescent="0.25">
      <c r="A1646" t="s">
        <v>3290</v>
      </c>
      <c r="B1646" s="1">
        <v>45826</v>
      </c>
      <c r="C1646" t="s">
        <v>3291</v>
      </c>
      <c r="D1646" t="s">
        <v>24</v>
      </c>
      <c r="E1646" t="s">
        <v>3988</v>
      </c>
      <c r="F1646" t="s">
        <v>4595</v>
      </c>
      <c r="G1646">
        <v>9</v>
      </c>
      <c r="H1646">
        <v>1811.03</v>
      </c>
      <c r="I1646">
        <v>0</v>
      </c>
      <c r="J1646" t="s">
        <v>14</v>
      </c>
      <c r="K1646">
        <v>16299.27</v>
      </c>
    </row>
    <row r="1647" spans="1:11" x14ac:dyDescent="0.25">
      <c r="A1647" t="s">
        <v>3292</v>
      </c>
      <c r="B1647" s="1">
        <v>45447</v>
      </c>
      <c r="C1647" t="s">
        <v>1403</v>
      </c>
      <c r="D1647" t="s">
        <v>24</v>
      </c>
      <c r="E1647" t="s">
        <v>29</v>
      </c>
      <c r="F1647" t="s">
        <v>4273</v>
      </c>
      <c r="G1647">
        <v>4</v>
      </c>
      <c r="H1647">
        <v>1870.46</v>
      </c>
      <c r="I1647">
        <v>10</v>
      </c>
      <c r="J1647" t="s">
        <v>39</v>
      </c>
      <c r="K1647">
        <v>6733.66</v>
      </c>
    </row>
    <row r="1648" spans="1:11" x14ac:dyDescent="0.25">
      <c r="A1648" t="s">
        <v>3293</v>
      </c>
      <c r="B1648" s="1">
        <v>45631</v>
      </c>
      <c r="C1648" t="s">
        <v>3294</v>
      </c>
      <c r="D1648" t="s">
        <v>20</v>
      </c>
      <c r="E1648" t="s">
        <v>3988</v>
      </c>
      <c r="F1648" t="s">
        <v>4835</v>
      </c>
      <c r="G1648">
        <v>1</v>
      </c>
      <c r="H1648">
        <v>1612.63</v>
      </c>
      <c r="I1648">
        <v>5</v>
      </c>
      <c r="J1648" t="s">
        <v>14</v>
      </c>
      <c r="K1648">
        <v>1532</v>
      </c>
    </row>
    <row r="1649" spans="1:11" x14ac:dyDescent="0.25">
      <c r="A1649" t="s">
        <v>3295</v>
      </c>
      <c r="B1649" s="1">
        <v>45680</v>
      </c>
      <c r="C1649" t="s">
        <v>3296</v>
      </c>
      <c r="D1649" t="s">
        <v>20</v>
      </c>
      <c r="E1649" t="s">
        <v>3272</v>
      </c>
      <c r="F1649" t="s">
        <v>4142</v>
      </c>
      <c r="G1649">
        <v>1</v>
      </c>
      <c r="H1649">
        <v>1364.8</v>
      </c>
      <c r="I1649">
        <v>0</v>
      </c>
      <c r="J1649" t="s">
        <v>14</v>
      </c>
      <c r="K1649">
        <v>1364.8</v>
      </c>
    </row>
    <row r="1650" spans="1:11" x14ac:dyDescent="0.25">
      <c r="A1650" t="s">
        <v>3297</v>
      </c>
      <c r="B1650" s="1">
        <v>45337</v>
      </c>
      <c r="C1650" t="s">
        <v>3298</v>
      </c>
      <c r="D1650" t="s">
        <v>24</v>
      </c>
      <c r="E1650" t="s">
        <v>3988</v>
      </c>
      <c r="F1650" t="s">
        <v>4836</v>
      </c>
      <c r="G1650">
        <v>3</v>
      </c>
      <c r="H1650">
        <v>61.15</v>
      </c>
      <c r="I1650">
        <v>15</v>
      </c>
      <c r="J1650" t="s">
        <v>17</v>
      </c>
      <c r="K1650">
        <v>155.93</v>
      </c>
    </row>
    <row r="1651" spans="1:11" x14ac:dyDescent="0.25">
      <c r="A1651" t="s">
        <v>3299</v>
      </c>
      <c r="B1651" s="1">
        <v>45536</v>
      </c>
      <c r="C1651" t="s">
        <v>3300</v>
      </c>
      <c r="D1651" t="s">
        <v>24</v>
      </c>
      <c r="E1651" t="s">
        <v>29</v>
      </c>
      <c r="F1651" t="s">
        <v>4837</v>
      </c>
      <c r="G1651">
        <v>5</v>
      </c>
      <c r="H1651">
        <v>958.36</v>
      </c>
      <c r="I1651">
        <v>20</v>
      </c>
      <c r="J1651" t="s">
        <v>39</v>
      </c>
      <c r="K1651">
        <v>3833.44</v>
      </c>
    </row>
    <row r="1652" spans="1:11" x14ac:dyDescent="0.25">
      <c r="A1652" t="s">
        <v>3301</v>
      </c>
      <c r="B1652" s="1">
        <v>45859</v>
      </c>
      <c r="C1652" t="s">
        <v>3302</v>
      </c>
      <c r="D1652" t="s">
        <v>36</v>
      </c>
      <c r="E1652" t="s">
        <v>3988</v>
      </c>
      <c r="F1652" t="s">
        <v>4509</v>
      </c>
      <c r="G1652">
        <v>5</v>
      </c>
      <c r="H1652">
        <v>1163.77</v>
      </c>
      <c r="I1652">
        <v>0</v>
      </c>
      <c r="J1652" t="s">
        <v>39</v>
      </c>
      <c r="K1652">
        <v>5818.85</v>
      </c>
    </row>
    <row r="1653" spans="1:11" x14ac:dyDescent="0.25">
      <c r="A1653" t="s">
        <v>3303</v>
      </c>
      <c r="B1653" s="1">
        <v>45602</v>
      </c>
      <c r="C1653" t="s">
        <v>3304</v>
      </c>
      <c r="D1653" t="s">
        <v>36</v>
      </c>
      <c r="E1653" t="s">
        <v>29</v>
      </c>
      <c r="F1653" t="s">
        <v>4278</v>
      </c>
      <c r="G1653">
        <v>9</v>
      </c>
      <c r="H1653">
        <v>642.86</v>
      </c>
      <c r="I1653">
        <v>20</v>
      </c>
      <c r="J1653" t="s">
        <v>17</v>
      </c>
      <c r="K1653">
        <v>4628.59</v>
      </c>
    </row>
    <row r="1654" spans="1:11" x14ac:dyDescent="0.25">
      <c r="A1654" t="s">
        <v>3305</v>
      </c>
      <c r="B1654" s="1">
        <v>45261</v>
      </c>
      <c r="C1654" t="s">
        <v>3306</v>
      </c>
      <c r="D1654" t="s">
        <v>36</v>
      </c>
      <c r="E1654" t="s">
        <v>3272</v>
      </c>
      <c r="F1654" t="s">
        <v>4179</v>
      </c>
      <c r="G1654">
        <v>2</v>
      </c>
      <c r="H1654">
        <v>670.3</v>
      </c>
      <c r="I1654">
        <v>5</v>
      </c>
      <c r="J1654" t="s">
        <v>21</v>
      </c>
      <c r="K1654">
        <v>1273.57</v>
      </c>
    </row>
    <row r="1655" spans="1:11" x14ac:dyDescent="0.25">
      <c r="A1655" t="s">
        <v>3307</v>
      </c>
      <c r="B1655" s="1">
        <v>45330</v>
      </c>
      <c r="C1655" t="s">
        <v>3308</v>
      </c>
      <c r="D1655" t="s">
        <v>20</v>
      </c>
      <c r="E1655" t="s">
        <v>3988</v>
      </c>
      <c r="F1655" t="s">
        <v>3996</v>
      </c>
      <c r="G1655">
        <v>2</v>
      </c>
      <c r="H1655">
        <v>1924.26</v>
      </c>
      <c r="I1655">
        <v>5</v>
      </c>
      <c r="J1655" t="s">
        <v>39</v>
      </c>
      <c r="K1655">
        <v>3656.09</v>
      </c>
    </row>
    <row r="1656" spans="1:11" x14ac:dyDescent="0.25">
      <c r="A1656" t="s">
        <v>3309</v>
      </c>
      <c r="B1656" s="1">
        <v>45508</v>
      </c>
      <c r="C1656" t="s">
        <v>3310</v>
      </c>
      <c r="D1656" t="s">
        <v>36</v>
      </c>
      <c r="E1656" t="s">
        <v>3988</v>
      </c>
      <c r="F1656" t="s">
        <v>4509</v>
      </c>
      <c r="G1656">
        <v>6</v>
      </c>
      <c r="H1656">
        <v>1788.84</v>
      </c>
      <c r="I1656">
        <v>0</v>
      </c>
      <c r="J1656" t="s">
        <v>39</v>
      </c>
      <c r="K1656">
        <v>10733.04</v>
      </c>
    </row>
    <row r="1657" spans="1:11" x14ac:dyDescent="0.25">
      <c r="A1657" t="s">
        <v>3311</v>
      </c>
      <c r="B1657" s="1">
        <v>45645</v>
      </c>
      <c r="C1657" t="s">
        <v>3312</v>
      </c>
      <c r="D1657" t="s">
        <v>13</v>
      </c>
      <c r="E1657" t="s">
        <v>3988</v>
      </c>
      <c r="F1657" t="s">
        <v>4028</v>
      </c>
      <c r="G1657">
        <v>9</v>
      </c>
      <c r="H1657">
        <v>1705.9</v>
      </c>
      <c r="I1657">
        <v>20</v>
      </c>
      <c r="J1657" t="s">
        <v>17</v>
      </c>
      <c r="K1657">
        <v>12282.48</v>
      </c>
    </row>
    <row r="1658" spans="1:11" x14ac:dyDescent="0.25">
      <c r="A1658" t="s">
        <v>3313</v>
      </c>
      <c r="B1658" s="1">
        <v>45347</v>
      </c>
      <c r="C1658" t="s">
        <v>3314</v>
      </c>
      <c r="D1658" t="s">
        <v>13</v>
      </c>
      <c r="E1658" t="s">
        <v>3272</v>
      </c>
      <c r="F1658" t="s">
        <v>4637</v>
      </c>
      <c r="G1658">
        <v>1</v>
      </c>
      <c r="H1658">
        <v>841.72</v>
      </c>
      <c r="I1658">
        <v>5</v>
      </c>
      <c r="J1658" t="s">
        <v>21</v>
      </c>
      <c r="K1658">
        <v>799.63</v>
      </c>
    </row>
    <row r="1659" spans="1:11" x14ac:dyDescent="0.25">
      <c r="A1659" t="s">
        <v>3315</v>
      </c>
      <c r="B1659" s="1">
        <v>45506</v>
      </c>
      <c r="C1659" t="s">
        <v>3316</v>
      </c>
      <c r="D1659" t="s">
        <v>36</v>
      </c>
      <c r="E1659" t="s">
        <v>3988</v>
      </c>
      <c r="F1659" t="s">
        <v>4221</v>
      </c>
      <c r="G1659">
        <v>9</v>
      </c>
      <c r="H1659">
        <v>76.709999999999994</v>
      </c>
      <c r="I1659">
        <v>15</v>
      </c>
      <c r="J1659" t="s">
        <v>39</v>
      </c>
      <c r="K1659">
        <v>586.83000000000004</v>
      </c>
    </row>
    <row r="1660" spans="1:11" x14ac:dyDescent="0.25">
      <c r="A1660" t="s">
        <v>3317</v>
      </c>
      <c r="B1660" s="1">
        <v>45348</v>
      </c>
      <c r="C1660" t="s">
        <v>3318</v>
      </c>
      <c r="D1660" t="s">
        <v>36</v>
      </c>
      <c r="E1660" t="s">
        <v>29</v>
      </c>
      <c r="F1660" t="s">
        <v>4650</v>
      </c>
      <c r="G1660">
        <v>9</v>
      </c>
      <c r="H1660">
        <v>206.43</v>
      </c>
      <c r="I1660">
        <v>10</v>
      </c>
      <c r="J1660" t="s">
        <v>17</v>
      </c>
      <c r="K1660">
        <v>1672.08</v>
      </c>
    </row>
    <row r="1661" spans="1:11" x14ac:dyDescent="0.25">
      <c r="A1661" t="s">
        <v>3319</v>
      </c>
      <c r="B1661" s="1">
        <v>45667</v>
      </c>
      <c r="C1661" t="s">
        <v>3320</v>
      </c>
      <c r="D1661" t="s">
        <v>24</v>
      </c>
      <c r="E1661" t="s">
        <v>3988</v>
      </c>
      <c r="F1661" t="s">
        <v>4838</v>
      </c>
      <c r="G1661">
        <v>9</v>
      </c>
      <c r="H1661">
        <v>658.78</v>
      </c>
      <c r="I1661">
        <v>10</v>
      </c>
      <c r="J1661" t="s">
        <v>39</v>
      </c>
      <c r="K1661">
        <v>5336.12</v>
      </c>
    </row>
    <row r="1662" spans="1:11" x14ac:dyDescent="0.25">
      <c r="A1662" t="s">
        <v>3321</v>
      </c>
      <c r="B1662" s="1">
        <v>45157</v>
      </c>
      <c r="C1662" t="s">
        <v>3322</v>
      </c>
      <c r="D1662" t="s">
        <v>24</v>
      </c>
      <c r="E1662" t="s">
        <v>3988</v>
      </c>
      <c r="F1662" t="s">
        <v>4839</v>
      </c>
      <c r="G1662">
        <v>5</v>
      </c>
      <c r="H1662">
        <v>80.7</v>
      </c>
      <c r="I1662">
        <v>5</v>
      </c>
      <c r="J1662" t="s">
        <v>14</v>
      </c>
      <c r="K1662">
        <v>383.32</v>
      </c>
    </row>
    <row r="1663" spans="1:11" x14ac:dyDescent="0.25">
      <c r="A1663" t="s">
        <v>3323</v>
      </c>
      <c r="B1663" s="1">
        <v>45848</v>
      </c>
      <c r="C1663" t="s">
        <v>3324</v>
      </c>
      <c r="D1663" t="s">
        <v>20</v>
      </c>
      <c r="E1663" t="s">
        <v>3988</v>
      </c>
      <c r="F1663" t="s">
        <v>4725</v>
      </c>
      <c r="G1663">
        <v>9</v>
      </c>
      <c r="H1663">
        <v>83.44</v>
      </c>
      <c r="I1663">
        <v>20</v>
      </c>
      <c r="J1663" t="s">
        <v>21</v>
      </c>
      <c r="K1663">
        <v>600.77</v>
      </c>
    </row>
    <row r="1664" spans="1:11" x14ac:dyDescent="0.25">
      <c r="A1664" t="s">
        <v>3325</v>
      </c>
      <c r="B1664" s="1">
        <v>45774</v>
      </c>
      <c r="C1664" t="s">
        <v>3326</v>
      </c>
      <c r="D1664" t="s">
        <v>13</v>
      </c>
      <c r="E1664" t="s">
        <v>3988</v>
      </c>
      <c r="F1664" t="s">
        <v>4112</v>
      </c>
      <c r="G1664">
        <v>4</v>
      </c>
      <c r="H1664">
        <v>1837.38</v>
      </c>
      <c r="I1664">
        <v>5</v>
      </c>
      <c r="J1664" t="s">
        <v>14</v>
      </c>
      <c r="K1664">
        <v>6982.04</v>
      </c>
    </row>
    <row r="1665" spans="1:11" x14ac:dyDescent="0.25">
      <c r="A1665" t="s">
        <v>3327</v>
      </c>
      <c r="B1665" s="1">
        <v>45511</v>
      </c>
      <c r="C1665" t="s">
        <v>3328</v>
      </c>
      <c r="D1665" t="s">
        <v>13</v>
      </c>
      <c r="E1665" t="s">
        <v>3988</v>
      </c>
      <c r="F1665" t="s">
        <v>4612</v>
      </c>
      <c r="G1665">
        <v>2</v>
      </c>
      <c r="H1665">
        <v>1427.01</v>
      </c>
      <c r="I1665">
        <v>20</v>
      </c>
      <c r="J1665" t="s">
        <v>21</v>
      </c>
      <c r="K1665">
        <v>2283.2199999999998</v>
      </c>
    </row>
    <row r="1666" spans="1:11" x14ac:dyDescent="0.25">
      <c r="A1666" t="s">
        <v>3329</v>
      </c>
      <c r="B1666" s="1">
        <v>45849</v>
      </c>
      <c r="C1666" t="s">
        <v>3330</v>
      </c>
      <c r="D1666" t="s">
        <v>20</v>
      </c>
      <c r="E1666" t="s">
        <v>3988</v>
      </c>
      <c r="F1666" t="s">
        <v>4040</v>
      </c>
      <c r="G1666">
        <v>6</v>
      </c>
      <c r="H1666">
        <v>652.46</v>
      </c>
      <c r="I1666">
        <v>15</v>
      </c>
      <c r="J1666" t="s">
        <v>17</v>
      </c>
      <c r="K1666">
        <v>3327.55</v>
      </c>
    </row>
    <row r="1667" spans="1:11" x14ac:dyDescent="0.25">
      <c r="A1667" t="s">
        <v>3331</v>
      </c>
      <c r="B1667" s="1">
        <v>45373</v>
      </c>
      <c r="C1667" t="s">
        <v>3332</v>
      </c>
      <c r="D1667" t="s">
        <v>36</v>
      </c>
      <c r="E1667" t="s">
        <v>3988</v>
      </c>
      <c r="F1667" t="s">
        <v>4662</v>
      </c>
      <c r="G1667">
        <v>4</v>
      </c>
      <c r="H1667">
        <v>308.66000000000003</v>
      </c>
      <c r="I1667">
        <v>20</v>
      </c>
      <c r="J1667" t="s">
        <v>39</v>
      </c>
      <c r="K1667">
        <v>987.71</v>
      </c>
    </row>
    <row r="1668" spans="1:11" x14ac:dyDescent="0.25">
      <c r="A1668" t="s">
        <v>3333</v>
      </c>
      <c r="B1668" s="1">
        <v>45676</v>
      </c>
      <c r="C1668" t="s">
        <v>3334</v>
      </c>
      <c r="D1668" t="s">
        <v>36</v>
      </c>
      <c r="E1668" t="s">
        <v>3988</v>
      </c>
      <c r="F1668" t="s">
        <v>4506</v>
      </c>
      <c r="G1668">
        <v>6</v>
      </c>
      <c r="H1668">
        <v>1047.69</v>
      </c>
      <c r="I1668">
        <v>5</v>
      </c>
      <c r="J1668" t="s">
        <v>39</v>
      </c>
      <c r="K1668">
        <v>5971.83</v>
      </c>
    </row>
    <row r="1669" spans="1:11" x14ac:dyDescent="0.25">
      <c r="A1669" t="s">
        <v>3335</v>
      </c>
      <c r="B1669" s="1">
        <v>45574</v>
      </c>
      <c r="C1669" t="s">
        <v>3336</v>
      </c>
      <c r="D1669" t="s">
        <v>20</v>
      </c>
      <c r="E1669" t="s">
        <v>3988</v>
      </c>
      <c r="F1669" t="s">
        <v>4517</v>
      </c>
      <c r="G1669">
        <v>3</v>
      </c>
      <c r="H1669">
        <v>60.43</v>
      </c>
      <c r="I1669">
        <v>15</v>
      </c>
      <c r="J1669" t="s">
        <v>17</v>
      </c>
      <c r="K1669">
        <v>154.1</v>
      </c>
    </row>
    <row r="1670" spans="1:11" x14ac:dyDescent="0.25">
      <c r="A1670" t="s">
        <v>3337</v>
      </c>
      <c r="B1670" s="1">
        <v>45272</v>
      </c>
      <c r="C1670" t="s">
        <v>3338</v>
      </c>
      <c r="D1670" t="s">
        <v>13</v>
      </c>
      <c r="E1670" t="s">
        <v>3988</v>
      </c>
      <c r="F1670" t="s">
        <v>4784</v>
      </c>
      <c r="G1670">
        <v>6</v>
      </c>
      <c r="H1670">
        <v>1879.91</v>
      </c>
      <c r="I1670">
        <v>0</v>
      </c>
      <c r="J1670" t="s">
        <v>39</v>
      </c>
      <c r="K1670">
        <v>11279.46</v>
      </c>
    </row>
    <row r="1671" spans="1:11" x14ac:dyDescent="0.25">
      <c r="A1671" t="s">
        <v>3339</v>
      </c>
      <c r="B1671" s="1">
        <v>45207</v>
      </c>
      <c r="C1671" t="s">
        <v>3340</v>
      </c>
      <c r="D1671" t="s">
        <v>13</v>
      </c>
      <c r="E1671" t="s">
        <v>3988</v>
      </c>
      <c r="F1671" t="s">
        <v>4648</v>
      </c>
      <c r="G1671">
        <v>2</v>
      </c>
      <c r="H1671">
        <v>858.89</v>
      </c>
      <c r="I1671">
        <v>10</v>
      </c>
      <c r="J1671" t="s">
        <v>14</v>
      </c>
      <c r="K1671">
        <v>1546</v>
      </c>
    </row>
    <row r="1672" spans="1:11" x14ac:dyDescent="0.25">
      <c r="A1672" t="s">
        <v>3341</v>
      </c>
      <c r="B1672" s="1">
        <v>45493</v>
      </c>
      <c r="C1672" t="s">
        <v>3342</v>
      </c>
      <c r="D1672" t="s">
        <v>36</v>
      </c>
      <c r="E1672" t="s">
        <v>29</v>
      </c>
      <c r="F1672" t="s">
        <v>4790</v>
      </c>
      <c r="G1672">
        <v>2</v>
      </c>
      <c r="H1672">
        <v>834.55</v>
      </c>
      <c r="I1672">
        <v>5</v>
      </c>
      <c r="J1672" t="s">
        <v>17</v>
      </c>
      <c r="K1672">
        <v>1585.64</v>
      </c>
    </row>
    <row r="1673" spans="1:11" x14ac:dyDescent="0.25">
      <c r="A1673" t="s">
        <v>3343</v>
      </c>
      <c r="B1673" s="1">
        <v>45418</v>
      </c>
      <c r="C1673" t="s">
        <v>3344</v>
      </c>
      <c r="D1673" t="s">
        <v>24</v>
      </c>
      <c r="E1673" t="s">
        <v>3988</v>
      </c>
      <c r="F1673" t="s">
        <v>4698</v>
      </c>
      <c r="G1673">
        <v>9</v>
      </c>
      <c r="H1673">
        <v>811.66</v>
      </c>
      <c r="I1673">
        <v>5</v>
      </c>
      <c r="J1673" t="s">
        <v>14</v>
      </c>
      <c r="K1673">
        <v>6939.69</v>
      </c>
    </row>
    <row r="1674" spans="1:11" x14ac:dyDescent="0.25">
      <c r="A1674" t="s">
        <v>3345</v>
      </c>
      <c r="B1674" s="1">
        <v>45606</v>
      </c>
      <c r="C1674" t="s">
        <v>3346</v>
      </c>
      <c r="D1674" t="s">
        <v>20</v>
      </c>
      <c r="E1674" t="s">
        <v>29</v>
      </c>
      <c r="F1674" t="s">
        <v>4775</v>
      </c>
      <c r="G1674">
        <v>7</v>
      </c>
      <c r="H1674">
        <v>185.19</v>
      </c>
      <c r="I1674">
        <v>5</v>
      </c>
      <c r="J1674" t="s">
        <v>21</v>
      </c>
      <c r="K1674">
        <v>1231.51</v>
      </c>
    </row>
    <row r="1675" spans="1:11" x14ac:dyDescent="0.25">
      <c r="A1675" t="s">
        <v>3347</v>
      </c>
      <c r="B1675" s="1">
        <v>45382</v>
      </c>
      <c r="C1675" t="s">
        <v>3348</v>
      </c>
      <c r="D1675" t="s">
        <v>20</v>
      </c>
      <c r="E1675" t="s">
        <v>3988</v>
      </c>
      <c r="F1675" t="s">
        <v>4323</v>
      </c>
      <c r="G1675">
        <v>3</v>
      </c>
      <c r="H1675">
        <v>1294.73</v>
      </c>
      <c r="I1675">
        <v>15</v>
      </c>
      <c r="J1675" t="s">
        <v>39</v>
      </c>
      <c r="K1675">
        <v>3301.56</v>
      </c>
    </row>
    <row r="1676" spans="1:11" x14ac:dyDescent="0.25">
      <c r="A1676" t="s">
        <v>3349</v>
      </c>
      <c r="B1676" s="1">
        <v>45646</v>
      </c>
      <c r="C1676" t="s">
        <v>3350</v>
      </c>
      <c r="D1676" t="s">
        <v>36</v>
      </c>
      <c r="E1676" t="s">
        <v>3272</v>
      </c>
      <c r="F1676" t="s">
        <v>4840</v>
      </c>
      <c r="G1676">
        <v>1</v>
      </c>
      <c r="H1676">
        <v>1479.36</v>
      </c>
      <c r="I1676">
        <v>0</v>
      </c>
      <c r="J1676" t="s">
        <v>14</v>
      </c>
      <c r="K1676">
        <v>1479.36</v>
      </c>
    </row>
    <row r="1677" spans="1:11" x14ac:dyDescent="0.25">
      <c r="A1677" t="s">
        <v>3351</v>
      </c>
      <c r="B1677" s="1">
        <v>45479</v>
      </c>
      <c r="C1677" t="s">
        <v>3352</v>
      </c>
      <c r="D1677" t="s">
        <v>20</v>
      </c>
      <c r="E1677" t="s">
        <v>3988</v>
      </c>
      <c r="F1677" t="s">
        <v>4464</v>
      </c>
      <c r="G1677">
        <v>8</v>
      </c>
      <c r="H1677">
        <v>1368.44</v>
      </c>
      <c r="I1677">
        <v>20</v>
      </c>
      <c r="J1677" t="s">
        <v>39</v>
      </c>
      <c r="K1677">
        <v>8758.02</v>
      </c>
    </row>
    <row r="1678" spans="1:11" x14ac:dyDescent="0.25">
      <c r="A1678" t="s">
        <v>3353</v>
      </c>
      <c r="B1678" s="1">
        <v>45686</v>
      </c>
      <c r="C1678" t="s">
        <v>3354</v>
      </c>
      <c r="D1678" t="s">
        <v>13</v>
      </c>
      <c r="E1678" t="s">
        <v>3988</v>
      </c>
      <c r="F1678" t="s">
        <v>4817</v>
      </c>
      <c r="G1678">
        <v>6</v>
      </c>
      <c r="H1678">
        <v>319.95</v>
      </c>
      <c r="I1678">
        <v>0</v>
      </c>
      <c r="J1678" t="s">
        <v>21</v>
      </c>
      <c r="K1678">
        <v>1919.7</v>
      </c>
    </row>
    <row r="1679" spans="1:11" x14ac:dyDescent="0.25">
      <c r="A1679" t="s">
        <v>3355</v>
      </c>
      <c r="B1679" s="1">
        <v>45344</v>
      </c>
      <c r="C1679" t="s">
        <v>3356</v>
      </c>
      <c r="D1679" t="s">
        <v>36</v>
      </c>
      <c r="E1679" t="s">
        <v>3988</v>
      </c>
      <c r="F1679" t="s">
        <v>4841</v>
      </c>
      <c r="G1679">
        <v>7</v>
      </c>
      <c r="H1679">
        <v>1178.74</v>
      </c>
      <c r="I1679">
        <v>15</v>
      </c>
      <c r="J1679" t="s">
        <v>39</v>
      </c>
      <c r="K1679">
        <v>7013.5</v>
      </c>
    </row>
    <row r="1680" spans="1:11" x14ac:dyDescent="0.25">
      <c r="A1680" t="s">
        <v>3357</v>
      </c>
      <c r="B1680" s="1">
        <v>45504</v>
      </c>
      <c r="C1680" t="s">
        <v>3358</v>
      </c>
      <c r="D1680" t="s">
        <v>13</v>
      </c>
      <c r="E1680" t="s">
        <v>3988</v>
      </c>
      <c r="F1680" t="s">
        <v>4648</v>
      </c>
      <c r="G1680">
        <v>9</v>
      </c>
      <c r="H1680">
        <v>1160.49</v>
      </c>
      <c r="I1680">
        <v>5</v>
      </c>
      <c r="J1680" t="s">
        <v>21</v>
      </c>
      <c r="K1680">
        <v>9922.19</v>
      </c>
    </row>
    <row r="1681" spans="1:11" x14ac:dyDescent="0.25">
      <c r="A1681" t="s">
        <v>3359</v>
      </c>
      <c r="B1681" s="1">
        <v>45806</v>
      </c>
      <c r="C1681" t="s">
        <v>3360</v>
      </c>
      <c r="D1681" t="s">
        <v>24</v>
      </c>
      <c r="E1681" t="s">
        <v>3988</v>
      </c>
      <c r="F1681" t="s">
        <v>4842</v>
      </c>
      <c r="G1681">
        <v>5</v>
      </c>
      <c r="H1681">
        <v>1743.4</v>
      </c>
      <c r="I1681">
        <v>10</v>
      </c>
      <c r="J1681" t="s">
        <v>17</v>
      </c>
      <c r="K1681">
        <v>7845.3</v>
      </c>
    </row>
    <row r="1682" spans="1:11" x14ac:dyDescent="0.25">
      <c r="A1682" t="s">
        <v>3361</v>
      </c>
      <c r="B1682" s="1">
        <v>45384</v>
      </c>
      <c r="C1682" t="s">
        <v>3362</v>
      </c>
      <c r="D1682" t="s">
        <v>20</v>
      </c>
      <c r="E1682" t="s">
        <v>29</v>
      </c>
      <c r="F1682" t="s">
        <v>4843</v>
      </c>
      <c r="G1682">
        <v>1</v>
      </c>
      <c r="H1682">
        <v>789.3</v>
      </c>
      <c r="I1682">
        <v>5</v>
      </c>
      <c r="J1682" t="s">
        <v>39</v>
      </c>
      <c r="K1682">
        <v>749.83</v>
      </c>
    </row>
    <row r="1683" spans="1:11" x14ac:dyDescent="0.25">
      <c r="A1683" t="s">
        <v>3363</v>
      </c>
      <c r="B1683" s="1">
        <v>45304</v>
      </c>
      <c r="C1683" t="s">
        <v>3364</v>
      </c>
      <c r="D1683" t="s">
        <v>20</v>
      </c>
      <c r="E1683" t="s">
        <v>3988</v>
      </c>
      <c r="F1683" t="s">
        <v>4452</v>
      </c>
      <c r="G1683">
        <v>7</v>
      </c>
      <c r="H1683">
        <v>774.4</v>
      </c>
      <c r="I1683">
        <v>20</v>
      </c>
      <c r="J1683" t="s">
        <v>17</v>
      </c>
      <c r="K1683">
        <v>4336.6400000000003</v>
      </c>
    </row>
    <row r="1684" spans="1:11" x14ac:dyDescent="0.25">
      <c r="A1684" t="s">
        <v>3365</v>
      </c>
      <c r="B1684" s="1">
        <v>45448</v>
      </c>
      <c r="C1684" t="s">
        <v>3366</v>
      </c>
      <c r="D1684" t="s">
        <v>13</v>
      </c>
      <c r="E1684" t="s">
        <v>3272</v>
      </c>
      <c r="F1684" t="s">
        <v>4844</v>
      </c>
      <c r="G1684">
        <v>5</v>
      </c>
      <c r="H1684">
        <v>1256.1300000000001</v>
      </c>
      <c r="I1684">
        <v>10</v>
      </c>
      <c r="J1684" t="s">
        <v>21</v>
      </c>
      <c r="K1684">
        <v>5652.59</v>
      </c>
    </row>
    <row r="1685" spans="1:11" x14ac:dyDescent="0.25">
      <c r="A1685" t="s">
        <v>3367</v>
      </c>
      <c r="B1685" s="1">
        <v>45812</v>
      </c>
      <c r="C1685" t="s">
        <v>3368</v>
      </c>
      <c r="D1685" t="s">
        <v>36</v>
      </c>
      <c r="E1685" t="s">
        <v>3272</v>
      </c>
      <c r="F1685" t="s">
        <v>4443</v>
      </c>
      <c r="G1685">
        <v>3</v>
      </c>
      <c r="H1685">
        <v>1284.49</v>
      </c>
      <c r="I1685">
        <v>5</v>
      </c>
      <c r="J1685" t="s">
        <v>17</v>
      </c>
      <c r="K1685">
        <v>3660.8</v>
      </c>
    </row>
    <row r="1686" spans="1:11" x14ac:dyDescent="0.25">
      <c r="A1686" t="s">
        <v>3369</v>
      </c>
      <c r="B1686" s="1">
        <v>45525</v>
      </c>
      <c r="C1686" t="s">
        <v>3370</v>
      </c>
      <c r="D1686" t="s">
        <v>36</v>
      </c>
      <c r="E1686" t="s">
        <v>3272</v>
      </c>
      <c r="F1686" t="s">
        <v>4122</v>
      </c>
      <c r="G1686">
        <v>9</v>
      </c>
      <c r="H1686">
        <v>965.11</v>
      </c>
      <c r="I1686">
        <v>10</v>
      </c>
      <c r="J1686" t="s">
        <v>14</v>
      </c>
      <c r="K1686">
        <v>7817.39</v>
      </c>
    </row>
    <row r="1687" spans="1:11" x14ac:dyDescent="0.25">
      <c r="A1687" t="s">
        <v>3371</v>
      </c>
      <c r="B1687" s="1">
        <v>45232</v>
      </c>
      <c r="C1687" t="s">
        <v>809</v>
      </c>
      <c r="D1687" t="s">
        <v>20</v>
      </c>
      <c r="E1687" t="s">
        <v>3272</v>
      </c>
      <c r="F1687" t="s">
        <v>4771</v>
      </c>
      <c r="G1687">
        <v>1</v>
      </c>
      <c r="H1687">
        <v>913.97</v>
      </c>
      <c r="I1687">
        <v>0</v>
      </c>
      <c r="J1687" t="s">
        <v>17</v>
      </c>
      <c r="K1687">
        <v>913.97</v>
      </c>
    </row>
    <row r="1688" spans="1:11" x14ac:dyDescent="0.25">
      <c r="A1688" t="s">
        <v>3372</v>
      </c>
      <c r="B1688" s="1">
        <v>45334</v>
      </c>
      <c r="C1688" t="s">
        <v>3373</v>
      </c>
      <c r="D1688" t="s">
        <v>13</v>
      </c>
      <c r="E1688" t="s">
        <v>3988</v>
      </c>
      <c r="F1688" t="s">
        <v>4035</v>
      </c>
      <c r="G1688">
        <v>1</v>
      </c>
      <c r="H1688">
        <v>1013.59</v>
      </c>
      <c r="I1688">
        <v>15</v>
      </c>
      <c r="J1688" t="s">
        <v>14</v>
      </c>
      <c r="K1688">
        <v>861.55</v>
      </c>
    </row>
    <row r="1689" spans="1:11" x14ac:dyDescent="0.25">
      <c r="A1689" t="s">
        <v>3374</v>
      </c>
      <c r="B1689" s="1">
        <v>45446</v>
      </c>
      <c r="C1689" t="s">
        <v>3375</v>
      </c>
      <c r="D1689" t="s">
        <v>24</v>
      </c>
      <c r="E1689" t="s">
        <v>3988</v>
      </c>
      <c r="F1689" t="s">
        <v>4292</v>
      </c>
      <c r="G1689">
        <v>1</v>
      </c>
      <c r="H1689">
        <v>1729.04</v>
      </c>
      <c r="I1689">
        <v>5</v>
      </c>
      <c r="J1689" t="s">
        <v>21</v>
      </c>
      <c r="K1689">
        <v>1642.59</v>
      </c>
    </row>
    <row r="1690" spans="1:11" x14ac:dyDescent="0.25">
      <c r="A1690" t="s">
        <v>3376</v>
      </c>
      <c r="B1690" s="1">
        <v>45594</v>
      </c>
      <c r="C1690" t="s">
        <v>3377</v>
      </c>
      <c r="D1690" t="s">
        <v>13</v>
      </c>
      <c r="E1690" t="s">
        <v>3988</v>
      </c>
      <c r="F1690" t="s">
        <v>4494</v>
      </c>
      <c r="G1690">
        <v>3</v>
      </c>
      <c r="H1690">
        <v>949.28</v>
      </c>
      <c r="I1690">
        <v>20</v>
      </c>
      <c r="J1690" t="s">
        <v>21</v>
      </c>
      <c r="K1690">
        <v>2278.27</v>
      </c>
    </row>
    <row r="1691" spans="1:11" x14ac:dyDescent="0.25">
      <c r="A1691" t="s">
        <v>3378</v>
      </c>
      <c r="B1691" s="1">
        <v>45428</v>
      </c>
      <c r="C1691" t="s">
        <v>3379</v>
      </c>
      <c r="D1691" t="s">
        <v>36</v>
      </c>
      <c r="E1691" t="s">
        <v>3988</v>
      </c>
      <c r="F1691" t="s">
        <v>4344</v>
      </c>
      <c r="G1691">
        <v>6</v>
      </c>
      <c r="H1691">
        <v>1882.87</v>
      </c>
      <c r="I1691">
        <v>0</v>
      </c>
      <c r="J1691" t="s">
        <v>39</v>
      </c>
      <c r="K1691">
        <v>11297.22</v>
      </c>
    </row>
    <row r="1692" spans="1:11" x14ac:dyDescent="0.25">
      <c r="A1692" t="s">
        <v>3380</v>
      </c>
      <c r="B1692" s="1">
        <v>45596</v>
      </c>
      <c r="C1692" t="s">
        <v>3381</v>
      </c>
      <c r="D1692" t="s">
        <v>20</v>
      </c>
      <c r="E1692" t="s">
        <v>3988</v>
      </c>
      <c r="F1692" t="s">
        <v>4407</v>
      </c>
      <c r="G1692">
        <v>3</v>
      </c>
      <c r="H1692">
        <v>1032.81</v>
      </c>
      <c r="I1692">
        <v>5</v>
      </c>
      <c r="J1692" t="s">
        <v>14</v>
      </c>
      <c r="K1692">
        <v>2943.51</v>
      </c>
    </row>
    <row r="1693" spans="1:11" x14ac:dyDescent="0.25">
      <c r="A1693" t="s">
        <v>3382</v>
      </c>
      <c r="B1693" s="1">
        <v>45379</v>
      </c>
      <c r="C1693" t="s">
        <v>1235</v>
      </c>
      <c r="D1693" t="s">
        <v>20</v>
      </c>
      <c r="E1693" t="s">
        <v>3988</v>
      </c>
      <c r="F1693" t="s">
        <v>4369</v>
      </c>
      <c r="G1693">
        <v>8</v>
      </c>
      <c r="H1693">
        <v>1900.94</v>
      </c>
      <c r="I1693">
        <v>0</v>
      </c>
      <c r="J1693" t="s">
        <v>39</v>
      </c>
      <c r="K1693">
        <v>15207.52</v>
      </c>
    </row>
    <row r="1694" spans="1:11" x14ac:dyDescent="0.25">
      <c r="A1694" t="s">
        <v>3383</v>
      </c>
      <c r="B1694" s="1">
        <v>45693</v>
      </c>
      <c r="C1694" t="s">
        <v>3384</v>
      </c>
      <c r="D1694" t="s">
        <v>20</v>
      </c>
      <c r="E1694" t="s">
        <v>3988</v>
      </c>
      <c r="F1694" t="s">
        <v>4004</v>
      </c>
      <c r="G1694">
        <v>2</v>
      </c>
      <c r="H1694">
        <v>1674.02</v>
      </c>
      <c r="I1694">
        <v>20</v>
      </c>
      <c r="J1694" t="s">
        <v>39</v>
      </c>
      <c r="K1694">
        <v>2678.43</v>
      </c>
    </row>
    <row r="1695" spans="1:11" x14ac:dyDescent="0.25">
      <c r="A1695" t="s">
        <v>3385</v>
      </c>
      <c r="B1695" s="1">
        <v>45379</v>
      </c>
      <c r="C1695" t="s">
        <v>3386</v>
      </c>
      <c r="D1695" t="s">
        <v>24</v>
      </c>
      <c r="E1695" t="s">
        <v>3988</v>
      </c>
      <c r="F1695" t="s">
        <v>4282</v>
      </c>
      <c r="G1695">
        <v>9</v>
      </c>
      <c r="H1695">
        <v>756.74</v>
      </c>
      <c r="I1695">
        <v>5</v>
      </c>
      <c r="J1695" t="s">
        <v>21</v>
      </c>
      <c r="K1695">
        <v>6470.13</v>
      </c>
    </row>
    <row r="1696" spans="1:11" x14ac:dyDescent="0.25">
      <c r="A1696" t="s">
        <v>3387</v>
      </c>
      <c r="B1696" s="1">
        <v>45167</v>
      </c>
      <c r="C1696" t="s">
        <v>3388</v>
      </c>
      <c r="D1696" t="s">
        <v>24</v>
      </c>
      <c r="E1696" t="s">
        <v>29</v>
      </c>
      <c r="F1696" t="s">
        <v>4090</v>
      </c>
      <c r="G1696">
        <v>3</v>
      </c>
      <c r="H1696">
        <v>1734.1</v>
      </c>
      <c r="I1696">
        <v>20</v>
      </c>
      <c r="J1696" t="s">
        <v>17</v>
      </c>
      <c r="K1696">
        <v>4161.84</v>
      </c>
    </row>
    <row r="1697" spans="1:11" x14ac:dyDescent="0.25">
      <c r="A1697" t="s">
        <v>3389</v>
      </c>
      <c r="B1697" s="1">
        <v>45794</v>
      </c>
      <c r="C1697" t="s">
        <v>3390</v>
      </c>
      <c r="D1697" t="s">
        <v>36</v>
      </c>
      <c r="E1697" t="s">
        <v>3988</v>
      </c>
      <c r="F1697" t="s">
        <v>4845</v>
      </c>
      <c r="G1697">
        <v>5</v>
      </c>
      <c r="H1697">
        <v>264.62</v>
      </c>
      <c r="I1697">
        <v>10</v>
      </c>
      <c r="J1697" t="s">
        <v>21</v>
      </c>
      <c r="K1697">
        <v>1190.79</v>
      </c>
    </row>
    <row r="1698" spans="1:11" x14ac:dyDescent="0.25">
      <c r="A1698" t="s">
        <v>3391</v>
      </c>
      <c r="B1698" s="1">
        <v>45661</v>
      </c>
      <c r="C1698" t="s">
        <v>3392</v>
      </c>
      <c r="D1698" t="s">
        <v>13</v>
      </c>
      <c r="E1698" t="s">
        <v>3988</v>
      </c>
      <c r="F1698" t="s">
        <v>4239</v>
      </c>
      <c r="G1698">
        <v>8</v>
      </c>
      <c r="H1698">
        <v>1853.84</v>
      </c>
      <c r="I1698">
        <v>20</v>
      </c>
      <c r="J1698" t="s">
        <v>21</v>
      </c>
      <c r="K1698">
        <v>11864.58</v>
      </c>
    </row>
    <row r="1699" spans="1:11" x14ac:dyDescent="0.25">
      <c r="A1699" t="s">
        <v>3393</v>
      </c>
      <c r="B1699" s="1">
        <v>45457</v>
      </c>
      <c r="C1699" t="s">
        <v>3394</v>
      </c>
      <c r="D1699" t="s">
        <v>13</v>
      </c>
      <c r="E1699" t="s">
        <v>3988</v>
      </c>
      <c r="F1699" t="s">
        <v>4490</v>
      </c>
      <c r="G1699">
        <v>2</v>
      </c>
      <c r="H1699">
        <v>1281.7</v>
      </c>
      <c r="I1699">
        <v>10</v>
      </c>
      <c r="J1699" t="s">
        <v>17</v>
      </c>
      <c r="K1699">
        <v>2307.06</v>
      </c>
    </row>
    <row r="1700" spans="1:11" x14ac:dyDescent="0.25">
      <c r="A1700" t="s">
        <v>3395</v>
      </c>
      <c r="B1700" s="1">
        <v>45363</v>
      </c>
      <c r="C1700" t="s">
        <v>3396</v>
      </c>
      <c r="D1700" t="s">
        <v>13</v>
      </c>
      <c r="E1700" t="s">
        <v>3988</v>
      </c>
      <c r="F1700" t="s">
        <v>4076</v>
      </c>
      <c r="G1700">
        <v>6</v>
      </c>
      <c r="H1700">
        <v>156.06</v>
      </c>
      <c r="I1700">
        <v>5</v>
      </c>
      <c r="J1700" t="s">
        <v>14</v>
      </c>
      <c r="K1700">
        <v>889.54</v>
      </c>
    </row>
    <row r="1701" spans="1:11" x14ac:dyDescent="0.25">
      <c r="A1701" t="s">
        <v>3397</v>
      </c>
      <c r="B1701" s="1">
        <v>45156</v>
      </c>
      <c r="C1701" t="s">
        <v>3398</v>
      </c>
      <c r="D1701" t="s">
        <v>24</v>
      </c>
      <c r="E1701" t="s">
        <v>3988</v>
      </c>
      <c r="F1701" t="s">
        <v>4095</v>
      </c>
      <c r="G1701">
        <v>5</v>
      </c>
      <c r="H1701">
        <v>1306.3</v>
      </c>
      <c r="I1701">
        <v>10</v>
      </c>
      <c r="J1701" t="s">
        <v>14</v>
      </c>
      <c r="K1701">
        <v>5878.35</v>
      </c>
    </row>
    <row r="1702" spans="1:11" x14ac:dyDescent="0.25">
      <c r="A1702" t="s">
        <v>3399</v>
      </c>
      <c r="B1702" s="1">
        <v>45589</v>
      </c>
      <c r="C1702" t="s">
        <v>3400</v>
      </c>
      <c r="D1702" t="s">
        <v>20</v>
      </c>
      <c r="E1702" t="s">
        <v>3988</v>
      </c>
      <c r="F1702" t="s">
        <v>4110</v>
      </c>
      <c r="G1702">
        <v>9</v>
      </c>
      <c r="H1702">
        <v>1949.78</v>
      </c>
      <c r="I1702">
        <v>5</v>
      </c>
      <c r="J1702" t="s">
        <v>17</v>
      </c>
      <c r="K1702">
        <v>16670.62</v>
      </c>
    </row>
    <row r="1703" spans="1:11" x14ac:dyDescent="0.25">
      <c r="A1703" t="s">
        <v>3401</v>
      </c>
      <c r="B1703" s="1">
        <v>45821</v>
      </c>
      <c r="C1703" t="s">
        <v>3402</v>
      </c>
      <c r="D1703" t="s">
        <v>36</v>
      </c>
      <c r="E1703" t="s">
        <v>3272</v>
      </c>
      <c r="F1703" t="s">
        <v>4152</v>
      </c>
      <c r="G1703">
        <v>5</v>
      </c>
      <c r="H1703">
        <v>186.11</v>
      </c>
      <c r="I1703">
        <v>5</v>
      </c>
      <c r="J1703" t="s">
        <v>17</v>
      </c>
      <c r="K1703">
        <v>884.02</v>
      </c>
    </row>
    <row r="1704" spans="1:11" x14ac:dyDescent="0.25">
      <c r="A1704" t="s">
        <v>3403</v>
      </c>
      <c r="B1704" s="1">
        <v>45682</v>
      </c>
      <c r="C1704" t="s">
        <v>3404</v>
      </c>
      <c r="D1704" t="s">
        <v>36</v>
      </c>
      <c r="E1704" t="s">
        <v>3988</v>
      </c>
      <c r="F1704" t="s">
        <v>4846</v>
      </c>
      <c r="G1704">
        <v>2</v>
      </c>
      <c r="H1704">
        <v>1131.6400000000001</v>
      </c>
      <c r="I1704">
        <v>15</v>
      </c>
      <c r="J1704" t="s">
        <v>39</v>
      </c>
      <c r="K1704">
        <v>1923.79</v>
      </c>
    </row>
    <row r="1705" spans="1:11" x14ac:dyDescent="0.25">
      <c r="A1705" t="s">
        <v>3405</v>
      </c>
      <c r="B1705" s="1">
        <v>45754</v>
      </c>
      <c r="C1705" t="s">
        <v>3406</v>
      </c>
      <c r="D1705" t="s">
        <v>24</v>
      </c>
      <c r="E1705" t="s">
        <v>3988</v>
      </c>
      <c r="F1705" t="s">
        <v>4218</v>
      </c>
      <c r="G1705">
        <v>5</v>
      </c>
      <c r="H1705">
        <v>1508.2</v>
      </c>
      <c r="I1705">
        <v>5</v>
      </c>
      <c r="J1705" t="s">
        <v>17</v>
      </c>
      <c r="K1705">
        <v>7163.95</v>
      </c>
    </row>
    <row r="1706" spans="1:11" x14ac:dyDescent="0.25">
      <c r="A1706" t="s">
        <v>3407</v>
      </c>
      <c r="B1706" s="1">
        <v>45728</v>
      </c>
      <c r="C1706" t="s">
        <v>3408</v>
      </c>
      <c r="D1706" t="s">
        <v>24</v>
      </c>
      <c r="E1706" t="s">
        <v>3988</v>
      </c>
      <c r="F1706" t="s">
        <v>4741</v>
      </c>
      <c r="G1706">
        <v>4</v>
      </c>
      <c r="H1706">
        <v>1630</v>
      </c>
      <c r="I1706">
        <v>10</v>
      </c>
      <c r="J1706" t="s">
        <v>17</v>
      </c>
      <c r="K1706">
        <v>5868</v>
      </c>
    </row>
    <row r="1707" spans="1:11" x14ac:dyDescent="0.25">
      <c r="A1707" t="s">
        <v>3409</v>
      </c>
      <c r="B1707" s="1">
        <v>45188</v>
      </c>
      <c r="C1707" t="s">
        <v>3410</v>
      </c>
      <c r="D1707" t="s">
        <v>20</v>
      </c>
      <c r="E1707" t="s">
        <v>3988</v>
      </c>
      <c r="F1707" t="s">
        <v>4846</v>
      </c>
      <c r="G1707">
        <v>7</v>
      </c>
      <c r="H1707">
        <v>856.96</v>
      </c>
      <c r="I1707">
        <v>15</v>
      </c>
      <c r="J1707" t="s">
        <v>39</v>
      </c>
      <c r="K1707">
        <v>5098.91</v>
      </c>
    </row>
    <row r="1708" spans="1:11" x14ac:dyDescent="0.25">
      <c r="A1708" t="s">
        <v>3411</v>
      </c>
      <c r="B1708" s="1">
        <v>45857</v>
      </c>
      <c r="C1708" t="s">
        <v>3412</v>
      </c>
      <c r="D1708" t="s">
        <v>20</v>
      </c>
      <c r="E1708" t="s">
        <v>3988</v>
      </c>
      <c r="F1708" t="s">
        <v>4218</v>
      </c>
      <c r="G1708">
        <v>6</v>
      </c>
      <c r="H1708">
        <v>448.12</v>
      </c>
      <c r="I1708">
        <v>15</v>
      </c>
      <c r="J1708" t="s">
        <v>14</v>
      </c>
      <c r="K1708">
        <v>2285.41</v>
      </c>
    </row>
    <row r="1709" spans="1:11" x14ac:dyDescent="0.25">
      <c r="A1709" t="s">
        <v>3413</v>
      </c>
      <c r="B1709" s="1">
        <v>45621</v>
      </c>
      <c r="C1709" t="s">
        <v>3414</v>
      </c>
      <c r="D1709" t="s">
        <v>24</v>
      </c>
      <c r="E1709" t="s">
        <v>3988</v>
      </c>
      <c r="F1709" t="s">
        <v>4628</v>
      </c>
      <c r="G1709">
        <v>2</v>
      </c>
      <c r="H1709">
        <v>132.57</v>
      </c>
      <c r="I1709">
        <v>5</v>
      </c>
      <c r="J1709" t="s">
        <v>17</v>
      </c>
      <c r="K1709">
        <v>251.88</v>
      </c>
    </row>
    <row r="1710" spans="1:11" x14ac:dyDescent="0.25">
      <c r="A1710" t="s">
        <v>3415</v>
      </c>
      <c r="B1710" s="1">
        <v>45728</v>
      </c>
      <c r="C1710" t="s">
        <v>3416</v>
      </c>
      <c r="D1710" t="s">
        <v>36</v>
      </c>
      <c r="E1710" t="s">
        <v>3988</v>
      </c>
      <c r="F1710" t="s">
        <v>4847</v>
      </c>
      <c r="G1710">
        <v>5</v>
      </c>
      <c r="H1710">
        <v>1180.47</v>
      </c>
      <c r="I1710">
        <v>20</v>
      </c>
      <c r="J1710" t="s">
        <v>17</v>
      </c>
      <c r="K1710">
        <v>4721.88</v>
      </c>
    </row>
    <row r="1711" spans="1:11" x14ac:dyDescent="0.25">
      <c r="A1711" t="s">
        <v>3417</v>
      </c>
      <c r="B1711" s="1">
        <v>45535</v>
      </c>
      <c r="C1711" t="s">
        <v>3418</v>
      </c>
      <c r="D1711" t="s">
        <v>20</v>
      </c>
      <c r="E1711" t="s">
        <v>3988</v>
      </c>
      <c r="F1711" t="s">
        <v>4516</v>
      </c>
      <c r="G1711">
        <v>7</v>
      </c>
      <c r="H1711">
        <v>933.18</v>
      </c>
      <c r="I1711">
        <v>20</v>
      </c>
      <c r="J1711" t="s">
        <v>39</v>
      </c>
      <c r="K1711">
        <v>5225.8100000000004</v>
      </c>
    </row>
    <row r="1712" spans="1:11" x14ac:dyDescent="0.25">
      <c r="A1712" t="s">
        <v>3419</v>
      </c>
      <c r="B1712" s="1">
        <v>45796</v>
      </c>
      <c r="C1712" t="s">
        <v>3420</v>
      </c>
      <c r="D1712" t="s">
        <v>20</v>
      </c>
      <c r="E1712" t="s">
        <v>3988</v>
      </c>
      <c r="F1712" t="s">
        <v>4848</v>
      </c>
      <c r="G1712">
        <v>7</v>
      </c>
      <c r="H1712">
        <v>1900.05</v>
      </c>
      <c r="I1712">
        <v>15</v>
      </c>
      <c r="J1712" t="s">
        <v>17</v>
      </c>
      <c r="K1712">
        <v>11305.3</v>
      </c>
    </row>
    <row r="1713" spans="1:11" x14ac:dyDescent="0.25">
      <c r="A1713" t="s">
        <v>3421</v>
      </c>
      <c r="B1713" s="1">
        <v>45852</v>
      </c>
      <c r="C1713" t="s">
        <v>3422</v>
      </c>
      <c r="D1713" t="s">
        <v>36</v>
      </c>
      <c r="E1713" t="s">
        <v>3272</v>
      </c>
      <c r="F1713" t="s">
        <v>4607</v>
      </c>
      <c r="G1713">
        <v>5</v>
      </c>
      <c r="H1713">
        <v>168.18</v>
      </c>
      <c r="I1713">
        <v>5</v>
      </c>
      <c r="J1713" t="s">
        <v>39</v>
      </c>
      <c r="K1713">
        <v>798.86</v>
      </c>
    </row>
    <row r="1714" spans="1:11" x14ac:dyDescent="0.25">
      <c r="A1714" t="s">
        <v>3423</v>
      </c>
      <c r="B1714" s="1">
        <v>45851</v>
      </c>
      <c r="C1714" t="s">
        <v>3424</v>
      </c>
      <c r="D1714" t="s">
        <v>20</v>
      </c>
      <c r="E1714" t="s">
        <v>3988</v>
      </c>
      <c r="F1714" t="s">
        <v>4849</v>
      </c>
      <c r="G1714">
        <v>9</v>
      </c>
      <c r="H1714">
        <v>1386.52</v>
      </c>
      <c r="I1714">
        <v>20</v>
      </c>
      <c r="J1714" t="s">
        <v>21</v>
      </c>
      <c r="K1714">
        <v>9982.94</v>
      </c>
    </row>
    <row r="1715" spans="1:11" x14ac:dyDescent="0.25">
      <c r="A1715" t="s">
        <v>3425</v>
      </c>
      <c r="B1715" s="1">
        <v>45372</v>
      </c>
      <c r="C1715" t="s">
        <v>3426</v>
      </c>
      <c r="D1715" t="s">
        <v>36</v>
      </c>
      <c r="E1715" t="s">
        <v>3988</v>
      </c>
      <c r="F1715" t="s">
        <v>4848</v>
      </c>
      <c r="G1715">
        <v>4</v>
      </c>
      <c r="H1715">
        <v>98.68</v>
      </c>
      <c r="I1715">
        <v>5</v>
      </c>
      <c r="J1715" t="s">
        <v>39</v>
      </c>
      <c r="K1715">
        <v>374.98</v>
      </c>
    </row>
    <row r="1716" spans="1:11" x14ac:dyDescent="0.25">
      <c r="A1716" t="s">
        <v>3427</v>
      </c>
      <c r="B1716" s="1">
        <v>45752</v>
      </c>
      <c r="C1716" t="s">
        <v>3428</v>
      </c>
      <c r="D1716" t="s">
        <v>13</v>
      </c>
      <c r="E1716" t="s">
        <v>3272</v>
      </c>
      <c r="F1716" t="s">
        <v>4607</v>
      </c>
      <c r="G1716">
        <v>3</v>
      </c>
      <c r="H1716">
        <v>384.3</v>
      </c>
      <c r="I1716">
        <v>5</v>
      </c>
      <c r="J1716" t="s">
        <v>21</v>
      </c>
      <c r="K1716">
        <v>1095.26</v>
      </c>
    </row>
    <row r="1717" spans="1:11" x14ac:dyDescent="0.25">
      <c r="A1717" t="s">
        <v>3429</v>
      </c>
      <c r="B1717" s="1">
        <v>45770</v>
      </c>
      <c r="C1717" t="s">
        <v>3430</v>
      </c>
      <c r="D1717" t="s">
        <v>20</v>
      </c>
      <c r="E1717" t="s">
        <v>3988</v>
      </c>
      <c r="F1717" t="s">
        <v>4849</v>
      </c>
      <c r="G1717">
        <v>4</v>
      </c>
      <c r="H1717">
        <v>934.48</v>
      </c>
      <c r="I1717">
        <v>15</v>
      </c>
      <c r="J1717" t="s">
        <v>21</v>
      </c>
      <c r="K1717">
        <v>3177.23</v>
      </c>
    </row>
    <row r="1718" spans="1:11" x14ac:dyDescent="0.25">
      <c r="A1718" t="s">
        <v>3431</v>
      </c>
      <c r="B1718" s="1">
        <v>45328</v>
      </c>
      <c r="C1718" t="s">
        <v>3432</v>
      </c>
      <c r="D1718" t="s">
        <v>20</v>
      </c>
      <c r="E1718" t="s">
        <v>3988</v>
      </c>
      <c r="F1718" t="s">
        <v>4138</v>
      </c>
      <c r="G1718">
        <v>5</v>
      </c>
      <c r="H1718">
        <v>937</v>
      </c>
      <c r="I1718">
        <v>15</v>
      </c>
      <c r="J1718" t="s">
        <v>39</v>
      </c>
      <c r="K1718">
        <v>3982.25</v>
      </c>
    </row>
    <row r="1719" spans="1:11" x14ac:dyDescent="0.25">
      <c r="A1719" t="s">
        <v>3433</v>
      </c>
      <c r="B1719" s="1">
        <v>45621</v>
      </c>
      <c r="C1719" t="s">
        <v>3434</v>
      </c>
      <c r="D1719" t="s">
        <v>13</v>
      </c>
      <c r="E1719" t="s">
        <v>3988</v>
      </c>
      <c r="F1719" t="s">
        <v>4850</v>
      </c>
      <c r="G1719">
        <v>6</v>
      </c>
      <c r="H1719">
        <v>1387.12</v>
      </c>
      <c r="I1719">
        <v>0</v>
      </c>
      <c r="J1719" t="s">
        <v>39</v>
      </c>
      <c r="K1719">
        <v>8322.7199999999993</v>
      </c>
    </row>
    <row r="1720" spans="1:11" x14ac:dyDescent="0.25">
      <c r="A1720" t="s">
        <v>3435</v>
      </c>
      <c r="B1720" s="1">
        <v>45772</v>
      </c>
      <c r="C1720" t="s">
        <v>3436</v>
      </c>
      <c r="D1720" t="s">
        <v>36</v>
      </c>
      <c r="E1720" t="s">
        <v>3988</v>
      </c>
      <c r="F1720" t="s">
        <v>4851</v>
      </c>
      <c r="G1720">
        <v>3</v>
      </c>
      <c r="H1720">
        <v>1824.92</v>
      </c>
      <c r="I1720">
        <v>20</v>
      </c>
      <c r="J1720" t="s">
        <v>39</v>
      </c>
      <c r="K1720">
        <v>4379.8100000000004</v>
      </c>
    </row>
    <row r="1721" spans="1:11" x14ac:dyDescent="0.25">
      <c r="A1721" t="s">
        <v>3437</v>
      </c>
      <c r="B1721" s="1">
        <v>45423</v>
      </c>
      <c r="C1721" t="s">
        <v>3438</v>
      </c>
      <c r="D1721" t="s">
        <v>20</v>
      </c>
      <c r="E1721" t="s">
        <v>3988</v>
      </c>
      <c r="F1721" t="s">
        <v>4321</v>
      </c>
      <c r="G1721">
        <v>2</v>
      </c>
      <c r="H1721">
        <v>1296.1099999999999</v>
      </c>
      <c r="I1721">
        <v>20</v>
      </c>
      <c r="J1721" t="s">
        <v>14</v>
      </c>
      <c r="K1721">
        <v>2073.7800000000002</v>
      </c>
    </row>
    <row r="1722" spans="1:11" x14ac:dyDescent="0.25">
      <c r="A1722" t="s">
        <v>3439</v>
      </c>
      <c r="B1722" s="1">
        <v>45320</v>
      </c>
      <c r="C1722" t="s">
        <v>3440</v>
      </c>
      <c r="D1722" t="s">
        <v>13</v>
      </c>
      <c r="E1722" t="s">
        <v>29</v>
      </c>
      <c r="F1722" t="s">
        <v>4200</v>
      </c>
      <c r="G1722">
        <v>4</v>
      </c>
      <c r="H1722">
        <v>1909.39</v>
      </c>
      <c r="I1722">
        <v>20</v>
      </c>
      <c r="J1722" t="s">
        <v>17</v>
      </c>
      <c r="K1722">
        <v>6110.05</v>
      </c>
    </row>
    <row r="1723" spans="1:11" x14ac:dyDescent="0.25">
      <c r="A1723" t="s">
        <v>3441</v>
      </c>
      <c r="B1723" s="1">
        <v>45644</v>
      </c>
      <c r="C1723" t="s">
        <v>2733</v>
      </c>
      <c r="D1723" t="s">
        <v>36</v>
      </c>
      <c r="E1723" t="s">
        <v>3988</v>
      </c>
      <c r="F1723" t="s">
        <v>4852</v>
      </c>
      <c r="G1723">
        <v>5</v>
      </c>
      <c r="H1723">
        <v>1769.15</v>
      </c>
      <c r="I1723">
        <v>10</v>
      </c>
      <c r="J1723" t="s">
        <v>39</v>
      </c>
      <c r="K1723">
        <v>7961.18</v>
      </c>
    </row>
    <row r="1724" spans="1:11" x14ac:dyDescent="0.25">
      <c r="A1724" t="s">
        <v>3442</v>
      </c>
      <c r="B1724" s="1">
        <v>45297</v>
      </c>
      <c r="C1724" t="s">
        <v>3443</v>
      </c>
      <c r="D1724" t="s">
        <v>20</v>
      </c>
      <c r="E1724" t="s">
        <v>3988</v>
      </c>
      <c r="F1724" t="s">
        <v>4060</v>
      </c>
      <c r="G1724">
        <v>4</v>
      </c>
      <c r="H1724">
        <v>1189.77</v>
      </c>
      <c r="I1724">
        <v>5</v>
      </c>
      <c r="J1724" t="s">
        <v>21</v>
      </c>
      <c r="K1724">
        <v>4521.13</v>
      </c>
    </row>
    <row r="1725" spans="1:11" x14ac:dyDescent="0.25">
      <c r="A1725" t="s">
        <v>3444</v>
      </c>
      <c r="B1725" s="1">
        <v>45632</v>
      </c>
      <c r="C1725" t="s">
        <v>3445</v>
      </c>
      <c r="D1725" t="s">
        <v>24</v>
      </c>
      <c r="E1725" t="s">
        <v>3988</v>
      </c>
      <c r="F1725" t="s">
        <v>4186</v>
      </c>
      <c r="G1725">
        <v>3</v>
      </c>
      <c r="H1725">
        <v>1675.89</v>
      </c>
      <c r="I1725">
        <v>15</v>
      </c>
      <c r="J1725" t="s">
        <v>21</v>
      </c>
      <c r="K1725">
        <v>4273.5200000000004</v>
      </c>
    </row>
    <row r="1726" spans="1:11" x14ac:dyDescent="0.25">
      <c r="A1726" t="s">
        <v>3446</v>
      </c>
      <c r="B1726" s="1">
        <v>45344</v>
      </c>
      <c r="C1726" t="s">
        <v>3447</v>
      </c>
      <c r="D1726" t="s">
        <v>13</v>
      </c>
      <c r="E1726" t="s">
        <v>3272</v>
      </c>
      <c r="F1726" t="s">
        <v>3992</v>
      </c>
      <c r="G1726">
        <v>8</v>
      </c>
      <c r="H1726">
        <v>1303.03</v>
      </c>
      <c r="I1726">
        <v>20</v>
      </c>
      <c r="J1726" t="s">
        <v>39</v>
      </c>
      <c r="K1726">
        <v>8339.39</v>
      </c>
    </row>
    <row r="1727" spans="1:11" x14ac:dyDescent="0.25">
      <c r="A1727" t="s">
        <v>3448</v>
      </c>
      <c r="B1727" s="1">
        <v>45676</v>
      </c>
      <c r="C1727" t="s">
        <v>3449</v>
      </c>
      <c r="D1727" t="s">
        <v>36</v>
      </c>
      <c r="E1727" t="s">
        <v>3988</v>
      </c>
      <c r="F1727" t="s">
        <v>4303</v>
      </c>
      <c r="G1727">
        <v>4</v>
      </c>
      <c r="H1727">
        <v>203.19</v>
      </c>
      <c r="I1727">
        <v>0</v>
      </c>
      <c r="J1727" t="s">
        <v>17</v>
      </c>
      <c r="K1727">
        <v>812.76</v>
      </c>
    </row>
    <row r="1728" spans="1:11" x14ac:dyDescent="0.25">
      <c r="A1728" t="s">
        <v>3450</v>
      </c>
      <c r="B1728" s="1">
        <v>45736</v>
      </c>
      <c r="C1728" t="s">
        <v>3451</v>
      </c>
      <c r="D1728" t="s">
        <v>24</v>
      </c>
      <c r="E1728" t="s">
        <v>3988</v>
      </c>
      <c r="F1728" t="s">
        <v>4853</v>
      </c>
      <c r="G1728">
        <v>2</v>
      </c>
      <c r="H1728">
        <v>1494.1</v>
      </c>
      <c r="I1728">
        <v>20</v>
      </c>
      <c r="J1728" t="s">
        <v>17</v>
      </c>
      <c r="K1728">
        <v>2390.56</v>
      </c>
    </row>
    <row r="1729" spans="1:11" x14ac:dyDescent="0.25">
      <c r="A1729" t="s">
        <v>3452</v>
      </c>
      <c r="B1729" s="1">
        <v>45709</v>
      </c>
      <c r="C1729" t="s">
        <v>3453</v>
      </c>
      <c r="D1729" t="s">
        <v>36</v>
      </c>
      <c r="E1729" t="s">
        <v>3988</v>
      </c>
      <c r="F1729" t="s">
        <v>4854</v>
      </c>
      <c r="G1729">
        <v>2</v>
      </c>
      <c r="H1729">
        <v>235.07</v>
      </c>
      <c r="I1729">
        <v>5</v>
      </c>
      <c r="J1729" t="s">
        <v>17</v>
      </c>
      <c r="K1729">
        <v>446.63</v>
      </c>
    </row>
    <row r="1730" spans="1:11" x14ac:dyDescent="0.25">
      <c r="A1730" t="s">
        <v>3454</v>
      </c>
      <c r="B1730" s="1">
        <v>45746</v>
      </c>
      <c r="C1730" t="s">
        <v>3455</v>
      </c>
      <c r="D1730" t="s">
        <v>24</v>
      </c>
      <c r="E1730" t="s">
        <v>29</v>
      </c>
      <c r="F1730" t="s">
        <v>4479</v>
      </c>
      <c r="G1730">
        <v>1</v>
      </c>
      <c r="H1730">
        <v>1208.46</v>
      </c>
      <c r="I1730">
        <v>5</v>
      </c>
      <c r="J1730" t="s">
        <v>21</v>
      </c>
      <c r="K1730">
        <v>1148.04</v>
      </c>
    </row>
    <row r="1731" spans="1:11" x14ac:dyDescent="0.25">
      <c r="A1731" t="s">
        <v>3456</v>
      </c>
      <c r="B1731" s="1">
        <v>45662</v>
      </c>
      <c r="C1731" t="s">
        <v>3457</v>
      </c>
      <c r="D1731" t="s">
        <v>24</v>
      </c>
      <c r="E1731" t="s">
        <v>29</v>
      </c>
      <c r="F1731" t="s">
        <v>3998</v>
      </c>
      <c r="G1731">
        <v>4</v>
      </c>
      <c r="H1731">
        <v>1420.15</v>
      </c>
      <c r="I1731">
        <v>15</v>
      </c>
      <c r="J1731" t="s">
        <v>39</v>
      </c>
      <c r="K1731">
        <v>4828.51</v>
      </c>
    </row>
    <row r="1732" spans="1:11" x14ac:dyDescent="0.25">
      <c r="A1732" t="s">
        <v>3458</v>
      </c>
      <c r="B1732" s="1">
        <v>45678</v>
      </c>
      <c r="C1732" t="s">
        <v>3459</v>
      </c>
      <c r="D1732" t="s">
        <v>13</v>
      </c>
      <c r="E1732" t="s">
        <v>3272</v>
      </c>
      <c r="F1732" t="s">
        <v>4419</v>
      </c>
      <c r="G1732">
        <v>9</v>
      </c>
      <c r="H1732">
        <v>179.73</v>
      </c>
      <c r="I1732">
        <v>10</v>
      </c>
      <c r="J1732" t="s">
        <v>39</v>
      </c>
      <c r="K1732">
        <v>1455.81</v>
      </c>
    </row>
    <row r="1733" spans="1:11" x14ac:dyDescent="0.25">
      <c r="A1733" t="s">
        <v>3460</v>
      </c>
      <c r="B1733" s="1">
        <v>45801</v>
      </c>
      <c r="C1733" t="s">
        <v>3461</v>
      </c>
      <c r="D1733" t="s">
        <v>13</v>
      </c>
      <c r="E1733" t="s">
        <v>3272</v>
      </c>
      <c r="F1733" t="s">
        <v>4151</v>
      </c>
      <c r="G1733">
        <v>7</v>
      </c>
      <c r="H1733">
        <v>500.05</v>
      </c>
      <c r="I1733">
        <v>15</v>
      </c>
      <c r="J1733" t="s">
        <v>39</v>
      </c>
      <c r="K1733">
        <v>2975.3</v>
      </c>
    </row>
    <row r="1734" spans="1:11" x14ac:dyDescent="0.25">
      <c r="A1734" t="s">
        <v>3462</v>
      </c>
      <c r="B1734" s="1">
        <v>45256</v>
      </c>
      <c r="C1734" t="s">
        <v>3463</v>
      </c>
      <c r="D1734" t="s">
        <v>24</v>
      </c>
      <c r="E1734" t="s">
        <v>3272</v>
      </c>
      <c r="F1734" t="s">
        <v>4855</v>
      </c>
      <c r="G1734">
        <v>7</v>
      </c>
      <c r="H1734">
        <v>1835.56</v>
      </c>
      <c r="I1734">
        <v>20</v>
      </c>
      <c r="J1734" t="s">
        <v>21</v>
      </c>
      <c r="K1734">
        <v>10279.14</v>
      </c>
    </row>
    <row r="1735" spans="1:11" x14ac:dyDescent="0.25">
      <c r="A1735" t="s">
        <v>3464</v>
      </c>
      <c r="B1735" s="1">
        <v>45637</v>
      </c>
      <c r="C1735" t="s">
        <v>3465</v>
      </c>
      <c r="D1735" t="s">
        <v>13</v>
      </c>
      <c r="E1735" t="s">
        <v>3272</v>
      </c>
      <c r="F1735" t="s">
        <v>4208</v>
      </c>
      <c r="G1735">
        <v>7</v>
      </c>
      <c r="H1735">
        <v>1251.81</v>
      </c>
      <c r="I1735">
        <v>0</v>
      </c>
      <c r="J1735" t="s">
        <v>39</v>
      </c>
      <c r="K1735">
        <v>8762.67</v>
      </c>
    </row>
    <row r="1736" spans="1:11" x14ac:dyDescent="0.25">
      <c r="A1736" t="s">
        <v>3466</v>
      </c>
      <c r="B1736" s="1">
        <v>45225</v>
      </c>
      <c r="C1736" t="s">
        <v>3467</v>
      </c>
      <c r="D1736" t="s">
        <v>36</v>
      </c>
      <c r="E1736" t="s">
        <v>3988</v>
      </c>
      <c r="F1736" t="s">
        <v>4856</v>
      </c>
      <c r="G1736">
        <v>8</v>
      </c>
      <c r="H1736">
        <v>530.26</v>
      </c>
      <c r="I1736">
        <v>15</v>
      </c>
      <c r="J1736" t="s">
        <v>21</v>
      </c>
      <c r="K1736">
        <v>3605.77</v>
      </c>
    </row>
    <row r="1737" spans="1:11" x14ac:dyDescent="0.25">
      <c r="A1737" t="s">
        <v>3468</v>
      </c>
      <c r="B1737" s="1">
        <v>45851</v>
      </c>
      <c r="C1737" t="s">
        <v>3469</v>
      </c>
      <c r="D1737" t="s">
        <v>20</v>
      </c>
      <c r="E1737" t="s">
        <v>29</v>
      </c>
      <c r="F1737" t="s">
        <v>4465</v>
      </c>
      <c r="G1737">
        <v>1</v>
      </c>
      <c r="H1737">
        <v>1396.83</v>
      </c>
      <c r="I1737">
        <v>10</v>
      </c>
      <c r="J1737" t="s">
        <v>21</v>
      </c>
      <c r="K1737">
        <v>1257.1500000000001</v>
      </c>
    </row>
    <row r="1738" spans="1:11" x14ac:dyDescent="0.25">
      <c r="A1738" t="s">
        <v>3470</v>
      </c>
      <c r="B1738" s="1">
        <v>45637</v>
      </c>
      <c r="C1738" t="s">
        <v>3471</v>
      </c>
      <c r="D1738" t="s">
        <v>36</v>
      </c>
      <c r="E1738" t="s">
        <v>29</v>
      </c>
      <c r="F1738" t="s">
        <v>4479</v>
      </c>
      <c r="G1738">
        <v>8</v>
      </c>
      <c r="H1738">
        <v>1213.71</v>
      </c>
      <c r="I1738">
        <v>15</v>
      </c>
      <c r="J1738" t="s">
        <v>17</v>
      </c>
      <c r="K1738">
        <v>8253.23</v>
      </c>
    </row>
    <row r="1739" spans="1:11" x14ac:dyDescent="0.25">
      <c r="A1739" t="s">
        <v>3472</v>
      </c>
      <c r="B1739" s="1">
        <v>45652</v>
      </c>
      <c r="C1739" t="s">
        <v>3473</v>
      </c>
      <c r="D1739" t="s">
        <v>24</v>
      </c>
      <c r="E1739" t="s">
        <v>29</v>
      </c>
      <c r="F1739" t="s">
        <v>4770</v>
      </c>
      <c r="G1739">
        <v>4</v>
      </c>
      <c r="H1739">
        <v>1028.07</v>
      </c>
      <c r="I1739">
        <v>5</v>
      </c>
      <c r="J1739" t="s">
        <v>39</v>
      </c>
      <c r="K1739">
        <v>3906.67</v>
      </c>
    </row>
    <row r="1740" spans="1:11" x14ac:dyDescent="0.25">
      <c r="A1740" t="s">
        <v>3474</v>
      </c>
      <c r="B1740" s="1">
        <v>45180</v>
      </c>
      <c r="C1740" t="s">
        <v>3475</v>
      </c>
      <c r="D1740" t="s">
        <v>36</v>
      </c>
      <c r="E1740" t="s">
        <v>3988</v>
      </c>
      <c r="F1740" t="s">
        <v>4857</v>
      </c>
      <c r="G1740">
        <v>4</v>
      </c>
      <c r="H1740">
        <v>1953.56</v>
      </c>
      <c r="I1740">
        <v>20</v>
      </c>
      <c r="J1740" t="s">
        <v>39</v>
      </c>
      <c r="K1740">
        <v>6251.39</v>
      </c>
    </row>
    <row r="1741" spans="1:11" x14ac:dyDescent="0.25">
      <c r="A1741" t="s">
        <v>3476</v>
      </c>
      <c r="B1741" s="1">
        <v>45389</v>
      </c>
      <c r="C1741" t="s">
        <v>3477</v>
      </c>
      <c r="D1741" t="s">
        <v>24</v>
      </c>
      <c r="E1741" t="s">
        <v>29</v>
      </c>
      <c r="F1741" t="s">
        <v>4167</v>
      </c>
      <c r="G1741">
        <v>4</v>
      </c>
      <c r="H1741">
        <v>1382.73</v>
      </c>
      <c r="I1741">
        <v>20</v>
      </c>
      <c r="J1741" t="s">
        <v>14</v>
      </c>
      <c r="K1741">
        <v>4424.74</v>
      </c>
    </row>
    <row r="1742" spans="1:11" x14ac:dyDescent="0.25">
      <c r="A1742" t="s">
        <v>3478</v>
      </c>
      <c r="B1742" s="1">
        <v>45762</v>
      </c>
      <c r="C1742" t="s">
        <v>3479</v>
      </c>
      <c r="D1742" t="s">
        <v>36</v>
      </c>
      <c r="E1742" t="s">
        <v>29</v>
      </c>
      <c r="F1742" t="s">
        <v>4858</v>
      </c>
      <c r="G1742">
        <v>6</v>
      </c>
      <c r="H1742">
        <v>782.11</v>
      </c>
      <c r="I1742">
        <v>20</v>
      </c>
      <c r="J1742" t="s">
        <v>17</v>
      </c>
      <c r="K1742">
        <v>3754.13</v>
      </c>
    </row>
    <row r="1743" spans="1:11" x14ac:dyDescent="0.25">
      <c r="A1743" t="s">
        <v>3480</v>
      </c>
      <c r="B1743" s="1">
        <v>45492</v>
      </c>
      <c r="C1743" t="s">
        <v>3481</v>
      </c>
      <c r="D1743" t="s">
        <v>36</v>
      </c>
      <c r="E1743" t="s">
        <v>3272</v>
      </c>
      <c r="F1743" t="s">
        <v>4397</v>
      </c>
      <c r="G1743">
        <v>7</v>
      </c>
      <c r="H1743">
        <v>1610.14</v>
      </c>
      <c r="I1743">
        <v>20</v>
      </c>
      <c r="J1743" t="s">
        <v>21</v>
      </c>
      <c r="K1743">
        <v>9016.7800000000007</v>
      </c>
    </row>
    <row r="1744" spans="1:11" x14ac:dyDescent="0.25">
      <c r="A1744" t="s">
        <v>3482</v>
      </c>
      <c r="B1744" s="1">
        <v>45175</v>
      </c>
      <c r="C1744" t="s">
        <v>3483</v>
      </c>
      <c r="D1744" t="s">
        <v>13</v>
      </c>
      <c r="E1744" t="s">
        <v>3988</v>
      </c>
      <c r="F1744" t="s">
        <v>4859</v>
      </c>
      <c r="G1744">
        <v>6</v>
      </c>
      <c r="H1744">
        <v>1774.94</v>
      </c>
      <c r="I1744">
        <v>20</v>
      </c>
      <c r="J1744" t="s">
        <v>17</v>
      </c>
      <c r="K1744">
        <v>8519.7099999999991</v>
      </c>
    </row>
    <row r="1745" spans="1:11" x14ac:dyDescent="0.25">
      <c r="A1745" t="s">
        <v>3484</v>
      </c>
      <c r="B1745" s="1">
        <v>45600</v>
      </c>
      <c r="C1745" t="s">
        <v>3485</v>
      </c>
      <c r="D1745" t="s">
        <v>24</v>
      </c>
      <c r="E1745" t="s">
        <v>3988</v>
      </c>
      <c r="F1745" t="s">
        <v>4850</v>
      </c>
      <c r="G1745">
        <v>1</v>
      </c>
      <c r="H1745">
        <v>294.18</v>
      </c>
      <c r="I1745">
        <v>20</v>
      </c>
      <c r="J1745" t="s">
        <v>14</v>
      </c>
      <c r="K1745">
        <v>235.34</v>
      </c>
    </row>
    <row r="1746" spans="1:11" x14ac:dyDescent="0.25">
      <c r="A1746" t="s">
        <v>3486</v>
      </c>
      <c r="B1746" s="1">
        <v>45433</v>
      </c>
      <c r="C1746" t="s">
        <v>3487</v>
      </c>
      <c r="D1746" t="s">
        <v>24</v>
      </c>
      <c r="E1746" t="s">
        <v>3272</v>
      </c>
      <c r="F1746" t="s">
        <v>4397</v>
      </c>
      <c r="G1746">
        <v>8</v>
      </c>
      <c r="H1746">
        <v>441.08</v>
      </c>
      <c r="I1746">
        <v>0</v>
      </c>
      <c r="J1746" t="s">
        <v>17</v>
      </c>
      <c r="K1746">
        <v>3528.64</v>
      </c>
    </row>
    <row r="1747" spans="1:11" x14ac:dyDescent="0.25">
      <c r="A1747" t="s">
        <v>3488</v>
      </c>
      <c r="B1747" s="1">
        <v>45718</v>
      </c>
      <c r="C1747" t="s">
        <v>3489</v>
      </c>
      <c r="D1747" t="s">
        <v>20</v>
      </c>
      <c r="E1747" t="s">
        <v>3988</v>
      </c>
      <c r="F1747" t="s">
        <v>4859</v>
      </c>
      <c r="G1747">
        <v>7</v>
      </c>
      <c r="H1747">
        <v>471.64</v>
      </c>
      <c r="I1747">
        <v>10</v>
      </c>
      <c r="J1747" t="s">
        <v>17</v>
      </c>
      <c r="K1747">
        <v>2971.33</v>
      </c>
    </row>
    <row r="1748" spans="1:11" x14ac:dyDescent="0.25">
      <c r="A1748" t="s">
        <v>3490</v>
      </c>
      <c r="B1748" s="1">
        <v>45252</v>
      </c>
      <c r="C1748" t="s">
        <v>3491</v>
      </c>
      <c r="D1748" t="s">
        <v>36</v>
      </c>
      <c r="E1748" t="s">
        <v>3988</v>
      </c>
      <c r="F1748" t="s">
        <v>4850</v>
      </c>
      <c r="G1748">
        <v>6</v>
      </c>
      <c r="H1748">
        <v>1397.86</v>
      </c>
      <c r="I1748">
        <v>20</v>
      </c>
      <c r="J1748" t="s">
        <v>14</v>
      </c>
      <c r="K1748">
        <v>6709.73</v>
      </c>
    </row>
    <row r="1749" spans="1:11" x14ac:dyDescent="0.25">
      <c r="A1749" t="s">
        <v>3492</v>
      </c>
      <c r="B1749" s="1">
        <v>45220</v>
      </c>
      <c r="C1749" t="s">
        <v>3493</v>
      </c>
      <c r="D1749" t="s">
        <v>36</v>
      </c>
      <c r="E1749" t="s">
        <v>3988</v>
      </c>
      <c r="F1749" t="s">
        <v>4041</v>
      </c>
      <c r="G1749">
        <v>6</v>
      </c>
      <c r="H1749">
        <v>1225.93</v>
      </c>
      <c r="I1749">
        <v>10</v>
      </c>
      <c r="J1749" t="s">
        <v>17</v>
      </c>
      <c r="K1749">
        <v>6620.02</v>
      </c>
    </row>
    <row r="1750" spans="1:11" x14ac:dyDescent="0.25">
      <c r="A1750" t="s">
        <v>3494</v>
      </c>
      <c r="B1750" s="1">
        <v>45856</v>
      </c>
      <c r="C1750" t="s">
        <v>3495</v>
      </c>
      <c r="D1750" t="s">
        <v>20</v>
      </c>
      <c r="E1750" t="s">
        <v>3988</v>
      </c>
      <c r="F1750" t="s">
        <v>4539</v>
      </c>
      <c r="G1750">
        <v>5</v>
      </c>
      <c r="H1750">
        <v>1257.03</v>
      </c>
      <c r="I1750">
        <v>20</v>
      </c>
      <c r="J1750" t="s">
        <v>17</v>
      </c>
      <c r="K1750">
        <v>5028.12</v>
      </c>
    </row>
    <row r="1751" spans="1:11" x14ac:dyDescent="0.25">
      <c r="A1751" t="s">
        <v>3496</v>
      </c>
      <c r="B1751" s="1">
        <v>45379</v>
      </c>
      <c r="C1751" t="s">
        <v>3497</v>
      </c>
      <c r="D1751" t="s">
        <v>24</v>
      </c>
      <c r="E1751" t="s">
        <v>29</v>
      </c>
      <c r="F1751" t="s">
        <v>4858</v>
      </c>
      <c r="G1751">
        <v>6</v>
      </c>
      <c r="H1751">
        <v>1884.51</v>
      </c>
      <c r="I1751">
        <v>15</v>
      </c>
      <c r="J1751" t="s">
        <v>14</v>
      </c>
      <c r="K1751">
        <v>9611</v>
      </c>
    </row>
    <row r="1752" spans="1:11" x14ac:dyDescent="0.25">
      <c r="A1752" t="s">
        <v>3498</v>
      </c>
      <c r="B1752" s="1">
        <v>45403</v>
      </c>
      <c r="C1752" t="s">
        <v>3499</v>
      </c>
      <c r="D1752" t="s">
        <v>36</v>
      </c>
      <c r="E1752" t="s">
        <v>3988</v>
      </c>
      <c r="F1752" t="s">
        <v>4860</v>
      </c>
      <c r="G1752">
        <v>9</v>
      </c>
      <c r="H1752">
        <v>1563.03</v>
      </c>
      <c r="I1752">
        <v>20</v>
      </c>
      <c r="J1752" t="s">
        <v>14</v>
      </c>
      <c r="K1752">
        <v>11253.82</v>
      </c>
    </row>
    <row r="1753" spans="1:11" x14ac:dyDescent="0.25">
      <c r="A1753" t="s">
        <v>3500</v>
      </c>
      <c r="B1753" s="1">
        <v>45730</v>
      </c>
      <c r="C1753" t="s">
        <v>3501</v>
      </c>
      <c r="D1753" t="s">
        <v>20</v>
      </c>
      <c r="E1753" t="s">
        <v>3272</v>
      </c>
      <c r="F1753" t="s">
        <v>4788</v>
      </c>
      <c r="G1753">
        <v>9</v>
      </c>
      <c r="H1753">
        <v>299.48</v>
      </c>
      <c r="I1753">
        <v>5</v>
      </c>
      <c r="J1753" t="s">
        <v>21</v>
      </c>
      <c r="K1753">
        <v>2560.5500000000002</v>
      </c>
    </row>
    <row r="1754" spans="1:11" x14ac:dyDescent="0.25">
      <c r="A1754" t="s">
        <v>3502</v>
      </c>
      <c r="B1754" s="1">
        <v>45472</v>
      </c>
      <c r="C1754" t="s">
        <v>3503</v>
      </c>
      <c r="D1754" t="s">
        <v>20</v>
      </c>
      <c r="E1754" t="s">
        <v>3988</v>
      </c>
      <c r="F1754" t="s">
        <v>3990</v>
      </c>
      <c r="G1754">
        <v>8</v>
      </c>
      <c r="H1754">
        <v>727.64</v>
      </c>
      <c r="I1754">
        <v>0</v>
      </c>
      <c r="J1754" t="s">
        <v>14</v>
      </c>
      <c r="K1754">
        <v>5821.12</v>
      </c>
    </row>
    <row r="1755" spans="1:11" x14ac:dyDescent="0.25">
      <c r="A1755" t="s">
        <v>3504</v>
      </c>
      <c r="B1755" s="1">
        <v>45286</v>
      </c>
      <c r="C1755" t="s">
        <v>3505</v>
      </c>
      <c r="D1755" t="s">
        <v>20</v>
      </c>
      <c r="E1755" t="s">
        <v>3988</v>
      </c>
      <c r="F1755" t="s">
        <v>4276</v>
      </c>
      <c r="G1755">
        <v>9</v>
      </c>
      <c r="H1755">
        <v>899.02</v>
      </c>
      <c r="I1755">
        <v>15</v>
      </c>
      <c r="J1755" t="s">
        <v>39</v>
      </c>
      <c r="K1755">
        <v>6877.5</v>
      </c>
    </row>
    <row r="1756" spans="1:11" x14ac:dyDescent="0.25">
      <c r="A1756" t="s">
        <v>3506</v>
      </c>
      <c r="B1756" s="1">
        <v>45305</v>
      </c>
      <c r="C1756" t="s">
        <v>3507</v>
      </c>
      <c r="D1756" t="s">
        <v>36</v>
      </c>
      <c r="E1756" t="s">
        <v>3272</v>
      </c>
      <c r="F1756" t="s">
        <v>4861</v>
      </c>
      <c r="G1756">
        <v>8</v>
      </c>
      <c r="H1756">
        <v>822.13</v>
      </c>
      <c r="I1756">
        <v>15</v>
      </c>
      <c r="J1756" t="s">
        <v>39</v>
      </c>
      <c r="K1756">
        <v>5590.48</v>
      </c>
    </row>
    <row r="1757" spans="1:11" x14ac:dyDescent="0.25">
      <c r="A1757" t="s">
        <v>3508</v>
      </c>
      <c r="B1757" s="1">
        <v>45252</v>
      </c>
      <c r="C1757" t="s">
        <v>3509</v>
      </c>
      <c r="D1757" t="s">
        <v>24</v>
      </c>
      <c r="E1757" t="s">
        <v>3988</v>
      </c>
      <c r="F1757" t="s">
        <v>4862</v>
      </c>
      <c r="G1757">
        <v>8</v>
      </c>
      <c r="H1757">
        <v>1355.15</v>
      </c>
      <c r="I1757">
        <v>5</v>
      </c>
      <c r="J1757" t="s">
        <v>39</v>
      </c>
      <c r="K1757">
        <v>10299.14</v>
      </c>
    </row>
    <row r="1758" spans="1:11" x14ac:dyDescent="0.25">
      <c r="A1758" t="s">
        <v>3510</v>
      </c>
      <c r="B1758" s="1">
        <v>45760</v>
      </c>
      <c r="C1758" t="s">
        <v>3511</v>
      </c>
      <c r="D1758" t="s">
        <v>24</v>
      </c>
      <c r="E1758" t="s">
        <v>3988</v>
      </c>
      <c r="F1758" t="s">
        <v>4718</v>
      </c>
      <c r="G1758">
        <v>1</v>
      </c>
      <c r="H1758">
        <v>1789.19</v>
      </c>
      <c r="I1758">
        <v>20</v>
      </c>
      <c r="J1758" t="s">
        <v>21</v>
      </c>
      <c r="K1758">
        <v>1431.35</v>
      </c>
    </row>
    <row r="1759" spans="1:11" x14ac:dyDescent="0.25">
      <c r="A1759" t="s">
        <v>3512</v>
      </c>
      <c r="B1759" s="1">
        <v>45568</v>
      </c>
      <c r="C1759" t="s">
        <v>3513</v>
      </c>
      <c r="D1759" t="s">
        <v>20</v>
      </c>
      <c r="E1759" t="s">
        <v>3988</v>
      </c>
      <c r="F1759" t="s">
        <v>4863</v>
      </c>
      <c r="G1759">
        <v>5</v>
      </c>
      <c r="H1759">
        <v>646.79999999999995</v>
      </c>
      <c r="I1759">
        <v>0</v>
      </c>
      <c r="J1759" t="s">
        <v>17</v>
      </c>
      <c r="K1759">
        <v>3234</v>
      </c>
    </row>
    <row r="1760" spans="1:11" x14ac:dyDescent="0.25">
      <c r="A1760" t="s">
        <v>3514</v>
      </c>
      <c r="B1760" s="1">
        <v>45830</v>
      </c>
      <c r="C1760" t="s">
        <v>3515</v>
      </c>
      <c r="D1760" t="s">
        <v>20</v>
      </c>
      <c r="E1760" t="s">
        <v>3272</v>
      </c>
      <c r="F1760" t="s">
        <v>4296</v>
      </c>
      <c r="G1760">
        <v>4</v>
      </c>
      <c r="H1760">
        <v>1126.1600000000001</v>
      </c>
      <c r="I1760">
        <v>15</v>
      </c>
      <c r="J1760" t="s">
        <v>14</v>
      </c>
      <c r="K1760">
        <v>3828.94</v>
      </c>
    </row>
    <row r="1761" spans="1:11" x14ac:dyDescent="0.25">
      <c r="A1761" t="s">
        <v>3516</v>
      </c>
      <c r="B1761" s="1">
        <v>45434</v>
      </c>
      <c r="C1761" t="s">
        <v>3517</v>
      </c>
      <c r="D1761" t="s">
        <v>24</v>
      </c>
      <c r="E1761" t="s">
        <v>29</v>
      </c>
      <c r="F1761" t="s">
        <v>4864</v>
      </c>
      <c r="G1761">
        <v>2</v>
      </c>
      <c r="H1761">
        <v>1589.35</v>
      </c>
      <c r="I1761">
        <v>0</v>
      </c>
      <c r="J1761" t="s">
        <v>21</v>
      </c>
      <c r="K1761">
        <v>3178.7</v>
      </c>
    </row>
    <row r="1762" spans="1:11" x14ac:dyDescent="0.25">
      <c r="A1762" t="s">
        <v>3518</v>
      </c>
      <c r="B1762" s="1">
        <v>45562</v>
      </c>
      <c r="C1762" t="s">
        <v>3519</v>
      </c>
      <c r="D1762" t="s">
        <v>20</v>
      </c>
      <c r="E1762" t="s">
        <v>3988</v>
      </c>
      <c r="F1762" t="s">
        <v>4865</v>
      </c>
      <c r="G1762">
        <v>8</v>
      </c>
      <c r="H1762">
        <v>861.63</v>
      </c>
      <c r="I1762">
        <v>15</v>
      </c>
      <c r="J1762" t="s">
        <v>17</v>
      </c>
      <c r="K1762">
        <v>5859.08</v>
      </c>
    </row>
    <row r="1763" spans="1:11" x14ac:dyDescent="0.25">
      <c r="A1763" t="s">
        <v>3520</v>
      </c>
      <c r="B1763" s="1">
        <v>45539</v>
      </c>
      <c r="C1763" t="s">
        <v>3521</v>
      </c>
      <c r="D1763" t="s">
        <v>20</v>
      </c>
      <c r="E1763" t="s">
        <v>3988</v>
      </c>
      <c r="F1763" t="s">
        <v>4859</v>
      </c>
      <c r="G1763">
        <v>3</v>
      </c>
      <c r="H1763">
        <v>377.83</v>
      </c>
      <c r="I1763">
        <v>20</v>
      </c>
      <c r="J1763" t="s">
        <v>14</v>
      </c>
      <c r="K1763">
        <v>906.79</v>
      </c>
    </row>
    <row r="1764" spans="1:11" x14ac:dyDescent="0.25">
      <c r="A1764" t="s">
        <v>3522</v>
      </c>
      <c r="B1764" s="1">
        <v>45859</v>
      </c>
      <c r="C1764" t="s">
        <v>3523</v>
      </c>
      <c r="D1764" t="s">
        <v>24</v>
      </c>
      <c r="E1764" t="s">
        <v>3988</v>
      </c>
      <c r="F1764" t="s">
        <v>4460</v>
      </c>
      <c r="G1764">
        <v>4</v>
      </c>
      <c r="H1764">
        <v>976.15</v>
      </c>
      <c r="I1764">
        <v>15</v>
      </c>
      <c r="J1764" t="s">
        <v>17</v>
      </c>
      <c r="K1764">
        <v>3318.91</v>
      </c>
    </row>
    <row r="1765" spans="1:11" x14ac:dyDescent="0.25">
      <c r="A1765" t="s">
        <v>3524</v>
      </c>
      <c r="B1765" s="1">
        <v>45361</v>
      </c>
      <c r="C1765" t="s">
        <v>3525</v>
      </c>
      <c r="D1765" t="s">
        <v>36</v>
      </c>
      <c r="E1765" t="s">
        <v>3988</v>
      </c>
      <c r="F1765" t="s">
        <v>4280</v>
      </c>
      <c r="G1765">
        <v>7</v>
      </c>
      <c r="H1765">
        <v>157.68</v>
      </c>
      <c r="I1765">
        <v>15</v>
      </c>
      <c r="J1765" t="s">
        <v>14</v>
      </c>
      <c r="K1765">
        <v>938.2</v>
      </c>
    </row>
    <row r="1766" spans="1:11" x14ac:dyDescent="0.25">
      <c r="A1766" t="s">
        <v>3526</v>
      </c>
      <c r="B1766" s="1">
        <v>45795</v>
      </c>
      <c r="C1766" t="s">
        <v>3527</v>
      </c>
      <c r="D1766" t="s">
        <v>20</v>
      </c>
      <c r="E1766" t="s">
        <v>3272</v>
      </c>
      <c r="F1766" t="s">
        <v>4616</v>
      </c>
      <c r="G1766">
        <v>9</v>
      </c>
      <c r="H1766">
        <v>1887.65</v>
      </c>
      <c r="I1766">
        <v>10</v>
      </c>
      <c r="J1766" t="s">
        <v>39</v>
      </c>
      <c r="K1766">
        <v>15289.97</v>
      </c>
    </row>
    <row r="1767" spans="1:11" x14ac:dyDescent="0.25">
      <c r="A1767" t="s">
        <v>3528</v>
      </c>
      <c r="B1767" s="1">
        <v>45277</v>
      </c>
      <c r="C1767" t="s">
        <v>3529</v>
      </c>
      <c r="D1767" t="s">
        <v>36</v>
      </c>
      <c r="E1767" t="s">
        <v>3988</v>
      </c>
      <c r="F1767" t="s">
        <v>4676</v>
      </c>
      <c r="G1767">
        <v>2</v>
      </c>
      <c r="H1767">
        <v>195.9</v>
      </c>
      <c r="I1767">
        <v>20</v>
      </c>
      <c r="J1767" t="s">
        <v>14</v>
      </c>
      <c r="K1767">
        <v>313.44</v>
      </c>
    </row>
    <row r="1768" spans="1:11" x14ac:dyDescent="0.25">
      <c r="A1768" t="s">
        <v>3530</v>
      </c>
      <c r="B1768" s="1">
        <v>45349</v>
      </c>
      <c r="C1768" t="s">
        <v>3531</v>
      </c>
      <c r="D1768" t="s">
        <v>20</v>
      </c>
      <c r="E1768" t="s">
        <v>3988</v>
      </c>
      <c r="F1768" t="s">
        <v>4254</v>
      </c>
      <c r="G1768">
        <v>3</v>
      </c>
      <c r="H1768">
        <v>904.99</v>
      </c>
      <c r="I1768">
        <v>5</v>
      </c>
      <c r="J1768" t="s">
        <v>14</v>
      </c>
      <c r="K1768">
        <v>2579.2199999999998</v>
      </c>
    </row>
    <row r="1769" spans="1:11" x14ac:dyDescent="0.25">
      <c r="A1769" t="s">
        <v>3532</v>
      </c>
      <c r="B1769" s="1">
        <v>45859</v>
      </c>
      <c r="C1769" t="s">
        <v>3533</v>
      </c>
      <c r="D1769" t="s">
        <v>20</v>
      </c>
      <c r="E1769" t="s">
        <v>3272</v>
      </c>
      <c r="F1769" t="s">
        <v>4866</v>
      </c>
      <c r="G1769">
        <v>4</v>
      </c>
      <c r="H1769">
        <v>1083.27</v>
      </c>
      <c r="I1769">
        <v>5</v>
      </c>
      <c r="J1769" t="s">
        <v>21</v>
      </c>
      <c r="K1769">
        <v>4116.43</v>
      </c>
    </row>
    <row r="1770" spans="1:11" x14ac:dyDescent="0.25">
      <c r="A1770" t="s">
        <v>3534</v>
      </c>
      <c r="B1770" s="1">
        <v>45790</v>
      </c>
      <c r="C1770" t="s">
        <v>3535</v>
      </c>
      <c r="D1770" t="s">
        <v>20</v>
      </c>
      <c r="E1770" t="s">
        <v>3988</v>
      </c>
      <c r="F1770" t="s">
        <v>4676</v>
      </c>
      <c r="G1770">
        <v>1</v>
      </c>
      <c r="H1770">
        <v>1971.34</v>
      </c>
      <c r="I1770">
        <v>20</v>
      </c>
      <c r="J1770" t="s">
        <v>21</v>
      </c>
      <c r="K1770">
        <v>1577.07</v>
      </c>
    </row>
    <row r="1771" spans="1:11" x14ac:dyDescent="0.25">
      <c r="A1771" t="s">
        <v>3536</v>
      </c>
      <c r="B1771" s="1">
        <v>45524</v>
      </c>
      <c r="C1771" t="s">
        <v>3537</v>
      </c>
      <c r="D1771" t="s">
        <v>13</v>
      </c>
      <c r="E1771" t="s">
        <v>3988</v>
      </c>
      <c r="F1771" t="s">
        <v>4254</v>
      </c>
      <c r="G1771">
        <v>7</v>
      </c>
      <c r="H1771">
        <v>373.74</v>
      </c>
      <c r="I1771">
        <v>5</v>
      </c>
      <c r="J1771" t="s">
        <v>21</v>
      </c>
      <c r="K1771">
        <v>2485.37</v>
      </c>
    </row>
    <row r="1772" spans="1:11" x14ac:dyDescent="0.25">
      <c r="A1772" t="s">
        <v>3538</v>
      </c>
      <c r="B1772" s="1">
        <v>45776</v>
      </c>
      <c r="C1772" t="s">
        <v>3539</v>
      </c>
      <c r="D1772" t="s">
        <v>36</v>
      </c>
      <c r="E1772" t="s">
        <v>3272</v>
      </c>
      <c r="F1772" t="s">
        <v>4866</v>
      </c>
      <c r="G1772">
        <v>2</v>
      </c>
      <c r="H1772">
        <v>273.14</v>
      </c>
      <c r="I1772">
        <v>20</v>
      </c>
      <c r="J1772" t="s">
        <v>39</v>
      </c>
      <c r="K1772">
        <v>437.02</v>
      </c>
    </row>
    <row r="1773" spans="1:11" x14ac:dyDescent="0.25">
      <c r="A1773" t="s">
        <v>3540</v>
      </c>
      <c r="B1773" s="1">
        <v>45379</v>
      </c>
      <c r="C1773" t="s">
        <v>3541</v>
      </c>
      <c r="D1773" t="s">
        <v>36</v>
      </c>
      <c r="E1773" t="s">
        <v>3988</v>
      </c>
      <c r="F1773" t="s">
        <v>4867</v>
      </c>
      <c r="G1773">
        <v>5</v>
      </c>
      <c r="H1773">
        <v>66.98</v>
      </c>
      <c r="I1773">
        <v>5</v>
      </c>
      <c r="J1773" t="s">
        <v>39</v>
      </c>
      <c r="K1773">
        <v>318.16000000000003</v>
      </c>
    </row>
    <row r="1774" spans="1:11" x14ac:dyDescent="0.25">
      <c r="A1774" t="s">
        <v>3542</v>
      </c>
      <c r="B1774" s="1">
        <v>45729</v>
      </c>
      <c r="C1774" t="s">
        <v>3543</v>
      </c>
      <c r="D1774" t="s">
        <v>20</v>
      </c>
      <c r="E1774" t="s">
        <v>3988</v>
      </c>
      <c r="F1774" t="s">
        <v>4847</v>
      </c>
      <c r="G1774">
        <v>1</v>
      </c>
      <c r="H1774">
        <v>353.36</v>
      </c>
      <c r="I1774">
        <v>10</v>
      </c>
      <c r="J1774" t="s">
        <v>14</v>
      </c>
      <c r="K1774">
        <v>318.02</v>
      </c>
    </row>
    <row r="1775" spans="1:11" x14ac:dyDescent="0.25">
      <c r="A1775" t="s">
        <v>3544</v>
      </c>
      <c r="B1775" s="1">
        <v>45826</v>
      </c>
      <c r="C1775" t="s">
        <v>3545</v>
      </c>
      <c r="D1775" t="s">
        <v>24</v>
      </c>
      <c r="E1775" t="s">
        <v>3988</v>
      </c>
      <c r="F1775" t="s">
        <v>4868</v>
      </c>
      <c r="G1775">
        <v>3</v>
      </c>
      <c r="H1775">
        <v>454.18</v>
      </c>
      <c r="I1775">
        <v>5</v>
      </c>
      <c r="J1775" t="s">
        <v>21</v>
      </c>
      <c r="K1775">
        <v>1294.4100000000001</v>
      </c>
    </row>
    <row r="1776" spans="1:11" x14ac:dyDescent="0.25">
      <c r="A1776" t="s">
        <v>3546</v>
      </c>
      <c r="B1776" s="1">
        <v>45413</v>
      </c>
      <c r="C1776" t="s">
        <v>3547</v>
      </c>
      <c r="D1776" t="s">
        <v>20</v>
      </c>
      <c r="E1776" t="s">
        <v>29</v>
      </c>
      <c r="F1776" t="s">
        <v>4359</v>
      </c>
      <c r="G1776">
        <v>2</v>
      </c>
      <c r="H1776">
        <v>1279.6300000000001</v>
      </c>
      <c r="I1776">
        <v>15</v>
      </c>
      <c r="J1776" t="s">
        <v>39</v>
      </c>
      <c r="K1776">
        <v>2175.37</v>
      </c>
    </row>
    <row r="1777" spans="1:11" x14ac:dyDescent="0.25">
      <c r="A1777" t="s">
        <v>3548</v>
      </c>
      <c r="B1777" s="1">
        <v>45774</v>
      </c>
      <c r="C1777" t="s">
        <v>3549</v>
      </c>
      <c r="D1777" t="s">
        <v>13</v>
      </c>
      <c r="E1777" t="s">
        <v>3988</v>
      </c>
      <c r="F1777" t="s">
        <v>3997</v>
      </c>
      <c r="G1777">
        <v>1</v>
      </c>
      <c r="H1777">
        <v>478.43</v>
      </c>
      <c r="I1777">
        <v>20</v>
      </c>
      <c r="J1777" t="s">
        <v>39</v>
      </c>
      <c r="K1777">
        <v>382.74</v>
      </c>
    </row>
    <row r="1778" spans="1:11" x14ac:dyDescent="0.25">
      <c r="A1778" t="s">
        <v>3550</v>
      </c>
      <c r="B1778" s="1">
        <v>45239</v>
      </c>
      <c r="C1778" t="s">
        <v>3551</v>
      </c>
      <c r="D1778" t="s">
        <v>20</v>
      </c>
      <c r="E1778" t="s">
        <v>3988</v>
      </c>
      <c r="F1778" t="s">
        <v>3990</v>
      </c>
      <c r="G1778">
        <v>7</v>
      </c>
      <c r="H1778">
        <v>90.02</v>
      </c>
      <c r="I1778">
        <v>0</v>
      </c>
      <c r="J1778" t="s">
        <v>14</v>
      </c>
      <c r="K1778">
        <v>630.14</v>
      </c>
    </row>
    <row r="1779" spans="1:11" x14ac:dyDescent="0.25">
      <c r="A1779" t="s">
        <v>3552</v>
      </c>
      <c r="B1779" s="1">
        <v>45513</v>
      </c>
      <c r="C1779" t="s">
        <v>3553</v>
      </c>
      <c r="D1779" t="s">
        <v>13</v>
      </c>
      <c r="E1779" t="s">
        <v>3988</v>
      </c>
      <c r="F1779" t="s">
        <v>4471</v>
      </c>
      <c r="G1779">
        <v>5</v>
      </c>
      <c r="H1779">
        <v>1661.91</v>
      </c>
      <c r="I1779">
        <v>0</v>
      </c>
      <c r="J1779" t="s">
        <v>14</v>
      </c>
      <c r="K1779">
        <v>8309.5499999999993</v>
      </c>
    </row>
    <row r="1780" spans="1:11" x14ac:dyDescent="0.25">
      <c r="A1780" t="s">
        <v>3554</v>
      </c>
      <c r="B1780" s="1">
        <v>45208</v>
      </c>
      <c r="C1780" t="s">
        <v>3555</v>
      </c>
      <c r="D1780" t="s">
        <v>20</v>
      </c>
      <c r="E1780" t="s">
        <v>3272</v>
      </c>
      <c r="F1780" t="s">
        <v>4869</v>
      </c>
      <c r="G1780">
        <v>1</v>
      </c>
      <c r="H1780">
        <v>762.91</v>
      </c>
      <c r="I1780">
        <v>20</v>
      </c>
      <c r="J1780" t="s">
        <v>17</v>
      </c>
      <c r="K1780">
        <v>610.33000000000004</v>
      </c>
    </row>
    <row r="1781" spans="1:11" x14ac:dyDescent="0.25">
      <c r="A1781" t="s">
        <v>3556</v>
      </c>
      <c r="B1781" s="1">
        <v>45259</v>
      </c>
      <c r="C1781" t="s">
        <v>395</v>
      </c>
      <c r="D1781" t="s">
        <v>36</v>
      </c>
      <c r="E1781" t="s">
        <v>3988</v>
      </c>
      <c r="F1781" t="s">
        <v>4489</v>
      </c>
      <c r="G1781">
        <v>6</v>
      </c>
      <c r="H1781">
        <v>739.71</v>
      </c>
      <c r="I1781">
        <v>10</v>
      </c>
      <c r="J1781" t="s">
        <v>17</v>
      </c>
      <c r="K1781">
        <v>3994.43</v>
      </c>
    </row>
    <row r="1782" spans="1:11" x14ac:dyDescent="0.25">
      <c r="A1782" t="s">
        <v>3557</v>
      </c>
      <c r="B1782" s="1">
        <v>45735</v>
      </c>
      <c r="C1782" t="s">
        <v>3558</v>
      </c>
      <c r="D1782" t="s">
        <v>20</v>
      </c>
      <c r="E1782" t="s">
        <v>29</v>
      </c>
      <c r="F1782" t="s">
        <v>4081</v>
      </c>
      <c r="G1782">
        <v>5</v>
      </c>
      <c r="H1782">
        <v>639.83000000000004</v>
      </c>
      <c r="I1782">
        <v>5</v>
      </c>
      <c r="J1782" t="s">
        <v>14</v>
      </c>
      <c r="K1782">
        <v>3039.19</v>
      </c>
    </row>
    <row r="1783" spans="1:11" x14ac:dyDescent="0.25">
      <c r="A1783" t="s">
        <v>3559</v>
      </c>
      <c r="B1783" s="1">
        <v>45325</v>
      </c>
      <c r="C1783" t="s">
        <v>3560</v>
      </c>
      <c r="D1783" t="s">
        <v>36</v>
      </c>
      <c r="E1783" t="s">
        <v>3988</v>
      </c>
      <c r="F1783" t="s">
        <v>4870</v>
      </c>
      <c r="G1783">
        <v>3</v>
      </c>
      <c r="H1783">
        <v>1951.98</v>
      </c>
      <c r="I1783">
        <v>10</v>
      </c>
      <c r="J1783" t="s">
        <v>17</v>
      </c>
      <c r="K1783">
        <v>5270.35</v>
      </c>
    </row>
    <row r="1784" spans="1:11" x14ac:dyDescent="0.25">
      <c r="A1784" t="s">
        <v>3561</v>
      </c>
      <c r="B1784" s="1">
        <v>45818</v>
      </c>
      <c r="C1784" t="s">
        <v>3562</v>
      </c>
      <c r="D1784" t="s">
        <v>24</v>
      </c>
      <c r="E1784" t="s">
        <v>3988</v>
      </c>
      <c r="F1784" t="s">
        <v>4117</v>
      </c>
      <c r="G1784">
        <v>7</v>
      </c>
      <c r="H1784">
        <v>381.73</v>
      </c>
      <c r="I1784">
        <v>0</v>
      </c>
      <c r="J1784" t="s">
        <v>39</v>
      </c>
      <c r="K1784">
        <v>2672.11</v>
      </c>
    </row>
    <row r="1785" spans="1:11" x14ac:dyDescent="0.25">
      <c r="A1785" t="s">
        <v>3563</v>
      </c>
      <c r="B1785" s="1">
        <v>45675</v>
      </c>
      <c r="C1785" t="s">
        <v>3564</v>
      </c>
      <c r="D1785" t="s">
        <v>24</v>
      </c>
      <c r="E1785" t="s">
        <v>3988</v>
      </c>
      <c r="F1785" t="s">
        <v>4871</v>
      </c>
      <c r="G1785">
        <v>9</v>
      </c>
      <c r="H1785">
        <v>1801.56</v>
      </c>
      <c r="I1785">
        <v>20</v>
      </c>
      <c r="J1785" t="s">
        <v>14</v>
      </c>
      <c r="K1785">
        <v>12971.23</v>
      </c>
    </row>
    <row r="1786" spans="1:11" x14ac:dyDescent="0.25">
      <c r="A1786" t="s">
        <v>3565</v>
      </c>
      <c r="B1786" s="1">
        <v>45712</v>
      </c>
      <c r="C1786" t="s">
        <v>3566</v>
      </c>
      <c r="D1786" t="s">
        <v>20</v>
      </c>
      <c r="E1786" t="s">
        <v>3988</v>
      </c>
      <c r="F1786" t="s">
        <v>4110</v>
      </c>
      <c r="G1786">
        <v>9</v>
      </c>
      <c r="H1786">
        <v>1564.77</v>
      </c>
      <c r="I1786">
        <v>20</v>
      </c>
      <c r="J1786" t="s">
        <v>14</v>
      </c>
      <c r="K1786">
        <v>11266.34</v>
      </c>
    </row>
    <row r="1787" spans="1:11" x14ac:dyDescent="0.25">
      <c r="A1787" t="s">
        <v>3567</v>
      </c>
      <c r="B1787" s="1">
        <v>45673</v>
      </c>
      <c r="C1787" t="s">
        <v>3568</v>
      </c>
      <c r="D1787" t="s">
        <v>20</v>
      </c>
      <c r="E1787" t="s">
        <v>3272</v>
      </c>
      <c r="F1787" t="s">
        <v>4872</v>
      </c>
      <c r="G1787">
        <v>9</v>
      </c>
      <c r="H1787">
        <v>199.14</v>
      </c>
      <c r="I1787">
        <v>10</v>
      </c>
      <c r="J1787" t="s">
        <v>21</v>
      </c>
      <c r="K1787">
        <v>1613.03</v>
      </c>
    </row>
    <row r="1788" spans="1:11" x14ac:dyDescent="0.25">
      <c r="A1788" t="s">
        <v>3569</v>
      </c>
      <c r="B1788" s="1">
        <v>45458</v>
      </c>
      <c r="C1788" t="s">
        <v>3570</v>
      </c>
      <c r="D1788" t="s">
        <v>24</v>
      </c>
      <c r="E1788" t="s">
        <v>29</v>
      </c>
      <c r="F1788" t="s">
        <v>4825</v>
      </c>
      <c r="G1788">
        <v>2</v>
      </c>
      <c r="H1788">
        <v>1974.12</v>
      </c>
      <c r="I1788">
        <v>10</v>
      </c>
      <c r="J1788" t="s">
        <v>39</v>
      </c>
      <c r="K1788">
        <v>3553.42</v>
      </c>
    </row>
    <row r="1789" spans="1:11" x14ac:dyDescent="0.25">
      <c r="A1789" t="s">
        <v>3571</v>
      </c>
      <c r="B1789" s="1">
        <v>45806</v>
      </c>
      <c r="C1789" t="s">
        <v>3572</v>
      </c>
      <c r="D1789" t="s">
        <v>13</v>
      </c>
      <c r="E1789" t="s">
        <v>3272</v>
      </c>
      <c r="F1789" t="s">
        <v>4873</v>
      </c>
      <c r="G1789">
        <v>3</v>
      </c>
      <c r="H1789">
        <v>579.16</v>
      </c>
      <c r="I1789">
        <v>5</v>
      </c>
      <c r="J1789" t="s">
        <v>39</v>
      </c>
      <c r="K1789">
        <v>1650.61</v>
      </c>
    </row>
    <row r="1790" spans="1:11" x14ac:dyDescent="0.25">
      <c r="A1790" t="s">
        <v>3573</v>
      </c>
      <c r="B1790" s="1">
        <v>45774</v>
      </c>
      <c r="C1790" t="s">
        <v>3574</v>
      </c>
      <c r="D1790" t="s">
        <v>24</v>
      </c>
      <c r="E1790" t="s">
        <v>29</v>
      </c>
      <c r="F1790" t="s">
        <v>4434</v>
      </c>
      <c r="G1790">
        <v>7</v>
      </c>
      <c r="H1790">
        <v>242.24</v>
      </c>
      <c r="I1790">
        <v>15</v>
      </c>
      <c r="J1790" t="s">
        <v>21</v>
      </c>
      <c r="K1790">
        <v>1441.33</v>
      </c>
    </row>
    <row r="1791" spans="1:11" x14ac:dyDescent="0.25">
      <c r="A1791" t="s">
        <v>3575</v>
      </c>
      <c r="B1791" s="1">
        <v>45582</v>
      </c>
      <c r="C1791" t="s">
        <v>3576</v>
      </c>
      <c r="D1791" t="s">
        <v>24</v>
      </c>
      <c r="E1791" t="s">
        <v>3988</v>
      </c>
      <c r="F1791" t="s">
        <v>4830</v>
      </c>
      <c r="G1791">
        <v>5</v>
      </c>
      <c r="H1791">
        <v>1667.16</v>
      </c>
      <c r="I1791">
        <v>15</v>
      </c>
      <c r="J1791" t="s">
        <v>17</v>
      </c>
      <c r="K1791">
        <v>7085.43</v>
      </c>
    </row>
    <row r="1792" spans="1:11" x14ac:dyDescent="0.25">
      <c r="A1792" t="s">
        <v>3577</v>
      </c>
      <c r="B1792" s="1">
        <v>45434</v>
      </c>
      <c r="C1792" t="s">
        <v>3578</v>
      </c>
      <c r="D1792" t="s">
        <v>13</v>
      </c>
      <c r="E1792" t="s">
        <v>3988</v>
      </c>
      <c r="F1792" t="s">
        <v>4329</v>
      </c>
      <c r="G1792">
        <v>2</v>
      </c>
      <c r="H1792">
        <v>1428.02</v>
      </c>
      <c r="I1792">
        <v>5</v>
      </c>
      <c r="J1792" t="s">
        <v>14</v>
      </c>
      <c r="K1792">
        <v>2713.24</v>
      </c>
    </row>
    <row r="1793" spans="1:11" x14ac:dyDescent="0.25">
      <c r="A1793" t="s">
        <v>3579</v>
      </c>
      <c r="B1793" s="1">
        <v>45220</v>
      </c>
      <c r="C1793" t="s">
        <v>3580</v>
      </c>
      <c r="D1793" t="s">
        <v>24</v>
      </c>
      <c r="E1793" t="s">
        <v>29</v>
      </c>
      <c r="F1793" t="s">
        <v>4238</v>
      </c>
      <c r="G1793">
        <v>3</v>
      </c>
      <c r="H1793">
        <v>1253.58</v>
      </c>
      <c r="I1793">
        <v>15</v>
      </c>
      <c r="J1793" t="s">
        <v>17</v>
      </c>
      <c r="K1793">
        <v>3196.63</v>
      </c>
    </row>
    <row r="1794" spans="1:11" x14ac:dyDescent="0.25">
      <c r="A1794" t="s">
        <v>3581</v>
      </c>
      <c r="B1794" s="1">
        <v>45764</v>
      </c>
      <c r="C1794" t="s">
        <v>3582</v>
      </c>
      <c r="D1794" t="s">
        <v>24</v>
      </c>
      <c r="E1794" t="s">
        <v>3988</v>
      </c>
      <c r="F1794" t="s">
        <v>4598</v>
      </c>
      <c r="G1794">
        <v>6</v>
      </c>
      <c r="H1794">
        <v>354.16</v>
      </c>
      <c r="I1794">
        <v>0</v>
      </c>
      <c r="J1794" t="s">
        <v>39</v>
      </c>
      <c r="K1794">
        <v>2124.96</v>
      </c>
    </row>
    <row r="1795" spans="1:11" x14ac:dyDescent="0.25">
      <c r="A1795" t="s">
        <v>3583</v>
      </c>
      <c r="B1795" s="1">
        <v>45456</v>
      </c>
      <c r="C1795" t="s">
        <v>3584</v>
      </c>
      <c r="D1795" t="s">
        <v>13</v>
      </c>
      <c r="E1795" t="s">
        <v>3988</v>
      </c>
      <c r="F1795" t="s">
        <v>4596</v>
      </c>
      <c r="G1795">
        <v>7</v>
      </c>
      <c r="H1795">
        <v>983.07</v>
      </c>
      <c r="I1795">
        <v>15</v>
      </c>
      <c r="J1795" t="s">
        <v>17</v>
      </c>
      <c r="K1795">
        <v>5849.27</v>
      </c>
    </row>
    <row r="1796" spans="1:11" x14ac:dyDescent="0.25">
      <c r="A1796" t="s">
        <v>3585</v>
      </c>
      <c r="B1796" s="1">
        <v>45160</v>
      </c>
      <c r="C1796" t="s">
        <v>3586</v>
      </c>
      <c r="D1796" t="s">
        <v>13</v>
      </c>
      <c r="E1796" t="s">
        <v>3988</v>
      </c>
      <c r="F1796" t="s">
        <v>4874</v>
      </c>
      <c r="G1796">
        <v>9</v>
      </c>
      <c r="H1796">
        <v>1572.08</v>
      </c>
      <c r="I1796">
        <v>5</v>
      </c>
      <c r="J1796" t="s">
        <v>39</v>
      </c>
      <c r="K1796">
        <v>13441.28</v>
      </c>
    </row>
    <row r="1797" spans="1:11" x14ac:dyDescent="0.25">
      <c r="A1797" t="s">
        <v>3587</v>
      </c>
      <c r="B1797" s="1">
        <v>45355</v>
      </c>
      <c r="C1797" t="s">
        <v>3588</v>
      </c>
      <c r="D1797" t="s">
        <v>36</v>
      </c>
      <c r="E1797" t="s">
        <v>3988</v>
      </c>
      <c r="F1797" t="s">
        <v>4205</v>
      </c>
      <c r="G1797">
        <v>1</v>
      </c>
      <c r="H1797">
        <v>642.07000000000005</v>
      </c>
      <c r="I1797">
        <v>15</v>
      </c>
      <c r="J1797" t="s">
        <v>14</v>
      </c>
      <c r="K1797">
        <v>545.76</v>
      </c>
    </row>
    <row r="1798" spans="1:11" x14ac:dyDescent="0.25">
      <c r="A1798" t="s">
        <v>3589</v>
      </c>
      <c r="B1798" s="1">
        <v>45566</v>
      </c>
      <c r="C1798" t="s">
        <v>3590</v>
      </c>
      <c r="D1798" t="s">
        <v>20</v>
      </c>
      <c r="E1798" t="s">
        <v>3988</v>
      </c>
      <c r="F1798" t="s">
        <v>4875</v>
      </c>
      <c r="G1798">
        <v>7</v>
      </c>
      <c r="H1798">
        <v>657.8</v>
      </c>
      <c r="I1798">
        <v>20</v>
      </c>
      <c r="J1798" t="s">
        <v>14</v>
      </c>
      <c r="K1798">
        <v>3683.68</v>
      </c>
    </row>
    <row r="1799" spans="1:11" x14ac:dyDescent="0.25">
      <c r="A1799" t="s">
        <v>3591</v>
      </c>
      <c r="B1799" s="1">
        <v>45245</v>
      </c>
      <c r="C1799" t="s">
        <v>3592</v>
      </c>
      <c r="D1799" t="s">
        <v>36</v>
      </c>
      <c r="E1799" t="s">
        <v>29</v>
      </c>
      <c r="F1799" t="s">
        <v>4180</v>
      </c>
      <c r="G1799">
        <v>8</v>
      </c>
      <c r="H1799">
        <v>56.12</v>
      </c>
      <c r="I1799">
        <v>10</v>
      </c>
      <c r="J1799" t="s">
        <v>14</v>
      </c>
      <c r="K1799">
        <v>404.06</v>
      </c>
    </row>
    <row r="1800" spans="1:11" x14ac:dyDescent="0.25">
      <c r="A1800" t="s">
        <v>3593</v>
      </c>
      <c r="B1800" s="1">
        <v>45503</v>
      </c>
      <c r="C1800" t="s">
        <v>3594</v>
      </c>
      <c r="D1800" t="s">
        <v>13</v>
      </c>
      <c r="E1800" t="s">
        <v>29</v>
      </c>
      <c r="F1800" t="s">
        <v>4876</v>
      </c>
      <c r="G1800">
        <v>3</v>
      </c>
      <c r="H1800">
        <v>389.77</v>
      </c>
      <c r="I1800">
        <v>0</v>
      </c>
      <c r="J1800" t="s">
        <v>21</v>
      </c>
      <c r="K1800">
        <v>1169.31</v>
      </c>
    </row>
    <row r="1801" spans="1:11" x14ac:dyDescent="0.25">
      <c r="A1801" t="s">
        <v>3595</v>
      </c>
      <c r="B1801" s="1">
        <v>45436</v>
      </c>
      <c r="C1801" t="s">
        <v>3596</v>
      </c>
      <c r="D1801" t="s">
        <v>24</v>
      </c>
      <c r="E1801" t="s">
        <v>29</v>
      </c>
      <c r="F1801" t="s">
        <v>4877</v>
      </c>
      <c r="G1801">
        <v>4</v>
      </c>
      <c r="H1801">
        <v>1757.04</v>
      </c>
      <c r="I1801">
        <v>20</v>
      </c>
      <c r="J1801" t="s">
        <v>21</v>
      </c>
      <c r="K1801">
        <v>5622.53</v>
      </c>
    </row>
    <row r="1802" spans="1:11" x14ac:dyDescent="0.25">
      <c r="A1802" t="s">
        <v>3597</v>
      </c>
      <c r="B1802" s="1">
        <v>45672</v>
      </c>
      <c r="C1802" t="s">
        <v>3598</v>
      </c>
      <c r="D1802" t="s">
        <v>13</v>
      </c>
      <c r="E1802" t="s">
        <v>3272</v>
      </c>
      <c r="F1802" t="s">
        <v>4038</v>
      </c>
      <c r="G1802">
        <v>6</v>
      </c>
      <c r="H1802">
        <v>911.41</v>
      </c>
      <c r="I1802">
        <v>20</v>
      </c>
      <c r="J1802" t="s">
        <v>21</v>
      </c>
      <c r="K1802">
        <v>4374.7700000000004</v>
      </c>
    </row>
    <row r="1803" spans="1:11" x14ac:dyDescent="0.25">
      <c r="A1803" t="s">
        <v>3599</v>
      </c>
      <c r="B1803" s="1">
        <v>45731</v>
      </c>
      <c r="C1803" t="s">
        <v>3600</v>
      </c>
      <c r="D1803" t="s">
        <v>24</v>
      </c>
      <c r="E1803" t="s">
        <v>3988</v>
      </c>
      <c r="F1803" t="s">
        <v>4722</v>
      </c>
      <c r="G1803">
        <v>7</v>
      </c>
      <c r="H1803">
        <v>1969.26</v>
      </c>
      <c r="I1803">
        <v>5</v>
      </c>
      <c r="J1803" t="s">
        <v>14</v>
      </c>
      <c r="K1803">
        <v>13095.58</v>
      </c>
    </row>
    <row r="1804" spans="1:11" x14ac:dyDescent="0.25">
      <c r="A1804" t="s">
        <v>3601</v>
      </c>
      <c r="B1804" s="1">
        <v>45672</v>
      </c>
      <c r="C1804" t="s">
        <v>3602</v>
      </c>
      <c r="D1804" t="s">
        <v>36</v>
      </c>
      <c r="E1804" t="s">
        <v>3988</v>
      </c>
      <c r="F1804" t="s">
        <v>4578</v>
      </c>
      <c r="G1804">
        <v>4</v>
      </c>
      <c r="H1804">
        <v>821.63</v>
      </c>
      <c r="I1804">
        <v>10</v>
      </c>
      <c r="J1804" t="s">
        <v>14</v>
      </c>
      <c r="K1804">
        <v>2957.87</v>
      </c>
    </row>
    <row r="1805" spans="1:11" x14ac:dyDescent="0.25">
      <c r="A1805" t="s">
        <v>3603</v>
      </c>
      <c r="B1805" s="1">
        <v>45353</v>
      </c>
      <c r="C1805" t="s">
        <v>3604</v>
      </c>
      <c r="D1805" t="s">
        <v>36</v>
      </c>
      <c r="E1805" t="s">
        <v>3988</v>
      </c>
      <c r="F1805" t="s">
        <v>4878</v>
      </c>
      <c r="G1805">
        <v>8</v>
      </c>
      <c r="H1805">
        <v>1444.61</v>
      </c>
      <c r="I1805">
        <v>10</v>
      </c>
      <c r="J1805" t="s">
        <v>17</v>
      </c>
      <c r="K1805">
        <v>10401.19</v>
      </c>
    </row>
    <row r="1806" spans="1:11" x14ac:dyDescent="0.25">
      <c r="A1806" t="s">
        <v>3605</v>
      </c>
      <c r="B1806" s="1">
        <v>45604</v>
      </c>
      <c r="C1806" t="s">
        <v>1949</v>
      </c>
      <c r="D1806" t="s">
        <v>36</v>
      </c>
      <c r="E1806" t="s">
        <v>3988</v>
      </c>
      <c r="F1806" t="s">
        <v>4373</v>
      </c>
      <c r="G1806">
        <v>5</v>
      </c>
      <c r="H1806">
        <v>599.74</v>
      </c>
      <c r="I1806">
        <v>0</v>
      </c>
      <c r="J1806" t="s">
        <v>39</v>
      </c>
      <c r="K1806">
        <v>2998.7</v>
      </c>
    </row>
    <row r="1807" spans="1:11" x14ac:dyDescent="0.25">
      <c r="A1807" t="s">
        <v>3606</v>
      </c>
      <c r="B1807" s="1">
        <v>45445</v>
      </c>
      <c r="C1807" t="s">
        <v>3607</v>
      </c>
      <c r="D1807" t="s">
        <v>24</v>
      </c>
      <c r="E1807" t="s">
        <v>29</v>
      </c>
      <c r="F1807" t="s">
        <v>4162</v>
      </c>
      <c r="G1807">
        <v>1</v>
      </c>
      <c r="H1807">
        <v>759.43</v>
      </c>
      <c r="I1807">
        <v>5</v>
      </c>
      <c r="J1807" t="s">
        <v>21</v>
      </c>
      <c r="K1807">
        <v>721.46</v>
      </c>
    </row>
    <row r="1808" spans="1:11" x14ac:dyDescent="0.25">
      <c r="A1808" t="s">
        <v>3608</v>
      </c>
      <c r="B1808" s="1">
        <v>45788</v>
      </c>
      <c r="C1808" t="s">
        <v>3609</v>
      </c>
      <c r="D1808" t="s">
        <v>20</v>
      </c>
      <c r="E1808" t="s">
        <v>3272</v>
      </c>
      <c r="F1808" t="s">
        <v>4223</v>
      </c>
      <c r="G1808">
        <v>4</v>
      </c>
      <c r="H1808">
        <v>421.92</v>
      </c>
      <c r="I1808">
        <v>0</v>
      </c>
      <c r="J1808" t="s">
        <v>14</v>
      </c>
      <c r="K1808">
        <v>1687.68</v>
      </c>
    </row>
    <row r="1809" spans="1:11" x14ac:dyDescent="0.25">
      <c r="A1809" t="s">
        <v>3610</v>
      </c>
      <c r="B1809" s="1">
        <v>45645</v>
      </c>
      <c r="C1809" t="s">
        <v>3611</v>
      </c>
      <c r="D1809" t="s">
        <v>20</v>
      </c>
      <c r="E1809" t="s">
        <v>3988</v>
      </c>
      <c r="F1809" t="s">
        <v>4553</v>
      </c>
      <c r="G1809">
        <v>3</v>
      </c>
      <c r="H1809">
        <v>726.77</v>
      </c>
      <c r="I1809">
        <v>15</v>
      </c>
      <c r="J1809" t="s">
        <v>14</v>
      </c>
      <c r="K1809">
        <v>1853.26</v>
      </c>
    </row>
    <row r="1810" spans="1:11" x14ac:dyDescent="0.25">
      <c r="A1810" t="s">
        <v>3612</v>
      </c>
      <c r="B1810" s="1">
        <v>45880</v>
      </c>
      <c r="C1810" t="s">
        <v>3613</v>
      </c>
      <c r="D1810" t="s">
        <v>20</v>
      </c>
      <c r="E1810" t="s">
        <v>3988</v>
      </c>
      <c r="F1810" t="s">
        <v>4731</v>
      </c>
      <c r="G1810">
        <v>9</v>
      </c>
      <c r="H1810">
        <v>1117.1099999999999</v>
      </c>
      <c r="I1810">
        <v>20</v>
      </c>
      <c r="J1810" t="s">
        <v>39</v>
      </c>
      <c r="K1810">
        <v>8043.19</v>
      </c>
    </row>
    <row r="1811" spans="1:11" x14ac:dyDescent="0.25">
      <c r="A1811" t="s">
        <v>3614</v>
      </c>
      <c r="B1811" s="1">
        <v>45438</v>
      </c>
      <c r="C1811" t="s">
        <v>3615</v>
      </c>
      <c r="D1811" t="s">
        <v>13</v>
      </c>
      <c r="E1811" t="s">
        <v>3988</v>
      </c>
      <c r="F1811" t="s">
        <v>4879</v>
      </c>
      <c r="G1811">
        <v>8</v>
      </c>
      <c r="H1811">
        <v>1983.96</v>
      </c>
      <c r="I1811">
        <v>0</v>
      </c>
      <c r="J1811" t="s">
        <v>21</v>
      </c>
      <c r="K1811">
        <v>15871.68</v>
      </c>
    </row>
    <row r="1812" spans="1:11" x14ac:dyDescent="0.25">
      <c r="A1812" t="s">
        <v>3616</v>
      </c>
      <c r="B1812" s="1">
        <v>45234</v>
      </c>
      <c r="C1812" t="s">
        <v>3617</v>
      </c>
      <c r="D1812" t="s">
        <v>13</v>
      </c>
      <c r="E1812" t="s">
        <v>29</v>
      </c>
      <c r="F1812" t="s">
        <v>4364</v>
      </c>
      <c r="G1812">
        <v>1</v>
      </c>
      <c r="H1812">
        <v>1345.19</v>
      </c>
      <c r="I1812">
        <v>20</v>
      </c>
      <c r="J1812" t="s">
        <v>21</v>
      </c>
      <c r="K1812">
        <v>1076.1500000000001</v>
      </c>
    </row>
    <row r="1813" spans="1:11" x14ac:dyDescent="0.25">
      <c r="A1813" t="s">
        <v>3618</v>
      </c>
      <c r="B1813" s="1">
        <v>45674</v>
      </c>
      <c r="C1813" t="s">
        <v>3619</v>
      </c>
      <c r="D1813" t="s">
        <v>24</v>
      </c>
      <c r="E1813" t="s">
        <v>3988</v>
      </c>
      <c r="F1813" t="s">
        <v>4237</v>
      </c>
      <c r="G1813">
        <v>6</v>
      </c>
      <c r="H1813">
        <v>438.53</v>
      </c>
      <c r="I1813">
        <v>5</v>
      </c>
      <c r="J1813" t="s">
        <v>17</v>
      </c>
      <c r="K1813">
        <v>2499.62</v>
      </c>
    </row>
    <row r="1814" spans="1:11" x14ac:dyDescent="0.25">
      <c r="A1814" t="s">
        <v>3620</v>
      </c>
      <c r="B1814" s="1">
        <v>45331</v>
      </c>
      <c r="C1814" t="s">
        <v>3621</v>
      </c>
      <c r="D1814" t="s">
        <v>13</v>
      </c>
      <c r="E1814" t="s">
        <v>3272</v>
      </c>
      <c r="F1814" t="s">
        <v>4880</v>
      </c>
      <c r="G1814">
        <v>9</v>
      </c>
      <c r="H1814">
        <v>137.66999999999999</v>
      </c>
      <c r="I1814">
        <v>15</v>
      </c>
      <c r="J1814" t="s">
        <v>14</v>
      </c>
      <c r="K1814">
        <v>1053.18</v>
      </c>
    </row>
    <row r="1815" spans="1:11" x14ac:dyDescent="0.25">
      <c r="A1815" t="s">
        <v>3622</v>
      </c>
      <c r="B1815" s="1">
        <v>45516</v>
      </c>
      <c r="C1815" t="s">
        <v>3623</v>
      </c>
      <c r="D1815" t="s">
        <v>24</v>
      </c>
      <c r="E1815" t="s">
        <v>29</v>
      </c>
      <c r="F1815" t="s">
        <v>4238</v>
      </c>
      <c r="G1815">
        <v>7</v>
      </c>
      <c r="H1815">
        <v>296.39999999999998</v>
      </c>
      <c r="I1815">
        <v>5</v>
      </c>
      <c r="J1815" t="s">
        <v>17</v>
      </c>
      <c r="K1815">
        <v>1971.06</v>
      </c>
    </row>
    <row r="1816" spans="1:11" x14ac:dyDescent="0.25">
      <c r="A1816" t="s">
        <v>3624</v>
      </c>
      <c r="B1816" s="1">
        <v>45169</v>
      </c>
      <c r="C1816" t="s">
        <v>3625</v>
      </c>
      <c r="D1816" t="s">
        <v>36</v>
      </c>
      <c r="E1816" t="s">
        <v>3988</v>
      </c>
      <c r="F1816" t="s">
        <v>4141</v>
      </c>
      <c r="G1816">
        <v>4</v>
      </c>
      <c r="H1816">
        <v>1146.98</v>
      </c>
      <c r="I1816">
        <v>15</v>
      </c>
      <c r="J1816" t="s">
        <v>14</v>
      </c>
      <c r="K1816">
        <v>3899.73</v>
      </c>
    </row>
    <row r="1817" spans="1:11" x14ac:dyDescent="0.25">
      <c r="A1817" t="s">
        <v>3626</v>
      </c>
      <c r="B1817" s="1">
        <v>45631</v>
      </c>
      <c r="C1817" t="s">
        <v>3627</v>
      </c>
      <c r="D1817" t="s">
        <v>24</v>
      </c>
      <c r="E1817" t="s">
        <v>3988</v>
      </c>
      <c r="F1817" t="s">
        <v>4504</v>
      </c>
      <c r="G1817">
        <v>1</v>
      </c>
      <c r="H1817">
        <v>1542.06</v>
      </c>
      <c r="I1817">
        <v>15</v>
      </c>
      <c r="J1817" t="s">
        <v>39</v>
      </c>
      <c r="K1817">
        <v>1310.75</v>
      </c>
    </row>
    <row r="1818" spans="1:11" x14ac:dyDescent="0.25">
      <c r="A1818" t="s">
        <v>3628</v>
      </c>
      <c r="B1818" s="1">
        <v>45836</v>
      </c>
      <c r="C1818" t="s">
        <v>3629</v>
      </c>
      <c r="D1818" t="s">
        <v>13</v>
      </c>
      <c r="E1818" t="s">
        <v>3988</v>
      </c>
      <c r="F1818" t="s">
        <v>4309</v>
      </c>
      <c r="G1818">
        <v>2</v>
      </c>
      <c r="H1818">
        <v>1883.82</v>
      </c>
      <c r="I1818">
        <v>20</v>
      </c>
      <c r="J1818" t="s">
        <v>17</v>
      </c>
      <c r="K1818">
        <v>3014.11</v>
      </c>
    </row>
    <row r="1819" spans="1:11" x14ac:dyDescent="0.25">
      <c r="A1819" t="s">
        <v>3630</v>
      </c>
      <c r="B1819" s="1">
        <v>45586</v>
      </c>
      <c r="C1819" t="s">
        <v>3631</v>
      </c>
      <c r="D1819" t="s">
        <v>36</v>
      </c>
      <c r="E1819" t="s">
        <v>3988</v>
      </c>
      <c r="F1819" t="s">
        <v>4881</v>
      </c>
      <c r="G1819">
        <v>5</v>
      </c>
      <c r="H1819">
        <v>80.86</v>
      </c>
      <c r="I1819">
        <v>5</v>
      </c>
      <c r="J1819" t="s">
        <v>14</v>
      </c>
      <c r="K1819">
        <v>384.08</v>
      </c>
    </row>
    <row r="1820" spans="1:11" x14ac:dyDescent="0.25">
      <c r="A1820" t="s">
        <v>3632</v>
      </c>
      <c r="B1820" s="1">
        <v>45404</v>
      </c>
      <c r="C1820" t="s">
        <v>3633</v>
      </c>
      <c r="D1820" t="s">
        <v>36</v>
      </c>
      <c r="E1820" t="s">
        <v>3272</v>
      </c>
      <c r="F1820" t="s">
        <v>4882</v>
      </c>
      <c r="G1820">
        <v>5</v>
      </c>
      <c r="H1820">
        <v>1069.3800000000001</v>
      </c>
      <c r="I1820">
        <v>5</v>
      </c>
      <c r="J1820" t="s">
        <v>21</v>
      </c>
      <c r="K1820">
        <v>5079.5600000000004</v>
      </c>
    </row>
    <row r="1821" spans="1:11" x14ac:dyDescent="0.25">
      <c r="A1821" t="s">
        <v>3634</v>
      </c>
      <c r="B1821" s="1">
        <v>45860</v>
      </c>
      <c r="C1821" t="s">
        <v>3635</v>
      </c>
      <c r="D1821" t="s">
        <v>24</v>
      </c>
      <c r="E1821" t="s">
        <v>29</v>
      </c>
      <c r="F1821" t="s">
        <v>4378</v>
      </c>
      <c r="G1821">
        <v>8</v>
      </c>
      <c r="H1821">
        <v>968.19</v>
      </c>
      <c r="I1821">
        <v>0</v>
      </c>
      <c r="J1821" t="s">
        <v>39</v>
      </c>
      <c r="K1821">
        <v>7745.52</v>
      </c>
    </row>
    <row r="1822" spans="1:11" x14ac:dyDescent="0.25">
      <c r="A1822" t="s">
        <v>3636</v>
      </c>
      <c r="B1822" s="1">
        <v>45623</v>
      </c>
      <c r="C1822" t="s">
        <v>3637</v>
      </c>
      <c r="D1822" t="s">
        <v>20</v>
      </c>
      <c r="E1822" t="s">
        <v>3988</v>
      </c>
      <c r="F1822" t="s">
        <v>4257</v>
      </c>
      <c r="G1822">
        <v>6</v>
      </c>
      <c r="H1822">
        <v>1329.31</v>
      </c>
      <c r="I1822">
        <v>5</v>
      </c>
      <c r="J1822" t="s">
        <v>14</v>
      </c>
      <c r="K1822">
        <v>7577.07</v>
      </c>
    </row>
    <row r="1823" spans="1:11" x14ac:dyDescent="0.25">
      <c r="A1823" t="s">
        <v>3638</v>
      </c>
      <c r="B1823" s="1">
        <v>45321</v>
      </c>
      <c r="C1823" t="s">
        <v>3639</v>
      </c>
      <c r="D1823" t="s">
        <v>13</v>
      </c>
      <c r="E1823" t="s">
        <v>29</v>
      </c>
      <c r="F1823" t="s">
        <v>4500</v>
      </c>
      <c r="G1823">
        <v>8</v>
      </c>
      <c r="H1823">
        <v>1141.18</v>
      </c>
      <c r="I1823">
        <v>0</v>
      </c>
      <c r="J1823" t="s">
        <v>17</v>
      </c>
      <c r="K1823">
        <v>9129.44</v>
      </c>
    </row>
    <row r="1824" spans="1:11" x14ac:dyDescent="0.25">
      <c r="A1824" t="s">
        <v>3640</v>
      </c>
      <c r="B1824" s="1">
        <v>45653</v>
      </c>
      <c r="C1824" t="s">
        <v>3641</v>
      </c>
      <c r="D1824" t="s">
        <v>13</v>
      </c>
      <c r="E1824" t="s">
        <v>3988</v>
      </c>
      <c r="F1824" t="s">
        <v>4812</v>
      </c>
      <c r="G1824">
        <v>2</v>
      </c>
      <c r="H1824">
        <v>1389.73</v>
      </c>
      <c r="I1824">
        <v>10</v>
      </c>
      <c r="J1824" t="s">
        <v>17</v>
      </c>
      <c r="K1824">
        <v>2501.5100000000002</v>
      </c>
    </row>
    <row r="1825" spans="1:11" x14ac:dyDescent="0.25">
      <c r="A1825" t="s">
        <v>3642</v>
      </c>
      <c r="B1825" s="1">
        <v>45199</v>
      </c>
      <c r="C1825" t="s">
        <v>3643</v>
      </c>
      <c r="D1825" t="s">
        <v>20</v>
      </c>
      <c r="E1825" t="s">
        <v>3988</v>
      </c>
      <c r="F1825" t="s">
        <v>4852</v>
      </c>
      <c r="G1825">
        <v>3</v>
      </c>
      <c r="H1825">
        <v>1333.26</v>
      </c>
      <c r="I1825">
        <v>10</v>
      </c>
      <c r="J1825" t="s">
        <v>14</v>
      </c>
      <c r="K1825">
        <v>3599.8</v>
      </c>
    </row>
    <row r="1826" spans="1:11" x14ac:dyDescent="0.25">
      <c r="A1826" t="s">
        <v>3644</v>
      </c>
      <c r="B1826" s="1">
        <v>45643</v>
      </c>
      <c r="C1826" t="s">
        <v>3645</v>
      </c>
      <c r="D1826" t="s">
        <v>13</v>
      </c>
      <c r="E1826" t="s">
        <v>29</v>
      </c>
      <c r="F1826" t="s">
        <v>4382</v>
      </c>
      <c r="G1826">
        <v>6</v>
      </c>
      <c r="H1826">
        <v>278.17</v>
      </c>
      <c r="I1826">
        <v>10</v>
      </c>
      <c r="J1826" t="s">
        <v>39</v>
      </c>
      <c r="K1826">
        <v>1502.12</v>
      </c>
    </row>
    <row r="1827" spans="1:11" x14ac:dyDescent="0.25">
      <c r="A1827" t="s">
        <v>3646</v>
      </c>
      <c r="B1827" s="1">
        <v>45789</v>
      </c>
      <c r="C1827" t="s">
        <v>3647</v>
      </c>
      <c r="D1827" t="s">
        <v>20</v>
      </c>
      <c r="E1827" t="s">
        <v>3272</v>
      </c>
      <c r="F1827" t="s">
        <v>4168</v>
      </c>
      <c r="G1827">
        <v>3</v>
      </c>
      <c r="H1827">
        <v>1609.45</v>
      </c>
      <c r="I1827">
        <v>5</v>
      </c>
      <c r="J1827" t="s">
        <v>14</v>
      </c>
      <c r="K1827">
        <v>4586.93</v>
      </c>
    </row>
    <row r="1828" spans="1:11" x14ac:dyDescent="0.25">
      <c r="A1828" t="s">
        <v>3648</v>
      </c>
      <c r="B1828" s="1">
        <v>45510</v>
      </c>
      <c r="C1828" t="s">
        <v>3649</v>
      </c>
      <c r="D1828" t="s">
        <v>20</v>
      </c>
      <c r="E1828" t="s">
        <v>3988</v>
      </c>
      <c r="F1828" t="s">
        <v>4022</v>
      </c>
      <c r="G1828">
        <v>6</v>
      </c>
      <c r="H1828">
        <v>290.3</v>
      </c>
      <c r="I1828">
        <v>5</v>
      </c>
      <c r="J1828" t="s">
        <v>17</v>
      </c>
      <c r="K1828">
        <v>1654.71</v>
      </c>
    </row>
    <row r="1829" spans="1:11" x14ac:dyDescent="0.25">
      <c r="A1829" t="s">
        <v>3650</v>
      </c>
      <c r="B1829" s="1">
        <v>45856</v>
      </c>
      <c r="C1829" t="s">
        <v>3651</v>
      </c>
      <c r="D1829" t="s">
        <v>36</v>
      </c>
      <c r="E1829" t="s">
        <v>3988</v>
      </c>
      <c r="F1829" t="s">
        <v>4883</v>
      </c>
      <c r="G1829">
        <v>6</v>
      </c>
      <c r="H1829">
        <v>1412.13</v>
      </c>
      <c r="I1829">
        <v>0</v>
      </c>
      <c r="J1829" t="s">
        <v>17</v>
      </c>
      <c r="K1829">
        <v>8472.7800000000007</v>
      </c>
    </row>
    <row r="1830" spans="1:11" x14ac:dyDescent="0.25">
      <c r="A1830" t="s">
        <v>3652</v>
      </c>
      <c r="B1830" s="1">
        <v>45694</v>
      </c>
      <c r="C1830" t="s">
        <v>3653</v>
      </c>
      <c r="D1830" t="s">
        <v>36</v>
      </c>
      <c r="E1830" t="s">
        <v>3988</v>
      </c>
      <c r="F1830" t="s">
        <v>4636</v>
      </c>
      <c r="G1830">
        <v>2</v>
      </c>
      <c r="H1830">
        <v>861.48</v>
      </c>
      <c r="I1830">
        <v>15</v>
      </c>
      <c r="J1830" t="s">
        <v>21</v>
      </c>
      <c r="K1830">
        <v>1464.52</v>
      </c>
    </row>
    <row r="1831" spans="1:11" x14ac:dyDescent="0.25">
      <c r="A1831" t="s">
        <v>3654</v>
      </c>
      <c r="B1831" s="1">
        <v>45384</v>
      </c>
      <c r="C1831" t="s">
        <v>3655</v>
      </c>
      <c r="D1831" t="s">
        <v>24</v>
      </c>
      <c r="E1831" t="s">
        <v>3272</v>
      </c>
      <c r="F1831" t="s">
        <v>4475</v>
      </c>
      <c r="G1831">
        <v>7</v>
      </c>
      <c r="H1831">
        <v>1052.01</v>
      </c>
      <c r="I1831">
        <v>0</v>
      </c>
      <c r="J1831" t="s">
        <v>21</v>
      </c>
      <c r="K1831">
        <v>7364.07</v>
      </c>
    </row>
    <row r="1832" spans="1:11" x14ac:dyDescent="0.25">
      <c r="A1832" t="s">
        <v>3656</v>
      </c>
      <c r="B1832" s="1">
        <v>45654</v>
      </c>
      <c r="C1832" t="s">
        <v>3657</v>
      </c>
      <c r="D1832" t="s">
        <v>36</v>
      </c>
      <c r="E1832" t="s">
        <v>3272</v>
      </c>
      <c r="F1832" t="s">
        <v>4475</v>
      </c>
      <c r="G1832">
        <v>2</v>
      </c>
      <c r="H1832">
        <v>1811.43</v>
      </c>
      <c r="I1832">
        <v>10</v>
      </c>
      <c r="J1832" t="s">
        <v>17</v>
      </c>
      <c r="K1832">
        <v>3260.57</v>
      </c>
    </row>
    <row r="1833" spans="1:11" x14ac:dyDescent="0.25">
      <c r="A1833" t="s">
        <v>3658</v>
      </c>
      <c r="B1833" s="1">
        <v>45467</v>
      </c>
      <c r="C1833" t="s">
        <v>3659</v>
      </c>
      <c r="D1833" t="s">
        <v>20</v>
      </c>
      <c r="E1833" t="s">
        <v>3988</v>
      </c>
      <c r="F1833" t="s">
        <v>4632</v>
      </c>
      <c r="G1833">
        <v>6</v>
      </c>
      <c r="H1833">
        <v>1785.27</v>
      </c>
      <c r="I1833">
        <v>0</v>
      </c>
      <c r="J1833" t="s">
        <v>21</v>
      </c>
      <c r="K1833">
        <v>10711.62</v>
      </c>
    </row>
    <row r="1834" spans="1:11" x14ac:dyDescent="0.25">
      <c r="A1834" t="s">
        <v>3660</v>
      </c>
      <c r="B1834" s="1">
        <v>45240</v>
      </c>
      <c r="C1834" t="s">
        <v>3661</v>
      </c>
      <c r="D1834" t="s">
        <v>24</v>
      </c>
      <c r="E1834" t="s">
        <v>3272</v>
      </c>
      <c r="F1834" t="s">
        <v>4087</v>
      </c>
      <c r="G1834">
        <v>1</v>
      </c>
      <c r="H1834">
        <v>1644.82</v>
      </c>
      <c r="I1834">
        <v>15</v>
      </c>
      <c r="J1834" t="s">
        <v>21</v>
      </c>
      <c r="K1834">
        <v>1398.1</v>
      </c>
    </row>
    <row r="1835" spans="1:11" x14ac:dyDescent="0.25">
      <c r="A1835" t="s">
        <v>3662</v>
      </c>
      <c r="B1835" s="1">
        <v>45258</v>
      </c>
      <c r="C1835" t="s">
        <v>3663</v>
      </c>
      <c r="D1835" t="s">
        <v>13</v>
      </c>
      <c r="E1835" t="s">
        <v>29</v>
      </c>
      <c r="F1835" t="s">
        <v>4532</v>
      </c>
      <c r="G1835">
        <v>3</v>
      </c>
      <c r="H1835">
        <v>1044.79</v>
      </c>
      <c r="I1835">
        <v>5</v>
      </c>
      <c r="J1835" t="s">
        <v>14</v>
      </c>
      <c r="K1835">
        <v>2977.65</v>
      </c>
    </row>
    <row r="1836" spans="1:11" x14ac:dyDescent="0.25">
      <c r="A1836" t="s">
        <v>3664</v>
      </c>
      <c r="B1836" s="1">
        <v>45185</v>
      </c>
      <c r="C1836" t="s">
        <v>3665</v>
      </c>
      <c r="D1836" t="s">
        <v>20</v>
      </c>
      <c r="E1836" t="s">
        <v>3988</v>
      </c>
      <c r="F1836" t="s">
        <v>4859</v>
      </c>
      <c r="G1836">
        <v>2</v>
      </c>
      <c r="H1836">
        <v>1485.67</v>
      </c>
      <c r="I1836">
        <v>0</v>
      </c>
      <c r="J1836" t="s">
        <v>39</v>
      </c>
      <c r="K1836">
        <v>2971.34</v>
      </c>
    </row>
    <row r="1837" spans="1:11" x14ac:dyDescent="0.25">
      <c r="A1837" t="s">
        <v>3666</v>
      </c>
      <c r="B1837" s="1">
        <v>45178</v>
      </c>
      <c r="C1837" t="s">
        <v>3667</v>
      </c>
      <c r="D1837" t="s">
        <v>24</v>
      </c>
      <c r="E1837" t="s">
        <v>3272</v>
      </c>
      <c r="F1837" t="s">
        <v>4150</v>
      </c>
      <c r="G1837">
        <v>7</v>
      </c>
      <c r="H1837">
        <v>1050.1500000000001</v>
      </c>
      <c r="I1837">
        <v>10</v>
      </c>
      <c r="J1837" t="s">
        <v>14</v>
      </c>
      <c r="K1837">
        <v>6615.95</v>
      </c>
    </row>
    <row r="1838" spans="1:11" x14ac:dyDescent="0.25">
      <c r="A1838" t="s">
        <v>3668</v>
      </c>
      <c r="B1838" s="1">
        <v>45386</v>
      </c>
      <c r="C1838" t="s">
        <v>3669</v>
      </c>
      <c r="D1838" t="s">
        <v>36</v>
      </c>
      <c r="E1838" t="s">
        <v>3988</v>
      </c>
      <c r="F1838" t="s">
        <v>4391</v>
      </c>
      <c r="G1838">
        <v>4</v>
      </c>
      <c r="H1838">
        <v>1745.73</v>
      </c>
      <c r="I1838">
        <v>10</v>
      </c>
      <c r="J1838" t="s">
        <v>14</v>
      </c>
      <c r="K1838">
        <v>6284.63</v>
      </c>
    </row>
    <row r="1839" spans="1:11" x14ac:dyDescent="0.25">
      <c r="A1839" t="s">
        <v>3670</v>
      </c>
      <c r="B1839" s="1">
        <v>45532</v>
      </c>
      <c r="C1839" t="s">
        <v>3671</v>
      </c>
      <c r="D1839" t="s">
        <v>20</v>
      </c>
      <c r="E1839" t="s">
        <v>3272</v>
      </c>
      <c r="F1839" t="s">
        <v>4428</v>
      </c>
      <c r="G1839">
        <v>8</v>
      </c>
      <c r="H1839">
        <v>835.41</v>
      </c>
      <c r="I1839">
        <v>5</v>
      </c>
      <c r="J1839" t="s">
        <v>21</v>
      </c>
      <c r="K1839">
        <v>6349.12</v>
      </c>
    </row>
    <row r="1840" spans="1:11" x14ac:dyDescent="0.25">
      <c r="A1840" t="s">
        <v>3672</v>
      </c>
      <c r="B1840" s="1">
        <v>45240</v>
      </c>
      <c r="C1840" t="s">
        <v>3673</v>
      </c>
      <c r="D1840" t="s">
        <v>24</v>
      </c>
      <c r="E1840" t="s">
        <v>3988</v>
      </c>
      <c r="F1840" t="s">
        <v>4686</v>
      </c>
      <c r="G1840">
        <v>6</v>
      </c>
      <c r="H1840">
        <v>1941.96</v>
      </c>
      <c r="I1840">
        <v>0</v>
      </c>
      <c r="J1840" t="s">
        <v>21</v>
      </c>
      <c r="K1840">
        <v>11651.76</v>
      </c>
    </row>
    <row r="1841" spans="1:11" x14ac:dyDescent="0.25">
      <c r="A1841" t="s">
        <v>3674</v>
      </c>
      <c r="B1841" s="1">
        <v>45225</v>
      </c>
      <c r="C1841" t="s">
        <v>3675</v>
      </c>
      <c r="D1841" t="s">
        <v>13</v>
      </c>
      <c r="E1841" t="s">
        <v>3272</v>
      </c>
      <c r="F1841" t="s">
        <v>4250</v>
      </c>
      <c r="G1841">
        <v>4</v>
      </c>
      <c r="H1841">
        <v>1868.03</v>
      </c>
      <c r="I1841">
        <v>15</v>
      </c>
      <c r="J1841" t="s">
        <v>39</v>
      </c>
      <c r="K1841">
        <v>6351.3</v>
      </c>
    </row>
    <row r="1842" spans="1:11" x14ac:dyDescent="0.25">
      <c r="A1842" t="s">
        <v>3676</v>
      </c>
      <c r="B1842" s="1">
        <v>45332</v>
      </c>
      <c r="C1842" t="s">
        <v>3677</v>
      </c>
      <c r="D1842" t="s">
        <v>20</v>
      </c>
      <c r="E1842" t="s">
        <v>3272</v>
      </c>
      <c r="F1842" t="s">
        <v>4296</v>
      </c>
      <c r="G1842">
        <v>5</v>
      </c>
      <c r="H1842">
        <v>1496.13</v>
      </c>
      <c r="I1842">
        <v>5</v>
      </c>
      <c r="J1842" t="s">
        <v>39</v>
      </c>
      <c r="K1842">
        <v>7106.62</v>
      </c>
    </row>
    <row r="1843" spans="1:11" x14ac:dyDescent="0.25">
      <c r="A1843" t="s">
        <v>3678</v>
      </c>
      <c r="B1843" s="1">
        <v>45839</v>
      </c>
      <c r="C1843" t="s">
        <v>3679</v>
      </c>
      <c r="D1843" t="s">
        <v>20</v>
      </c>
      <c r="E1843" t="s">
        <v>29</v>
      </c>
      <c r="F1843" t="s">
        <v>4884</v>
      </c>
      <c r="G1843">
        <v>9</v>
      </c>
      <c r="H1843">
        <v>594.86</v>
      </c>
      <c r="I1843">
        <v>0</v>
      </c>
      <c r="J1843" t="s">
        <v>39</v>
      </c>
      <c r="K1843">
        <v>5353.74</v>
      </c>
    </row>
    <row r="1844" spans="1:11" x14ac:dyDescent="0.25">
      <c r="A1844" t="s">
        <v>3680</v>
      </c>
      <c r="B1844" s="1">
        <v>45567</v>
      </c>
      <c r="C1844" t="s">
        <v>3681</v>
      </c>
      <c r="D1844" t="s">
        <v>24</v>
      </c>
      <c r="E1844" t="s">
        <v>3988</v>
      </c>
      <c r="F1844" t="s">
        <v>4885</v>
      </c>
      <c r="G1844">
        <v>7</v>
      </c>
      <c r="H1844">
        <v>306.72000000000003</v>
      </c>
      <c r="I1844">
        <v>20</v>
      </c>
      <c r="J1844" t="s">
        <v>14</v>
      </c>
      <c r="K1844">
        <v>1717.63</v>
      </c>
    </row>
    <row r="1845" spans="1:11" x14ac:dyDescent="0.25">
      <c r="A1845" t="s">
        <v>3682</v>
      </c>
      <c r="B1845" s="1">
        <v>45255</v>
      </c>
      <c r="C1845" t="s">
        <v>3683</v>
      </c>
      <c r="D1845" t="s">
        <v>24</v>
      </c>
      <c r="E1845" t="s">
        <v>3988</v>
      </c>
      <c r="F1845" t="s">
        <v>4635</v>
      </c>
      <c r="G1845">
        <v>9</v>
      </c>
      <c r="H1845">
        <v>1716.67</v>
      </c>
      <c r="I1845">
        <v>10</v>
      </c>
      <c r="J1845" t="s">
        <v>39</v>
      </c>
      <c r="K1845">
        <v>13905.03</v>
      </c>
    </row>
    <row r="1846" spans="1:11" x14ac:dyDescent="0.25">
      <c r="A1846" t="s">
        <v>3684</v>
      </c>
      <c r="B1846" s="1">
        <v>45451</v>
      </c>
      <c r="C1846" t="s">
        <v>3685</v>
      </c>
      <c r="D1846" t="s">
        <v>36</v>
      </c>
      <c r="E1846" t="s">
        <v>29</v>
      </c>
      <c r="F1846" t="s">
        <v>4016</v>
      </c>
      <c r="G1846">
        <v>7</v>
      </c>
      <c r="H1846">
        <v>372.34</v>
      </c>
      <c r="I1846">
        <v>15</v>
      </c>
      <c r="J1846" t="s">
        <v>17</v>
      </c>
      <c r="K1846">
        <v>2215.42</v>
      </c>
    </row>
    <row r="1847" spans="1:11" x14ac:dyDescent="0.25">
      <c r="A1847" t="s">
        <v>3686</v>
      </c>
      <c r="B1847" s="1">
        <v>45502</v>
      </c>
      <c r="C1847" t="s">
        <v>3687</v>
      </c>
      <c r="D1847" t="s">
        <v>36</v>
      </c>
      <c r="E1847" t="s">
        <v>3988</v>
      </c>
      <c r="F1847" t="s">
        <v>4580</v>
      </c>
      <c r="G1847">
        <v>1</v>
      </c>
      <c r="H1847">
        <v>1715.81</v>
      </c>
      <c r="I1847">
        <v>15</v>
      </c>
      <c r="J1847" t="s">
        <v>17</v>
      </c>
      <c r="K1847">
        <v>1458.44</v>
      </c>
    </row>
    <row r="1848" spans="1:11" x14ac:dyDescent="0.25">
      <c r="A1848" t="s">
        <v>3688</v>
      </c>
      <c r="B1848" s="1">
        <v>45438</v>
      </c>
      <c r="C1848" t="s">
        <v>3689</v>
      </c>
      <c r="D1848" t="s">
        <v>20</v>
      </c>
      <c r="E1848" t="s">
        <v>3272</v>
      </c>
      <c r="F1848" t="s">
        <v>4886</v>
      </c>
      <c r="G1848">
        <v>8</v>
      </c>
      <c r="H1848">
        <v>1006.99</v>
      </c>
      <c r="I1848">
        <v>15</v>
      </c>
      <c r="J1848" t="s">
        <v>14</v>
      </c>
      <c r="K1848">
        <v>6847.53</v>
      </c>
    </row>
    <row r="1849" spans="1:11" x14ac:dyDescent="0.25">
      <c r="A1849" t="s">
        <v>3690</v>
      </c>
      <c r="B1849" s="1">
        <v>45670</v>
      </c>
      <c r="C1849" t="s">
        <v>3691</v>
      </c>
      <c r="D1849" t="s">
        <v>13</v>
      </c>
      <c r="E1849" t="s">
        <v>3988</v>
      </c>
      <c r="F1849" t="s">
        <v>4887</v>
      </c>
      <c r="G1849">
        <v>4</v>
      </c>
      <c r="H1849">
        <v>842.79</v>
      </c>
      <c r="I1849">
        <v>10</v>
      </c>
      <c r="J1849" t="s">
        <v>21</v>
      </c>
      <c r="K1849">
        <v>3034.04</v>
      </c>
    </row>
    <row r="1850" spans="1:11" x14ac:dyDescent="0.25">
      <c r="A1850" t="s">
        <v>3692</v>
      </c>
      <c r="B1850" s="1">
        <v>45727</v>
      </c>
      <c r="C1850" t="s">
        <v>3693</v>
      </c>
      <c r="D1850" t="s">
        <v>36</v>
      </c>
      <c r="E1850" t="s">
        <v>3272</v>
      </c>
      <c r="F1850" t="s">
        <v>4888</v>
      </c>
      <c r="G1850">
        <v>3</v>
      </c>
      <c r="H1850">
        <v>1811.22</v>
      </c>
      <c r="I1850">
        <v>0</v>
      </c>
      <c r="J1850" t="s">
        <v>39</v>
      </c>
      <c r="K1850">
        <v>5433.66</v>
      </c>
    </row>
    <row r="1851" spans="1:11" x14ac:dyDescent="0.25">
      <c r="A1851" t="s">
        <v>3694</v>
      </c>
      <c r="B1851" s="1">
        <v>45690</v>
      </c>
      <c r="C1851" t="s">
        <v>3695</v>
      </c>
      <c r="D1851" t="s">
        <v>13</v>
      </c>
      <c r="E1851" t="s">
        <v>3988</v>
      </c>
      <c r="F1851" t="s">
        <v>4501</v>
      </c>
      <c r="G1851">
        <v>7</v>
      </c>
      <c r="H1851">
        <v>1227.51</v>
      </c>
      <c r="I1851">
        <v>5</v>
      </c>
      <c r="J1851" t="s">
        <v>17</v>
      </c>
      <c r="K1851">
        <v>8162.94</v>
      </c>
    </row>
    <row r="1852" spans="1:11" x14ac:dyDescent="0.25">
      <c r="A1852" t="s">
        <v>3696</v>
      </c>
      <c r="B1852" s="1">
        <v>45569</v>
      </c>
      <c r="C1852" t="s">
        <v>3697</v>
      </c>
      <c r="D1852" t="s">
        <v>24</v>
      </c>
      <c r="E1852" t="s">
        <v>3988</v>
      </c>
      <c r="F1852" t="s">
        <v>4889</v>
      </c>
      <c r="G1852">
        <v>3</v>
      </c>
      <c r="H1852">
        <v>1174.4000000000001</v>
      </c>
      <c r="I1852">
        <v>0</v>
      </c>
      <c r="J1852" t="s">
        <v>39</v>
      </c>
      <c r="K1852">
        <v>3523.2</v>
      </c>
    </row>
    <row r="1853" spans="1:11" x14ac:dyDescent="0.25">
      <c r="A1853" t="s">
        <v>3698</v>
      </c>
      <c r="B1853" s="1">
        <v>45475</v>
      </c>
      <c r="C1853" t="s">
        <v>2363</v>
      </c>
      <c r="D1853" t="s">
        <v>24</v>
      </c>
      <c r="E1853" t="s">
        <v>3272</v>
      </c>
      <c r="F1853" t="s">
        <v>4619</v>
      </c>
      <c r="G1853">
        <v>8</v>
      </c>
      <c r="H1853">
        <v>1139.5899999999999</v>
      </c>
      <c r="I1853">
        <v>5</v>
      </c>
      <c r="J1853" t="s">
        <v>17</v>
      </c>
      <c r="K1853">
        <v>8660.8799999999992</v>
      </c>
    </row>
    <row r="1854" spans="1:11" x14ac:dyDescent="0.25">
      <c r="A1854" t="s">
        <v>3699</v>
      </c>
      <c r="B1854" s="1">
        <v>45606</v>
      </c>
      <c r="C1854" t="s">
        <v>3700</v>
      </c>
      <c r="D1854" t="s">
        <v>36</v>
      </c>
      <c r="E1854" t="s">
        <v>3272</v>
      </c>
      <c r="F1854" t="s">
        <v>4890</v>
      </c>
      <c r="G1854">
        <v>6</v>
      </c>
      <c r="H1854">
        <v>773.78</v>
      </c>
      <c r="I1854">
        <v>15</v>
      </c>
      <c r="J1854" t="s">
        <v>17</v>
      </c>
      <c r="K1854">
        <v>3946.28</v>
      </c>
    </row>
    <row r="1855" spans="1:11" x14ac:dyDescent="0.25">
      <c r="A1855" t="s">
        <v>3701</v>
      </c>
      <c r="B1855" s="1">
        <v>45726</v>
      </c>
      <c r="C1855" t="s">
        <v>3702</v>
      </c>
      <c r="D1855" t="s">
        <v>20</v>
      </c>
      <c r="E1855" t="s">
        <v>3988</v>
      </c>
      <c r="F1855" t="s">
        <v>4056</v>
      </c>
      <c r="G1855">
        <v>5</v>
      </c>
      <c r="H1855">
        <v>1582</v>
      </c>
      <c r="I1855">
        <v>0</v>
      </c>
      <c r="J1855" t="s">
        <v>39</v>
      </c>
      <c r="K1855">
        <v>7910</v>
      </c>
    </row>
    <row r="1856" spans="1:11" x14ac:dyDescent="0.25">
      <c r="A1856" t="s">
        <v>3703</v>
      </c>
      <c r="B1856" s="1">
        <v>45714</v>
      </c>
      <c r="C1856" t="s">
        <v>3704</v>
      </c>
      <c r="D1856" t="s">
        <v>24</v>
      </c>
      <c r="E1856" t="s">
        <v>3988</v>
      </c>
      <c r="F1856" t="s">
        <v>4275</v>
      </c>
      <c r="G1856">
        <v>4</v>
      </c>
      <c r="H1856">
        <v>542.96</v>
      </c>
      <c r="I1856">
        <v>15</v>
      </c>
      <c r="J1856" t="s">
        <v>17</v>
      </c>
      <c r="K1856">
        <v>1846.06</v>
      </c>
    </row>
    <row r="1857" spans="1:11" x14ac:dyDescent="0.25">
      <c r="A1857" t="s">
        <v>3705</v>
      </c>
      <c r="B1857" s="1">
        <v>45270</v>
      </c>
      <c r="C1857" t="s">
        <v>3706</v>
      </c>
      <c r="D1857" t="s">
        <v>13</v>
      </c>
      <c r="E1857" t="s">
        <v>3988</v>
      </c>
      <c r="F1857" t="s">
        <v>4891</v>
      </c>
      <c r="G1857">
        <v>8</v>
      </c>
      <c r="H1857">
        <v>1880.85</v>
      </c>
      <c r="I1857">
        <v>20</v>
      </c>
      <c r="J1857" t="s">
        <v>39</v>
      </c>
      <c r="K1857">
        <v>12037.44</v>
      </c>
    </row>
    <row r="1858" spans="1:11" x14ac:dyDescent="0.25">
      <c r="A1858" t="s">
        <v>3707</v>
      </c>
      <c r="B1858" s="1">
        <v>45837</v>
      </c>
      <c r="C1858" t="s">
        <v>3708</v>
      </c>
      <c r="D1858" t="s">
        <v>20</v>
      </c>
      <c r="E1858" t="s">
        <v>3988</v>
      </c>
      <c r="F1858" t="s">
        <v>4490</v>
      </c>
      <c r="G1858">
        <v>8</v>
      </c>
      <c r="H1858">
        <v>1793.27</v>
      </c>
      <c r="I1858">
        <v>15</v>
      </c>
      <c r="J1858" t="s">
        <v>17</v>
      </c>
      <c r="K1858">
        <v>12194.24</v>
      </c>
    </row>
    <row r="1859" spans="1:11" x14ac:dyDescent="0.25">
      <c r="A1859" t="s">
        <v>3709</v>
      </c>
      <c r="B1859" s="1">
        <v>45472</v>
      </c>
      <c r="C1859" t="s">
        <v>3710</v>
      </c>
      <c r="D1859" t="s">
        <v>36</v>
      </c>
      <c r="E1859" t="s">
        <v>3988</v>
      </c>
      <c r="F1859" t="s">
        <v>4202</v>
      </c>
      <c r="G1859">
        <v>1</v>
      </c>
      <c r="H1859">
        <v>708.09</v>
      </c>
      <c r="I1859">
        <v>15</v>
      </c>
      <c r="J1859" t="s">
        <v>21</v>
      </c>
      <c r="K1859">
        <v>601.88</v>
      </c>
    </row>
    <row r="1860" spans="1:11" x14ac:dyDescent="0.25">
      <c r="A1860" t="s">
        <v>3711</v>
      </c>
      <c r="B1860" s="1">
        <v>45658</v>
      </c>
      <c r="C1860" t="s">
        <v>3712</v>
      </c>
      <c r="D1860" t="s">
        <v>24</v>
      </c>
      <c r="E1860" t="s">
        <v>3988</v>
      </c>
      <c r="F1860" t="s">
        <v>4490</v>
      </c>
      <c r="G1860">
        <v>9</v>
      </c>
      <c r="H1860">
        <v>1472.45</v>
      </c>
      <c r="I1860">
        <v>5</v>
      </c>
      <c r="J1860" t="s">
        <v>14</v>
      </c>
      <c r="K1860">
        <v>12589.45</v>
      </c>
    </row>
    <row r="1861" spans="1:11" x14ac:dyDescent="0.25">
      <c r="A1861" t="s">
        <v>3713</v>
      </c>
      <c r="B1861" s="1">
        <v>45226</v>
      </c>
      <c r="C1861" t="s">
        <v>3714</v>
      </c>
      <c r="D1861" t="s">
        <v>36</v>
      </c>
      <c r="E1861" t="s">
        <v>3272</v>
      </c>
      <c r="F1861" t="s">
        <v>4370</v>
      </c>
      <c r="G1861">
        <v>5</v>
      </c>
      <c r="H1861">
        <v>1167.79</v>
      </c>
      <c r="I1861">
        <v>20</v>
      </c>
      <c r="J1861" t="s">
        <v>14</v>
      </c>
      <c r="K1861">
        <v>4671.16</v>
      </c>
    </row>
    <row r="1862" spans="1:11" x14ac:dyDescent="0.25">
      <c r="A1862" t="s">
        <v>3715</v>
      </c>
      <c r="B1862" s="1">
        <v>45797</v>
      </c>
      <c r="C1862" t="s">
        <v>3716</v>
      </c>
      <c r="D1862" t="s">
        <v>20</v>
      </c>
      <c r="E1862" t="s">
        <v>29</v>
      </c>
      <c r="F1862" t="s">
        <v>4359</v>
      </c>
      <c r="G1862">
        <v>4</v>
      </c>
      <c r="H1862">
        <v>708.42</v>
      </c>
      <c r="I1862">
        <v>15</v>
      </c>
      <c r="J1862" t="s">
        <v>39</v>
      </c>
      <c r="K1862">
        <v>2408.63</v>
      </c>
    </row>
    <row r="1863" spans="1:11" x14ac:dyDescent="0.25">
      <c r="A1863" t="s">
        <v>3717</v>
      </c>
      <c r="B1863" s="1">
        <v>45530</v>
      </c>
      <c r="C1863" t="s">
        <v>3718</v>
      </c>
      <c r="D1863" t="s">
        <v>20</v>
      </c>
      <c r="E1863" t="s">
        <v>29</v>
      </c>
      <c r="F1863" t="s">
        <v>4005</v>
      </c>
      <c r="G1863">
        <v>6</v>
      </c>
      <c r="H1863">
        <v>1977.62</v>
      </c>
      <c r="I1863">
        <v>15</v>
      </c>
      <c r="J1863" t="s">
        <v>14</v>
      </c>
      <c r="K1863">
        <v>10085.86</v>
      </c>
    </row>
    <row r="1864" spans="1:11" x14ac:dyDescent="0.25">
      <c r="A1864" t="s">
        <v>3719</v>
      </c>
      <c r="B1864" s="1">
        <v>45628</v>
      </c>
      <c r="C1864" t="s">
        <v>3720</v>
      </c>
      <c r="D1864" t="s">
        <v>20</v>
      </c>
      <c r="E1864" t="s">
        <v>3272</v>
      </c>
      <c r="F1864" t="s">
        <v>4421</v>
      </c>
      <c r="G1864">
        <v>6</v>
      </c>
      <c r="H1864">
        <v>99.21</v>
      </c>
      <c r="I1864">
        <v>20</v>
      </c>
      <c r="J1864" t="s">
        <v>14</v>
      </c>
      <c r="K1864">
        <v>476.21</v>
      </c>
    </row>
    <row r="1865" spans="1:11" x14ac:dyDescent="0.25">
      <c r="A1865" t="s">
        <v>3721</v>
      </c>
      <c r="B1865" s="1">
        <v>45466</v>
      </c>
      <c r="C1865" t="s">
        <v>3722</v>
      </c>
      <c r="D1865" t="s">
        <v>13</v>
      </c>
      <c r="E1865" t="s">
        <v>29</v>
      </c>
      <c r="F1865" t="s">
        <v>4827</v>
      </c>
      <c r="G1865">
        <v>2</v>
      </c>
      <c r="H1865">
        <v>542.66</v>
      </c>
      <c r="I1865">
        <v>20</v>
      </c>
      <c r="J1865" t="s">
        <v>14</v>
      </c>
      <c r="K1865">
        <v>868.26</v>
      </c>
    </row>
    <row r="1866" spans="1:11" x14ac:dyDescent="0.25">
      <c r="A1866" t="s">
        <v>3723</v>
      </c>
      <c r="B1866" s="1">
        <v>45879</v>
      </c>
      <c r="C1866" t="s">
        <v>3724</v>
      </c>
      <c r="D1866" t="s">
        <v>20</v>
      </c>
      <c r="E1866" t="s">
        <v>3988</v>
      </c>
      <c r="F1866" t="s">
        <v>4656</v>
      </c>
      <c r="G1866">
        <v>8</v>
      </c>
      <c r="H1866">
        <v>1064.1400000000001</v>
      </c>
      <c r="I1866">
        <v>0</v>
      </c>
      <c r="J1866" t="s">
        <v>14</v>
      </c>
      <c r="K1866">
        <v>8513.1200000000008</v>
      </c>
    </row>
    <row r="1867" spans="1:11" x14ac:dyDescent="0.25">
      <c r="A1867" t="s">
        <v>3725</v>
      </c>
      <c r="B1867" s="1">
        <v>45367</v>
      </c>
      <c r="C1867" t="s">
        <v>3726</v>
      </c>
      <c r="D1867" t="s">
        <v>20</v>
      </c>
      <c r="E1867" t="s">
        <v>29</v>
      </c>
      <c r="F1867" t="s">
        <v>4049</v>
      </c>
      <c r="G1867">
        <v>7</v>
      </c>
      <c r="H1867">
        <v>1067.81</v>
      </c>
      <c r="I1867">
        <v>5</v>
      </c>
      <c r="J1867" t="s">
        <v>21</v>
      </c>
      <c r="K1867">
        <v>7100.94</v>
      </c>
    </row>
    <row r="1868" spans="1:11" x14ac:dyDescent="0.25">
      <c r="A1868" t="s">
        <v>3727</v>
      </c>
      <c r="B1868" s="1">
        <v>45175</v>
      </c>
      <c r="C1868" t="s">
        <v>3728</v>
      </c>
      <c r="D1868" t="s">
        <v>24</v>
      </c>
      <c r="E1868" t="s">
        <v>3988</v>
      </c>
      <c r="F1868" t="s">
        <v>4714</v>
      </c>
      <c r="G1868">
        <v>1</v>
      </c>
      <c r="H1868">
        <v>1198.42</v>
      </c>
      <c r="I1868">
        <v>20</v>
      </c>
      <c r="J1868" t="s">
        <v>21</v>
      </c>
      <c r="K1868">
        <v>958.74</v>
      </c>
    </row>
    <row r="1869" spans="1:11" x14ac:dyDescent="0.25">
      <c r="A1869" t="s">
        <v>3729</v>
      </c>
      <c r="B1869" s="1">
        <v>45686</v>
      </c>
      <c r="C1869" t="s">
        <v>3730</v>
      </c>
      <c r="D1869" t="s">
        <v>13</v>
      </c>
      <c r="E1869" t="s">
        <v>3988</v>
      </c>
      <c r="F1869" t="s">
        <v>4804</v>
      </c>
      <c r="G1869">
        <v>5</v>
      </c>
      <c r="H1869">
        <v>1515.77</v>
      </c>
      <c r="I1869">
        <v>20</v>
      </c>
      <c r="J1869" t="s">
        <v>14</v>
      </c>
      <c r="K1869">
        <v>6063.08</v>
      </c>
    </row>
    <row r="1870" spans="1:11" x14ac:dyDescent="0.25">
      <c r="A1870" t="s">
        <v>3731</v>
      </c>
      <c r="B1870" s="1">
        <v>45437</v>
      </c>
      <c r="C1870" t="s">
        <v>3732</v>
      </c>
      <c r="D1870" t="s">
        <v>13</v>
      </c>
      <c r="E1870" t="s">
        <v>3272</v>
      </c>
      <c r="F1870" t="s">
        <v>4892</v>
      </c>
      <c r="G1870">
        <v>6</v>
      </c>
      <c r="H1870">
        <v>1265.78</v>
      </c>
      <c r="I1870">
        <v>10</v>
      </c>
      <c r="J1870" t="s">
        <v>21</v>
      </c>
      <c r="K1870">
        <v>6835.21</v>
      </c>
    </row>
    <row r="1871" spans="1:11" x14ac:dyDescent="0.25">
      <c r="A1871" t="s">
        <v>3733</v>
      </c>
      <c r="B1871" s="1">
        <v>45318</v>
      </c>
      <c r="C1871" t="s">
        <v>3734</v>
      </c>
      <c r="D1871" t="s">
        <v>36</v>
      </c>
      <c r="E1871" t="s">
        <v>3988</v>
      </c>
      <c r="F1871" t="s">
        <v>4470</v>
      </c>
      <c r="G1871">
        <v>4</v>
      </c>
      <c r="H1871">
        <v>1220.55</v>
      </c>
      <c r="I1871">
        <v>20</v>
      </c>
      <c r="J1871" t="s">
        <v>21</v>
      </c>
      <c r="K1871">
        <v>3905.76</v>
      </c>
    </row>
    <row r="1872" spans="1:11" x14ac:dyDescent="0.25">
      <c r="A1872" t="s">
        <v>3735</v>
      </c>
      <c r="B1872" s="1">
        <v>45494</v>
      </c>
      <c r="C1872" t="s">
        <v>3736</v>
      </c>
      <c r="D1872" t="s">
        <v>20</v>
      </c>
      <c r="E1872" t="s">
        <v>3988</v>
      </c>
      <c r="F1872" t="s">
        <v>4893</v>
      </c>
      <c r="G1872">
        <v>2</v>
      </c>
      <c r="H1872">
        <v>154.35</v>
      </c>
      <c r="I1872">
        <v>5</v>
      </c>
      <c r="J1872" t="s">
        <v>14</v>
      </c>
      <c r="K1872">
        <v>293.26</v>
      </c>
    </row>
    <row r="1873" spans="1:11" x14ac:dyDescent="0.25">
      <c r="A1873" t="s">
        <v>3737</v>
      </c>
      <c r="B1873" s="1">
        <v>45495</v>
      </c>
      <c r="C1873" t="s">
        <v>3738</v>
      </c>
      <c r="D1873" t="s">
        <v>24</v>
      </c>
      <c r="E1873" t="s">
        <v>3988</v>
      </c>
      <c r="F1873" t="s">
        <v>4600</v>
      </c>
      <c r="G1873">
        <v>4</v>
      </c>
      <c r="H1873">
        <v>784.23</v>
      </c>
      <c r="I1873">
        <v>15</v>
      </c>
      <c r="J1873" t="s">
        <v>39</v>
      </c>
      <c r="K1873">
        <v>2666.38</v>
      </c>
    </row>
    <row r="1874" spans="1:11" x14ac:dyDescent="0.25">
      <c r="A1874" t="s">
        <v>3739</v>
      </c>
      <c r="B1874" s="1">
        <v>45333</v>
      </c>
      <c r="C1874" t="s">
        <v>3740</v>
      </c>
      <c r="D1874" t="s">
        <v>36</v>
      </c>
      <c r="E1874" t="s">
        <v>3272</v>
      </c>
      <c r="F1874" t="s">
        <v>4443</v>
      </c>
      <c r="G1874">
        <v>1</v>
      </c>
      <c r="H1874">
        <v>502.51</v>
      </c>
      <c r="I1874">
        <v>15</v>
      </c>
      <c r="J1874" t="s">
        <v>14</v>
      </c>
      <c r="K1874">
        <v>427.13</v>
      </c>
    </row>
    <row r="1875" spans="1:11" x14ac:dyDescent="0.25">
      <c r="A1875" t="s">
        <v>3741</v>
      </c>
      <c r="B1875" s="1">
        <v>45814</v>
      </c>
      <c r="C1875" t="s">
        <v>3742</v>
      </c>
      <c r="D1875" t="s">
        <v>20</v>
      </c>
      <c r="E1875" t="s">
        <v>3272</v>
      </c>
      <c r="F1875" t="s">
        <v>4405</v>
      </c>
      <c r="G1875">
        <v>7</v>
      </c>
      <c r="H1875">
        <v>567.47</v>
      </c>
      <c r="I1875">
        <v>15</v>
      </c>
      <c r="J1875" t="s">
        <v>21</v>
      </c>
      <c r="K1875">
        <v>3376.45</v>
      </c>
    </row>
    <row r="1876" spans="1:11" x14ac:dyDescent="0.25">
      <c r="A1876" t="s">
        <v>3743</v>
      </c>
      <c r="B1876" s="1">
        <v>45431</v>
      </c>
      <c r="C1876" t="s">
        <v>3744</v>
      </c>
      <c r="D1876" t="s">
        <v>13</v>
      </c>
      <c r="E1876" t="s">
        <v>3988</v>
      </c>
      <c r="F1876" t="s">
        <v>4452</v>
      </c>
      <c r="G1876">
        <v>2</v>
      </c>
      <c r="H1876">
        <v>1130.96</v>
      </c>
      <c r="I1876">
        <v>15</v>
      </c>
      <c r="J1876" t="s">
        <v>39</v>
      </c>
      <c r="K1876">
        <v>1922.63</v>
      </c>
    </row>
    <row r="1877" spans="1:11" x14ac:dyDescent="0.25">
      <c r="A1877" t="s">
        <v>3745</v>
      </c>
      <c r="B1877" s="1">
        <v>45227</v>
      </c>
      <c r="C1877" t="s">
        <v>3746</v>
      </c>
      <c r="D1877" t="s">
        <v>20</v>
      </c>
      <c r="E1877" t="s">
        <v>3272</v>
      </c>
      <c r="F1877" t="s">
        <v>4133</v>
      </c>
      <c r="G1877">
        <v>2</v>
      </c>
      <c r="H1877">
        <v>439.04</v>
      </c>
      <c r="I1877">
        <v>10</v>
      </c>
      <c r="J1877" t="s">
        <v>21</v>
      </c>
      <c r="K1877">
        <v>790.27</v>
      </c>
    </row>
    <row r="1878" spans="1:11" x14ac:dyDescent="0.25">
      <c r="A1878" t="s">
        <v>3747</v>
      </c>
      <c r="B1878" s="1">
        <v>45682</v>
      </c>
      <c r="C1878" t="s">
        <v>3748</v>
      </c>
      <c r="D1878" t="s">
        <v>20</v>
      </c>
      <c r="E1878" t="s">
        <v>29</v>
      </c>
      <c r="F1878" t="s">
        <v>4167</v>
      </c>
      <c r="G1878">
        <v>9</v>
      </c>
      <c r="H1878">
        <v>623.20000000000005</v>
      </c>
      <c r="I1878">
        <v>20</v>
      </c>
      <c r="J1878" t="s">
        <v>21</v>
      </c>
      <c r="K1878">
        <v>4487.04</v>
      </c>
    </row>
    <row r="1879" spans="1:11" x14ac:dyDescent="0.25">
      <c r="A1879" t="s">
        <v>3749</v>
      </c>
      <c r="B1879" s="1">
        <v>45435</v>
      </c>
      <c r="C1879" t="s">
        <v>3750</v>
      </c>
      <c r="D1879" t="s">
        <v>24</v>
      </c>
      <c r="E1879" t="s">
        <v>3272</v>
      </c>
      <c r="F1879" t="s">
        <v>4289</v>
      </c>
      <c r="G1879">
        <v>5</v>
      </c>
      <c r="H1879">
        <v>512.32000000000005</v>
      </c>
      <c r="I1879">
        <v>15</v>
      </c>
      <c r="J1879" t="s">
        <v>17</v>
      </c>
      <c r="K1879">
        <v>2177.36</v>
      </c>
    </row>
    <row r="1880" spans="1:11" x14ac:dyDescent="0.25">
      <c r="A1880" t="s">
        <v>3751</v>
      </c>
      <c r="B1880" s="1">
        <v>45572</v>
      </c>
      <c r="C1880" t="s">
        <v>3752</v>
      </c>
      <c r="D1880" t="s">
        <v>24</v>
      </c>
      <c r="E1880" t="s">
        <v>3988</v>
      </c>
      <c r="F1880" t="s">
        <v>4894</v>
      </c>
      <c r="G1880">
        <v>2</v>
      </c>
      <c r="H1880">
        <v>1899.58</v>
      </c>
      <c r="I1880">
        <v>0</v>
      </c>
      <c r="J1880" t="s">
        <v>17</v>
      </c>
      <c r="K1880">
        <v>3799.16</v>
      </c>
    </row>
    <row r="1881" spans="1:11" x14ac:dyDescent="0.25">
      <c r="A1881" t="s">
        <v>3753</v>
      </c>
      <c r="B1881" s="1">
        <v>45850</v>
      </c>
      <c r="C1881" t="s">
        <v>3754</v>
      </c>
      <c r="D1881" t="s">
        <v>24</v>
      </c>
      <c r="E1881" t="s">
        <v>3988</v>
      </c>
      <c r="F1881" t="s">
        <v>4822</v>
      </c>
      <c r="G1881">
        <v>9</v>
      </c>
      <c r="H1881">
        <v>1892.1</v>
      </c>
      <c r="I1881">
        <v>15</v>
      </c>
      <c r="J1881" t="s">
        <v>17</v>
      </c>
      <c r="K1881">
        <v>14474.56</v>
      </c>
    </row>
    <row r="1882" spans="1:11" x14ac:dyDescent="0.25">
      <c r="A1882" t="s">
        <v>3755</v>
      </c>
      <c r="B1882" s="1">
        <v>45650</v>
      </c>
      <c r="C1882" t="s">
        <v>2066</v>
      </c>
      <c r="D1882" t="s">
        <v>36</v>
      </c>
      <c r="E1882" t="s">
        <v>3988</v>
      </c>
      <c r="F1882" t="s">
        <v>4865</v>
      </c>
      <c r="G1882">
        <v>9</v>
      </c>
      <c r="H1882">
        <v>1239.3900000000001</v>
      </c>
      <c r="I1882">
        <v>20</v>
      </c>
      <c r="J1882" t="s">
        <v>21</v>
      </c>
      <c r="K1882">
        <v>8923.61</v>
      </c>
    </row>
    <row r="1883" spans="1:11" x14ac:dyDescent="0.25">
      <c r="A1883" t="s">
        <v>3756</v>
      </c>
      <c r="B1883" s="1">
        <v>45428</v>
      </c>
      <c r="C1883" t="s">
        <v>3757</v>
      </c>
      <c r="D1883" t="s">
        <v>24</v>
      </c>
      <c r="E1883" t="s">
        <v>3988</v>
      </c>
      <c r="F1883" t="s">
        <v>4720</v>
      </c>
      <c r="G1883">
        <v>1</v>
      </c>
      <c r="H1883">
        <v>1852.82</v>
      </c>
      <c r="I1883">
        <v>15</v>
      </c>
      <c r="J1883" t="s">
        <v>14</v>
      </c>
      <c r="K1883">
        <v>1574.9</v>
      </c>
    </row>
    <row r="1884" spans="1:11" x14ac:dyDescent="0.25">
      <c r="A1884" t="s">
        <v>3758</v>
      </c>
      <c r="B1884" s="1">
        <v>45197</v>
      </c>
      <c r="C1884" t="s">
        <v>3759</v>
      </c>
      <c r="D1884" t="s">
        <v>36</v>
      </c>
      <c r="E1884" t="s">
        <v>3988</v>
      </c>
      <c r="F1884" t="s">
        <v>4895</v>
      </c>
      <c r="G1884">
        <v>3</v>
      </c>
      <c r="H1884">
        <v>1582.33</v>
      </c>
      <c r="I1884">
        <v>10</v>
      </c>
      <c r="J1884" t="s">
        <v>14</v>
      </c>
      <c r="K1884">
        <v>4272.29</v>
      </c>
    </row>
    <row r="1885" spans="1:11" x14ac:dyDescent="0.25">
      <c r="A1885" t="s">
        <v>3760</v>
      </c>
      <c r="B1885" s="1">
        <v>45459</v>
      </c>
      <c r="C1885" t="s">
        <v>3761</v>
      </c>
      <c r="D1885" t="s">
        <v>20</v>
      </c>
      <c r="E1885" t="s">
        <v>29</v>
      </c>
      <c r="F1885" t="s">
        <v>4896</v>
      </c>
      <c r="G1885">
        <v>4</v>
      </c>
      <c r="H1885">
        <v>1200.4000000000001</v>
      </c>
      <c r="I1885">
        <v>5</v>
      </c>
      <c r="J1885" t="s">
        <v>21</v>
      </c>
      <c r="K1885">
        <v>4561.5200000000004</v>
      </c>
    </row>
    <row r="1886" spans="1:11" x14ac:dyDescent="0.25">
      <c r="A1886" t="s">
        <v>3762</v>
      </c>
      <c r="B1886" s="1">
        <v>45364</v>
      </c>
      <c r="C1886" t="s">
        <v>3763</v>
      </c>
      <c r="D1886" t="s">
        <v>36</v>
      </c>
      <c r="E1886" t="s">
        <v>3988</v>
      </c>
      <c r="F1886" t="s">
        <v>4635</v>
      </c>
      <c r="G1886">
        <v>7</v>
      </c>
      <c r="H1886">
        <v>62.55</v>
      </c>
      <c r="I1886">
        <v>5</v>
      </c>
      <c r="J1886" t="s">
        <v>17</v>
      </c>
      <c r="K1886">
        <v>415.96</v>
      </c>
    </row>
    <row r="1887" spans="1:11" x14ac:dyDescent="0.25">
      <c r="A1887" t="s">
        <v>3764</v>
      </c>
      <c r="B1887" s="1">
        <v>45297</v>
      </c>
      <c r="C1887" t="s">
        <v>3765</v>
      </c>
      <c r="D1887" t="s">
        <v>36</v>
      </c>
      <c r="E1887" t="s">
        <v>3988</v>
      </c>
      <c r="F1887" t="s">
        <v>4856</v>
      </c>
      <c r="G1887">
        <v>4</v>
      </c>
      <c r="H1887">
        <v>1556.41</v>
      </c>
      <c r="I1887">
        <v>20</v>
      </c>
      <c r="J1887" t="s">
        <v>21</v>
      </c>
      <c r="K1887">
        <v>4980.51</v>
      </c>
    </row>
    <row r="1888" spans="1:11" x14ac:dyDescent="0.25">
      <c r="A1888" t="s">
        <v>3766</v>
      </c>
      <c r="B1888" s="1">
        <v>45244</v>
      </c>
      <c r="C1888" t="s">
        <v>3767</v>
      </c>
      <c r="D1888" t="s">
        <v>24</v>
      </c>
      <c r="E1888" t="s">
        <v>29</v>
      </c>
      <c r="F1888" t="s">
        <v>4049</v>
      </c>
      <c r="G1888">
        <v>2</v>
      </c>
      <c r="H1888">
        <v>1419.85</v>
      </c>
      <c r="I1888">
        <v>5</v>
      </c>
      <c r="J1888" t="s">
        <v>14</v>
      </c>
      <c r="K1888">
        <v>2697.71</v>
      </c>
    </row>
    <row r="1889" spans="1:11" x14ac:dyDescent="0.25">
      <c r="A1889" t="s">
        <v>3768</v>
      </c>
      <c r="B1889" s="1">
        <v>45808</v>
      </c>
      <c r="C1889" t="s">
        <v>3769</v>
      </c>
      <c r="D1889" t="s">
        <v>24</v>
      </c>
      <c r="E1889" t="s">
        <v>3988</v>
      </c>
      <c r="F1889" t="s">
        <v>4547</v>
      </c>
      <c r="G1889">
        <v>7</v>
      </c>
      <c r="H1889">
        <v>1249.74</v>
      </c>
      <c r="I1889">
        <v>5</v>
      </c>
      <c r="J1889" t="s">
        <v>14</v>
      </c>
      <c r="K1889">
        <v>8310.77</v>
      </c>
    </row>
    <row r="1890" spans="1:11" x14ac:dyDescent="0.25">
      <c r="A1890" t="s">
        <v>3770</v>
      </c>
      <c r="B1890" s="1">
        <v>45790</v>
      </c>
      <c r="C1890" t="s">
        <v>3771</v>
      </c>
      <c r="D1890" t="s">
        <v>13</v>
      </c>
      <c r="E1890" t="s">
        <v>3988</v>
      </c>
      <c r="F1890" t="s">
        <v>4624</v>
      </c>
      <c r="G1890">
        <v>6</v>
      </c>
      <c r="H1890">
        <v>1532.83</v>
      </c>
      <c r="I1890">
        <v>0</v>
      </c>
      <c r="J1890" t="s">
        <v>14</v>
      </c>
      <c r="K1890">
        <v>9196.98</v>
      </c>
    </row>
    <row r="1891" spans="1:11" x14ac:dyDescent="0.25">
      <c r="A1891" t="s">
        <v>3772</v>
      </c>
      <c r="B1891" s="1">
        <v>45503</v>
      </c>
      <c r="C1891" t="s">
        <v>3773</v>
      </c>
      <c r="D1891" t="s">
        <v>36</v>
      </c>
      <c r="E1891" t="s">
        <v>3988</v>
      </c>
      <c r="F1891" t="s">
        <v>4786</v>
      </c>
      <c r="G1891">
        <v>3</v>
      </c>
      <c r="H1891">
        <v>1050.2</v>
      </c>
      <c r="I1891">
        <v>20</v>
      </c>
      <c r="J1891" t="s">
        <v>21</v>
      </c>
      <c r="K1891">
        <v>2520.48</v>
      </c>
    </row>
    <row r="1892" spans="1:11" x14ac:dyDescent="0.25">
      <c r="A1892" t="s">
        <v>3774</v>
      </c>
      <c r="B1892" s="1">
        <v>45221</v>
      </c>
      <c r="C1892" t="s">
        <v>3775</v>
      </c>
      <c r="D1892" t="s">
        <v>20</v>
      </c>
      <c r="E1892" t="s">
        <v>3988</v>
      </c>
      <c r="F1892" t="s">
        <v>4815</v>
      </c>
      <c r="G1892">
        <v>6</v>
      </c>
      <c r="H1892">
        <v>1422.96</v>
      </c>
      <c r="I1892">
        <v>20</v>
      </c>
      <c r="J1892" t="s">
        <v>14</v>
      </c>
      <c r="K1892">
        <v>6830.21</v>
      </c>
    </row>
    <row r="1893" spans="1:11" x14ac:dyDescent="0.25">
      <c r="A1893" t="s">
        <v>3776</v>
      </c>
      <c r="B1893" s="1">
        <v>45664</v>
      </c>
      <c r="C1893" t="s">
        <v>3777</v>
      </c>
      <c r="D1893" t="s">
        <v>13</v>
      </c>
      <c r="E1893" t="s">
        <v>3988</v>
      </c>
      <c r="F1893" t="s">
        <v>4527</v>
      </c>
      <c r="G1893">
        <v>6</v>
      </c>
      <c r="H1893">
        <v>1873.59</v>
      </c>
      <c r="I1893">
        <v>5</v>
      </c>
      <c r="J1893" t="s">
        <v>14</v>
      </c>
      <c r="K1893">
        <v>10679.46</v>
      </c>
    </row>
    <row r="1894" spans="1:11" x14ac:dyDescent="0.25">
      <c r="A1894" t="s">
        <v>3778</v>
      </c>
      <c r="B1894" s="1">
        <v>45314</v>
      </c>
      <c r="C1894" t="s">
        <v>3779</v>
      </c>
      <c r="D1894" t="s">
        <v>13</v>
      </c>
      <c r="E1894" t="s">
        <v>3988</v>
      </c>
      <c r="F1894" t="s">
        <v>4897</v>
      </c>
      <c r="G1894">
        <v>5</v>
      </c>
      <c r="H1894">
        <v>782.82</v>
      </c>
      <c r="I1894">
        <v>5</v>
      </c>
      <c r="J1894" t="s">
        <v>14</v>
      </c>
      <c r="K1894">
        <v>3718.4</v>
      </c>
    </row>
    <row r="1895" spans="1:11" x14ac:dyDescent="0.25">
      <c r="A1895" t="s">
        <v>3780</v>
      </c>
      <c r="B1895" s="1">
        <v>45648</v>
      </c>
      <c r="C1895" t="s">
        <v>3781</v>
      </c>
      <c r="D1895" t="s">
        <v>13</v>
      </c>
      <c r="E1895" t="s">
        <v>29</v>
      </c>
      <c r="F1895" t="s">
        <v>4898</v>
      </c>
      <c r="G1895">
        <v>4</v>
      </c>
      <c r="H1895">
        <v>1430.84</v>
      </c>
      <c r="I1895">
        <v>5</v>
      </c>
      <c r="J1895" t="s">
        <v>14</v>
      </c>
      <c r="K1895">
        <v>5437.19</v>
      </c>
    </row>
    <row r="1896" spans="1:11" x14ac:dyDescent="0.25">
      <c r="A1896" t="s">
        <v>3782</v>
      </c>
      <c r="B1896" s="1">
        <v>45646</v>
      </c>
      <c r="C1896" t="s">
        <v>3783</v>
      </c>
      <c r="D1896" t="s">
        <v>24</v>
      </c>
      <c r="E1896" t="s">
        <v>3988</v>
      </c>
      <c r="F1896" t="s">
        <v>4337</v>
      </c>
      <c r="G1896">
        <v>1</v>
      </c>
      <c r="H1896">
        <v>977.59</v>
      </c>
      <c r="I1896">
        <v>10</v>
      </c>
      <c r="J1896" t="s">
        <v>39</v>
      </c>
      <c r="K1896">
        <v>879.83</v>
      </c>
    </row>
    <row r="1897" spans="1:11" x14ac:dyDescent="0.25">
      <c r="A1897" t="s">
        <v>3784</v>
      </c>
      <c r="B1897" s="1">
        <v>45613</v>
      </c>
      <c r="C1897" t="s">
        <v>3785</v>
      </c>
      <c r="D1897" t="s">
        <v>24</v>
      </c>
      <c r="E1897" t="s">
        <v>3988</v>
      </c>
      <c r="F1897" t="s">
        <v>4503</v>
      </c>
      <c r="G1897">
        <v>6</v>
      </c>
      <c r="H1897">
        <v>1365.08</v>
      </c>
      <c r="I1897">
        <v>15</v>
      </c>
      <c r="J1897" t="s">
        <v>21</v>
      </c>
      <c r="K1897">
        <v>6961.91</v>
      </c>
    </row>
    <row r="1898" spans="1:11" x14ac:dyDescent="0.25">
      <c r="A1898" t="s">
        <v>3786</v>
      </c>
      <c r="B1898" s="1">
        <v>45166</v>
      </c>
      <c r="C1898" t="s">
        <v>3787</v>
      </c>
      <c r="D1898" t="s">
        <v>24</v>
      </c>
      <c r="E1898" t="s">
        <v>3988</v>
      </c>
      <c r="F1898" t="s">
        <v>4068</v>
      </c>
      <c r="G1898">
        <v>2</v>
      </c>
      <c r="H1898">
        <v>1537.64</v>
      </c>
      <c r="I1898">
        <v>10</v>
      </c>
      <c r="J1898" t="s">
        <v>21</v>
      </c>
      <c r="K1898">
        <v>2767.75</v>
      </c>
    </row>
    <row r="1899" spans="1:11" x14ac:dyDescent="0.25">
      <c r="A1899" t="s">
        <v>3788</v>
      </c>
      <c r="B1899" s="1">
        <v>45189</v>
      </c>
      <c r="C1899" t="s">
        <v>3789</v>
      </c>
      <c r="D1899" t="s">
        <v>20</v>
      </c>
      <c r="E1899" t="s">
        <v>3988</v>
      </c>
      <c r="F1899" t="s">
        <v>4263</v>
      </c>
      <c r="G1899">
        <v>3</v>
      </c>
      <c r="H1899">
        <v>138.63</v>
      </c>
      <c r="I1899">
        <v>20</v>
      </c>
      <c r="J1899" t="s">
        <v>14</v>
      </c>
      <c r="K1899">
        <v>332.71</v>
      </c>
    </row>
    <row r="1900" spans="1:11" x14ac:dyDescent="0.25">
      <c r="A1900" t="s">
        <v>3790</v>
      </c>
      <c r="B1900" s="1">
        <v>45761</v>
      </c>
      <c r="C1900" t="s">
        <v>3791</v>
      </c>
      <c r="D1900" t="s">
        <v>36</v>
      </c>
      <c r="E1900" t="s">
        <v>3988</v>
      </c>
      <c r="F1900" t="s">
        <v>4004</v>
      </c>
      <c r="G1900">
        <v>8</v>
      </c>
      <c r="H1900">
        <v>1310.87</v>
      </c>
      <c r="I1900">
        <v>0</v>
      </c>
      <c r="J1900" t="s">
        <v>17</v>
      </c>
      <c r="K1900">
        <v>10486.96</v>
      </c>
    </row>
    <row r="1901" spans="1:11" x14ac:dyDescent="0.25">
      <c r="A1901" t="s">
        <v>3792</v>
      </c>
      <c r="B1901" s="1">
        <v>45409</v>
      </c>
      <c r="C1901" t="s">
        <v>3793</v>
      </c>
      <c r="D1901" t="s">
        <v>13</v>
      </c>
      <c r="E1901" t="s">
        <v>3988</v>
      </c>
      <c r="F1901" t="s">
        <v>4604</v>
      </c>
      <c r="G1901">
        <v>6</v>
      </c>
      <c r="H1901">
        <v>492.15</v>
      </c>
      <c r="I1901">
        <v>15</v>
      </c>
      <c r="J1901" t="s">
        <v>14</v>
      </c>
      <c r="K1901">
        <v>2509.96</v>
      </c>
    </row>
    <row r="1902" spans="1:11" x14ac:dyDescent="0.25">
      <c r="A1902" t="s">
        <v>3794</v>
      </c>
      <c r="B1902" s="1">
        <v>45339</v>
      </c>
      <c r="C1902" t="s">
        <v>3795</v>
      </c>
      <c r="D1902" t="s">
        <v>24</v>
      </c>
      <c r="E1902" t="s">
        <v>3272</v>
      </c>
      <c r="F1902" t="s">
        <v>4899</v>
      </c>
      <c r="G1902">
        <v>3</v>
      </c>
      <c r="H1902">
        <v>1356.56</v>
      </c>
      <c r="I1902">
        <v>0</v>
      </c>
      <c r="J1902" t="s">
        <v>21</v>
      </c>
      <c r="K1902">
        <v>4069.68</v>
      </c>
    </row>
    <row r="1903" spans="1:11" x14ac:dyDescent="0.25">
      <c r="A1903" t="s">
        <v>3796</v>
      </c>
      <c r="B1903" s="1">
        <v>45247</v>
      </c>
      <c r="C1903" t="s">
        <v>3797</v>
      </c>
      <c r="D1903" t="s">
        <v>36</v>
      </c>
      <c r="E1903" t="s">
        <v>29</v>
      </c>
      <c r="F1903" t="s">
        <v>4424</v>
      </c>
      <c r="G1903">
        <v>7</v>
      </c>
      <c r="H1903">
        <v>963.24</v>
      </c>
      <c r="I1903">
        <v>20</v>
      </c>
      <c r="J1903" t="s">
        <v>39</v>
      </c>
      <c r="K1903">
        <v>5394.14</v>
      </c>
    </row>
    <row r="1904" spans="1:11" x14ac:dyDescent="0.25">
      <c r="A1904" t="s">
        <v>3798</v>
      </c>
      <c r="B1904" s="1">
        <v>45761</v>
      </c>
      <c r="C1904" t="s">
        <v>3799</v>
      </c>
      <c r="D1904" t="s">
        <v>13</v>
      </c>
      <c r="E1904" t="s">
        <v>29</v>
      </c>
      <c r="F1904" t="s">
        <v>4424</v>
      </c>
      <c r="G1904">
        <v>4</v>
      </c>
      <c r="H1904">
        <v>1558.43</v>
      </c>
      <c r="I1904">
        <v>20</v>
      </c>
      <c r="J1904" t="s">
        <v>14</v>
      </c>
      <c r="K1904">
        <v>4986.9799999999996</v>
      </c>
    </row>
    <row r="1905" spans="1:11" x14ac:dyDescent="0.25">
      <c r="A1905" t="s">
        <v>3800</v>
      </c>
      <c r="B1905" s="1">
        <v>45588</v>
      </c>
      <c r="C1905" t="s">
        <v>3801</v>
      </c>
      <c r="D1905" t="s">
        <v>36</v>
      </c>
      <c r="E1905" t="s">
        <v>3988</v>
      </c>
      <c r="F1905" t="s">
        <v>4900</v>
      </c>
      <c r="G1905">
        <v>9</v>
      </c>
      <c r="H1905">
        <v>290.63</v>
      </c>
      <c r="I1905">
        <v>0</v>
      </c>
      <c r="J1905" t="s">
        <v>39</v>
      </c>
      <c r="K1905">
        <v>2615.67</v>
      </c>
    </row>
    <row r="1906" spans="1:11" x14ac:dyDescent="0.25">
      <c r="A1906" t="s">
        <v>3802</v>
      </c>
      <c r="B1906" s="1">
        <v>45309</v>
      </c>
      <c r="C1906" t="s">
        <v>3803</v>
      </c>
      <c r="D1906" t="s">
        <v>13</v>
      </c>
      <c r="E1906" t="s">
        <v>29</v>
      </c>
      <c r="F1906" t="s">
        <v>4896</v>
      </c>
      <c r="G1906">
        <v>5</v>
      </c>
      <c r="H1906">
        <v>1271.33</v>
      </c>
      <c r="I1906">
        <v>0</v>
      </c>
      <c r="J1906" t="s">
        <v>17</v>
      </c>
      <c r="K1906">
        <v>6356.65</v>
      </c>
    </row>
    <row r="1907" spans="1:11" x14ac:dyDescent="0.25">
      <c r="A1907" t="s">
        <v>3804</v>
      </c>
      <c r="B1907" s="1">
        <v>45203</v>
      </c>
      <c r="C1907" t="s">
        <v>3805</v>
      </c>
      <c r="D1907" t="s">
        <v>36</v>
      </c>
      <c r="E1907" t="s">
        <v>3272</v>
      </c>
      <c r="F1907" t="s">
        <v>4178</v>
      </c>
      <c r="G1907">
        <v>3</v>
      </c>
      <c r="H1907">
        <v>593.02</v>
      </c>
      <c r="I1907">
        <v>0</v>
      </c>
      <c r="J1907" t="s">
        <v>17</v>
      </c>
      <c r="K1907">
        <v>1779.06</v>
      </c>
    </row>
    <row r="1908" spans="1:11" x14ac:dyDescent="0.25">
      <c r="A1908" t="s">
        <v>3806</v>
      </c>
      <c r="B1908" s="1">
        <v>45794</v>
      </c>
      <c r="C1908" t="s">
        <v>3807</v>
      </c>
      <c r="D1908" t="s">
        <v>24</v>
      </c>
      <c r="E1908" t="s">
        <v>3272</v>
      </c>
      <c r="F1908" t="s">
        <v>3992</v>
      </c>
      <c r="G1908">
        <v>2</v>
      </c>
      <c r="H1908">
        <v>1713.31</v>
      </c>
      <c r="I1908">
        <v>20</v>
      </c>
      <c r="J1908" t="s">
        <v>14</v>
      </c>
      <c r="K1908">
        <v>2741.3</v>
      </c>
    </row>
    <row r="1909" spans="1:11" x14ac:dyDescent="0.25">
      <c r="A1909" t="s">
        <v>3808</v>
      </c>
      <c r="B1909" s="1">
        <v>45744</v>
      </c>
      <c r="C1909" t="s">
        <v>3809</v>
      </c>
      <c r="D1909" t="s">
        <v>36</v>
      </c>
      <c r="E1909" t="s">
        <v>3988</v>
      </c>
      <c r="F1909" t="s">
        <v>4089</v>
      </c>
      <c r="G1909">
        <v>2</v>
      </c>
      <c r="H1909">
        <v>1860.35</v>
      </c>
      <c r="I1909">
        <v>5</v>
      </c>
      <c r="J1909" t="s">
        <v>39</v>
      </c>
      <c r="K1909">
        <v>3534.66</v>
      </c>
    </row>
    <row r="1910" spans="1:11" x14ac:dyDescent="0.25">
      <c r="A1910" t="s">
        <v>3810</v>
      </c>
      <c r="B1910" s="1">
        <v>45580</v>
      </c>
      <c r="C1910" t="s">
        <v>3811</v>
      </c>
      <c r="D1910" t="s">
        <v>36</v>
      </c>
      <c r="E1910" t="s">
        <v>3988</v>
      </c>
      <c r="F1910" t="s">
        <v>4392</v>
      </c>
      <c r="G1910">
        <v>3</v>
      </c>
      <c r="H1910">
        <v>1992.98</v>
      </c>
      <c r="I1910">
        <v>0</v>
      </c>
      <c r="J1910" t="s">
        <v>17</v>
      </c>
      <c r="K1910">
        <v>5978.94</v>
      </c>
    </row>
    <row r="1911" spans="1:11" x14ac:dyDescent="0.25">
      <c r="A1911" t="s">
        <v>3812</v>
      </c>
      <c r="B1911" s="1">
        <v>45310</v>
      </c>
      <c r="C1911" t="s">
        <v>3813</v>
      </c>
      <c r="D1911" t="s">
        <v>13</v>
      </c>
      <c r="E1911" t="s">
        <v>3988</v>
      </c>
      <c r="F1911" t="s">
        <v>4001</v>
      </c>
      <c r="G1911">
        <v>2</v>
      </c>
      <c r="H1911">
        <v>1602.21</v>
      </c>
      <c r="I1911">
        <v>15</v>
      </c>
      <c r="J1911" t="s">
        <v>14</v>
      </c>
      <c r="K1911">
        <v>2723.76</v>
      </c>
    </row>
    <row r="1912" spans="1:11" x14ac:dyDescent="0.25">
      <c r="A1912" t="s">
        <v>3814</v>
      </c>
      <c r="B1912" s="1">
        <v>45605</v>
      </c>
      <c r="C1912" t="s">
        <v>3815</v>
      </c>
      <c r="D1912" t="s">
        <v>36</v>
      </c>
      <c r="E1912" t="s">
        <v>3988</v>
      </c>
      <c r="F1912" t="s">
        <v>3993</v>
      </c>
      <c r="G1912">
        <v>4</v>
      </c>
      <c r="H1912">
        <v>1519.78</v>
      </c>
      <c r="I1912">
        <v>20</v>
      </c>
      <c r="J1912" t="s">
        <v>17</v>
      </c>
      <c r="K1912">
        <v>4863.3</v>
      </c>
    </row>
    <row r="1913" spans="1:11" x14ac:dyDescent="0.25">
      <c r="A1913" t="s">
        <v>3816</v>
      </c>
      <c r="B1913" s="1">
        <v>45317</v>
      </c>
      <c r="C1913" t="s">
        <v>3817</v>
      </c>
      <c r="D1913" t="s">
        <v>20</v>
      </c>
      <c r="E1913" t="s">
        <v>3988</v>
      </c>
      <c r="F1913" t="s">
        <v>4544</v>
      </c>
      <c r="G1913">
        <v>2</v>
      </c>
      <c r="H1913">
        <v>470.23</v>
      </c>
      <c r="I1913">
        <v>10</v>
      </c>
      <c r="J1913" t="s">
        <v>21</v>
      </c>
      <c r="K1913">
        <v>846.41</v>
      </c>
    </row>
    <row r="1914" spans="1:11" x14ac:dyDescent="0.25">
      <c r="A1914" t="s">
        <v>3818</v>
      </c>
      <c r="B1914" s="1">
        <v>45781</v>
      </c>
      <c r="C1914" t="s">
        <v>3819</v>
      </c>
      <c r="D1914" t="s">
        <v>13</v>
      </c>
      <c r="E1914" t="s">
        <v>3988</v>
      </c>
      <c r="F1914" t="s">
        <v>4471</v>
      </c>
      <c r="G1914">
        <v>9</v>
      </c>
      <c r="H1914">
        <v>705.21</v>
      </c>
      <c r="I1914">
        <v>10</v>
      </c>
      <c r="J1914" t="s">
        <v>39</v>
      </c>
      <c r="K1914">
        <v>5712.2</v>
      </c>
    </row>
    <row r="1915" spans="1:11" x14ac:dyDescent="0.25">
      <c r="A1915" t="s">
        <v>3820</v>
      </c>
      <c r="B1915" s="1">
        <v>45825</v>
      </c>
      <c r="C1915" t="s">
        <v>3821</v>
      </c>
      <c r="D1915" t="s">
        <v>36</v>
      </c>
      <c r="E1915" t="s">
        <v>3272</v>
      </c>
      <c r="F1915" t="s">
        <v>4214</v>
      </c>
      <c r="G1915">
        <v>2</v>
      </c>
      <c r="H1915">
        <v>958.08</v>
      </c>
      <c r="I1915">
        <v>15</v>
      </c>
      <c r="J1915" t="s">
        <v>14</v>
      </c>
      <c r="K1915">
        <v>1628.74</v>
      </c>
    </row>
    <row r="1916" spans="1:11" x14ac:dyDescent="0.25">
      <c r="A1916" t="s">
        <v>3822</v>
      </c>
      <c r="B1916" s="1">
        <v>45330</v>
      </c>
      <c r="C1916" t="s">
        <v>3823</v>
      </c>
      <c r="D1916" t="s">
        <v>20</v>
      </c>
      <c r="E1916" t="s">
        <v>3272</v>
      </c>
      <c r="F1916" t="s">
        <v>4866</v>
      </c>
      <c r="G1916">
        <v>9</v>
      </c>
      <c r="H1916">
        <v>1558.09</v>
      </c>
      <c r="I1916">
        <v>5</v>
      </c>
      <c r="J1916" t="s">
        <v>17</v>
      </c>
      <c r="K1916">
        <v>13321.67</v>
      </c>
    </row>
    <row r="1917" spans="1:11" x14ac:dyDescent="0.25">
      <c r="A1917" t="s">
        <v>3824</v>
      </c>
      <c r="B1917" s="1">
        <v>45405</v>
      </c>
      <c r="C1917" t="s">
        <v>3825</v>
      </c>
      <c r="D1917" t="s">
        <v>13</v>
      </c>
      <c r="E1917" t="s">
        <v>3988</v>
      </c>
      <c r="F1917" t="s">
        <v>4174</v>
      </c>
      <c r="G1917">
        <v>6</v>
      </c>
      <c r="H1917">
        <v>1834.18</v>
      </c>
      <c r="I1917">
        <v>0</v>
      </c>
      <c r="J1917" t="s">
        <v>17</v>
      </c>
      <c r="K1917">
        <v>11005.08</v>
      </c>
    </row>
    <row r="1918" spans="1:11" x14ac:dyDescent="0.25">
      <c r="A1918" t="s">
        <v>3826</v>
      </c>
      <c r="B1918" s="1">
        <v>45751</v>
      </c>
      <c r="C1918" t="s">
        <v>3827</v>
      </c>
      <c r="D1918" t="s">
        <v>24</v>
      </c>
      <c r="E1918" t="s">
        <v>29</v>
      </c>
      <c r="F1918" t="s">
        <v>4061</v>
      </c>
      <c r="G1918">
        <v>1</v>
      </c>
      <c r="H1918">
        <v>418.82</v>
      </c>
      <c r="I1918">
        <v>20</v>
      </c>
      <c r="J1918" t="s">
        <v>21</v>
      </c>
      <c r="K1918">
        <v>335.06</v>
      </c>
    </row>
    <row r="1919" spans="1:11" x14ac:dyDescent="0.25">
      <c r="A1919" t="s">
        <v>3828</v>
      </c>
      <c r="B1919" s="1">
        <v>45264</v>
      </c>
      <c r="C1919" t="s">
        <v>3829</v>
      </c>
      <c r="D1919" t="s">
        <v>13</v>
      </c>
      <c r="E1919" t="s">
        <v>3272</v>
      </c>
      <c r="F1919" t="s">
        <v>4901</v>
      </c>
      <c r="G1919">
        <v>4</v>
      </c>
      <c r="H1919">
        <v>1848.62</v>
      </c>
      <c r="I1919">
        <v>0</v>
      </c>
      <c r="J1919" t="s">
        <v>14</v>
      </c>
      <c r="K1919">
        <v>7394.48</v>
      </c>
    </row>
    <row r="1920" spans="1:11" x14ac:dyDescent="0.25">
      <c r="A1920" t="s">
        <v>3830</v>
      </c>
      <c r="B1920" s="1">
        <v>45762</v>
      </c>
      <c r="C1920" t="s">
        <v>3831</v>
      </c>
      <c r="D1920" t="s">
        <v>13</v>
      </c>
      <c r="E1920" t="s">
        <v>3988</v>
      </c>
      <c r="F1920" t="s">
        <v>4001</v>
      </c>
      <c r="G1920">
        <v>1</v>
      </c>
      <c r="H1920">
        <v>1406.47</v>
      </c>
      <c r="I1920">
        <v>20</v>
      </c>
      <c r="J1920" t="s">
        <v>17</v>
      </c>
      <c r="K1920">
        <v>1125.18</v>
      </c>
    </row>
    <row r="1921" spans="1:11" x14ac:dyDescent="0.25">
      <c r="A1921" t="s">
        <v>3832</v>
      </c>
      <c r="B1921" s="1">
        <v>45849</v>
      </c>
      <c r="C1921" t="s">
        <v>3833</v>
      </c>
      <c r="D1921" t="s">
        <v>36</v>
      </c>
      <c r="E1921" t="s">
        <v>3988</v>
      </c>
      <c r="F1921" t="s">
        <v>4453</v>
      </c>
      <c r="G1921">
        <v>6</v>
      </c>
      <c r="H1921">
        <v>1241</v>
      </c>
      <c r="I1921">
        <v>10</v>
      </c>
      <c r="J1921" t="s">
        <v>39</v>
      </c>
      <c r="K1921">
        <v>6701.4</v>
      </c>
    </row>
    <row r="1922" spans="1:11" x14ac:dyDescent="0.25">
      <c r="A1922" t="s">
        <v>3834</v>
      </c>
      <c r="B1922" s="1">
        <v>45612</v>
      </c>
      <c r="C1922" t="s">
        <v>3835</v>
      </c>
      <c r="D1922" t="s">
        <v>20</v>
      </c>
      <c r="E1922" t="s">
        <v>29</v>
      </c>
      <c r="F1922" t="s">
        <v>4222</v>
      </c>
      <c r="G1922">
        <v>4</v>
      </c>
      <c r="H1922">
        <v>439.69</v>
      </c>
      <c r="I1922">
        <v>0</v>
      </c>
      <c r="J1922" t="s">
        <v>17</v>
      </c>
      <c r="K1922">
        <v>1758.76</v>
      </c>
    </row>
    <row r="1923" spans="1:11" x14ac:dyDescent="0.25">
      <c r="A1923" t="s">
        <v>3836</v>
      </c>
      <c r="B1923" s="1">
        <v>45152</v>
      </c>
      <c r="C1923" t="s">
        <v>3687</v>
      </c>
      <c r="D1923" t="s">
        <v>13</v>
      </c>
      <c r="E1923" t="s">
        <v>29</v>
      </c>
      <c r="F1923" t="s">
        <v>4462</v>
      </c>
      <c r="G1923">
        <v>3</v>
      </c>
      <c r="H1923">
        <v>158.27000000000001</v>
      </c>
      <c r="I1923">
        <v>15</v>
      </c>
      <c r="J1923" t="s">
        <v>39</v>
      </c>
      <c r="K1923">
        <v>403.59</v>
      </c>
    </row>
    <row r="1924" spans="1:11" x14ac:dyDescent="0.25">
      <c r="A1924" t="s">
        <v>3837</v>
      </c>
      <c r="B1924" s="1">
        <v>45365</v>
      </c>
      <c r="C1924" t="s">
        <v>3838</v>
      </c>
      <c r="D1924" t="s">
        <v>13</v>
      </c>
      <c r="E1924" t="s">
        <v>3988</v>
      </c>
      <c r="F1924" t="s">
        <v>4802</v>
      </c>
      <c r="G1924">
        <v>3</v>
      </c>
      <c r="H1924">
        <v>1158.51</v>
      </c>
      <c r="I1924">
        <v>5</v>
      </c>
      <c r="J1924" t="s">
        <v>17</v>
      </c>
      <c r="K1924">
        <v>3301.75</v>
      </c>
    </row>
    <row r="1925" spans="1:11" x14ac:dyDescent="0.25">
      <c r="A1925" t="s">
        <v>3839</v>
      </c>
      <c r="B1925" s="1">
        <v>45816</v>
      </c>
      <c r="C1925" t="s">
        <v>3840</v>
      </c>
      <c r="D1925" t="s">
        <v>13</v>
      </c>
      <c r="E1925" t="s">
        <v>3272</v>
      </c>
      <c r="F1925" t="s">
        <v>4691</v>
      </c>
      <c r="G1925">
        <v>9</v>
      </c>
      <c r="H1925">
        <v>1320.46</v>
      </c>
      <c r="I1925">
        <v>15</v>
      </c>
      <c r="J1925" t="s">
        <v>14</v>
      </c>
      <c r="K1925">
        <v>10101.52</v>
      </c>
    </row>
    <row r="1926" spans="1:11" x14ac:dyDescent="0.25">
      <c r="A1926" t="s">
        <v>3841</v>
      </c>
      <c r="B1926" s="1">
        <v>45262</v>
      </c>
      <c r="C1926" t="s">
        <v>3842</v>
      </c>
      <c r="D1926" t="s">
        <v>36</v>
      </c>
      <c r="E1926" t="s">
        <v>3988</v>
      </c>
      <c r="F1926" t="s">
        <v>4360</v>
      </c>
      <c r="G1926">
        <v>6</v>
      </c>
      <c r="H1926">
        <v>461.02</v>
      </c>
      <c r="I1926">
        <v>5</v>
      </c>
      <c r="J1926" t="s">
        <v>14</v>
      </c>
      <c r="K1926">
        <v>2627.81</v>
      </c>
    </row>
    <row r="1927" spans="1:11" x14ac:dyDescent="0.25">
      <c r="A1927" t="s">
        <v>3843</v>
      </c>
      <c r="B1927" s="1">
        <v>45250</v>
      </c>
      <c r="C1927" t="s">
        <v>3844</v>
      </c>
      <c r="D1927" t="s">
        <v>13</v>
      </c>
      <c r="E1927" t="s">
        <v>3272</v>
      </c>
      <c r="F1927" t="s">
        <v>4844</v>
      </c>
      <c r="G1927">
        <v>9</v>
      </c>
      <c r="H1927">
        <v>1135.0899999999999</v>
      </c>
      <c r="I1927">
        <v>0</v>
      </c>
      <c r="J1927" t="s">
        <v>14</v>
      </c>
      <c r="K1927">
        <v>10215.81</v>
      </c>
    </row>
    <row r="1928" spans="1:11" x14ac:dyDescent="0.25">
      <c r="A1928" t="s">
        <v>3845</v>
      </c>
      <c r="B1928" s="1">
        <v>45569</v>
      </c>
      <c r="C1928" t="s">
        <v>3846</v>
      </c>
      <c r="D1928" t="s">
        <v>20</v>
      </c>
      <c r="E1928" t="s">
        <v>3988</v>
      </c>
      <c r="F1928" t="s">
        <v>3989</v>
      </c>
      <c r="G1928">
        <v>5</v>
      </c>
      <c r="H1928">
        <v>1720.16</v>
      </c>
      <c r="I1928">
        <v>0</v>
      </c>
      <c r="J1928" t="s">
        <v>39</v>
      </c>
      <c r="K1928">
        <v>8600.7999999999993</v>
      </c>
    </row>
    <row r="1929" spans="1:11" x14ac:dyDescent="0.25">
      <c r="A1929" t="s">
        <v>3847</v>
      </c>
      <c r="B1929" s="1">
        <v>45344</v>
      </c>
      <c r="C1929" t="s">
        <v>3848</v>
      </c>
      <c r="D1929" t="s">
        <v>36</v>
      </c>
      <c r="E1929" t="s">
        <v>3988</v>
      </c>
      <c r="F1929" t="s">
        <v>3990</v>
      </c>
      <c r="G1929">
        <v>2</v>
      </c>
      <c r="H1929">
        <v>1678.38</v>
      </c>
      <c r="I1929">
        <v>5</v>
      </c>
      <c r="J1929" t="s">
        <v>14</v>
      </c>
      <c r="K1929">
        <v>3188.92</v>
      </c>
    </row>
    <row r="1930" spans="1:11" x14ac:dyDescent="0.25">
      <c r="A1930" t="s">
        <v>3849</v>
      </c>
      <c r="B1930" s="1">
        <v>45770</v>
      </c>
      <c r="C1930" t="s">
        <v>3850</v>
      </c>
      <c r="D1930" t="s">
        <v>24</v>
      </c>
      <c r="E1930" t="s">
        <v>29</v>
      </c>
      <c r="F1930" t="s">
        <v>3991</v>
      </c>
      <c r="G1930">
        <v>8</v>
      </c>
      <c r="H1930">
        <v>1858.34</v>
      </c>
      <c r="I1930">
        <v>10</v>
      </c>
      <c r="J1930" t="s">
        <v>39</v>
      </c>
      <c r="K1930">
        <v>13380.05</v>
      </c>
    </row>
    <row r="1931" spans="1:11" x14ac:dyDescent="0.25">
      <c r="A1931" t="s">
        <v>3851</v>
      </c>
      <c r="B1931" s="1">
        <v>45285</v>
      </c>
      <c r="C1931" t="s">
        <v>3852</v>
      </c>
      <c r="D1931" t="s">
        <v>24</v>
      </c>
      <c r="E1931" t="s">
        <v>3272</v>
      </c>
      <c r="F1931" t="s">
        <v>3992</v>
      </c>
      <c r="G1931">
        <v>5</v>
      </c>
      <c r="H1931">
        <v>763.48</v>
      </c>
      <c r="I1931">
        <v>20</v>
      </c>
      <c r="J1931" t="s">
        <v>39</v>
      </c>
      <c r="K1931">
        <v>3053.92</v>
      </c>
    </row>
    <row r="1932" spans="1:11" x14ac:dyDescent="0.25">
      <c r="A1932" t="s">
        <v>3853</v>
      </c>
      <c r="B1932" s="1">
        <v>45235</v>
      </c>
      <c r="C1932" t="s">
        <v>3854</v>
      </c>
      <c r="D1932" t="s">
        <v>36</v>
      </c>
      <c r="E1932" t="s">
        <v>3988</v>
      </c>
      <c r="F1932" t="s">
        <v>3993</v>
      </c>
      <c r="G1932">
        <v>2</v>
      </c>
      <c r="H1932">
        <v>670.2</v>
      </c>
      <c r="I1932">
        <v>15</v>
      </c>
      <c r="J1932" t="s">
        <v>39</v>
      </c>
      <c r="K1932">
        <v>1139.3399999999999</v>
      </c>
    </row>
    <row r="1933" spans="1:11" x14ac:dyDescent="0.25">
      <c r="A1933" t="s">
        <v>3855</v>
      </c>
      <c r="B1933" s="1">
        <v>45663</v>
      </c>
      <c r="C1933" t="s">
        <v>3856</v>
      </c>
      <c r="D1933" t="s">
        <v>20</v>
      </c>
      <c r="E1933" t="s">
        <v>3988</v>
      </c>
      <c r="F1933" t="s">
        <v>3994</v>
      </c>
      <c r="G1933">
        <v>4</v>
      </c>
      <c r="H1933">
        <v>1511.38</v>
      </c>
      <c r="I1933">
        <v>15</v>
      </c>
      <c r="J1933" t="s">
        <v>21</v>
      </c>
      <c r="K1933">
        <v>5138.6899999999996</v>
      </c>
    </row>
    <row r="1934" spans="1:11" x14ac:dyDescent="0.25">
      <c r="A1934" t="s">
        <v>3857</v>
      </c>
      <c r="B1934" s="1">
        <v>45822</v>
      </c>
      <c r="C1934" t="s">
        <v>3858</v>
      </c>
      <c r="D1934" t="s">
        <v>36</v>
      </c>
      <c r="E1934" t="s">
        <v>3988</v>
      </c>
      <c r="F1934" t="s">
        <v>3995</v>
      </c>
      <c r="G1934">
        <v>9</v>
      </c>
      <c r="H1934">
        <v>890.67</v>
      </c>
      <c r="I1934">
        <v>15</v>
      </c>
      <c r="J1934" t="s">
        <v>17</v>
      </c>
      <c r="K1934">
        <v>6813.63</v>
      </c>
    </row>
    <row r="1935" spans="1:11" x14ac:dyDescent="0.25">
      <c r="A1935" t="s">
        <v>3859</v>
      </c>
      <c r="B1935" s="1">
        <v>45170</v>
      </c>
      <c r="C1935" t="s">
        <v>3860</v>
      </c>
      <c r="D1935" t="s">
        <v>36</v>
      </c>
      <c r="E1935" t="s">
        <v>3988</v>
      </c>
      <c r="F1935" t="s">
        <v>3996</v>
      </c>
      <c r="G1935">
        <v>4</v>
      </c>
      <c r="H1935">
        <v>220.72</v>
      </c>
      <c r="I1935">
        <v>0</v>
      </c>
      <c r="J1935" t="s">
        <v>39</v>
      </c>
      <c r="K1935">
        <v>882.88</v>
      </c>
    </row>
    <row r="1936" spans="1:11" x14ac:dyDescent="0.25">
      <c r="A1936" t="s">
        <v>3861</v>
      </c>
      <c r="B1936" s="1">
        <v>45252</v>
      </c>
      <c r="C1936" t="s">
        <v>3862</v>
      </c>
      <c r="D1936" t="s">
        <v>36</v>
      </c>
      <c r="E1936" t="s">
        <v>3988</v>
      </c>
      <c r="F1936" t="s">
        <v>3997</v>
      </c>
      <c r="G1936">
        <v>4</v>
      </c>
      <c r="H1936">
        <v>601.46</v>
      </c>
      <c r="I1936">
        <v>15</v>
      </c>
      <c r="J1936" t="s">
        <v>39</v>
      </c>
      <c r="K1936">
        <v>2044.96</v>
      </c>
    </row>
    <row r="1937" spans="1:11" x14ac:dyDescent="0.25">
      <c r="A1937" t="s">
        <v>3863</v>
      </c>
      <c r="B1937" s="1">
        <v>45161</v>
      </c>
      <c r="C1937" t="s">
        <v>3864</v>
      </c>
      <c r="D1937" t="s">
        <v>36</v>
      </c>
      <c r="E1937" t="s">
        <v>29</v>
      </c>
      <c r="F1937" t="s">
        <v>3998</v>
      </c>
      <c r="G1937">
        <v>2</v>
      </c>
      <c r="H1937">
        <v>866.24</v>
      </c>
      <c r="I1937">
        <v>20</v>
      </c>
      <c r="J1937" t="s">
        <v>17</v>
      </c>
      <c r="K1937">
        <v>1385.98</v>
      </c>
    </row>
    <row r="1938" spans="1:11" x14ac:dyDescent="0.25">
      <c r="A1938" t="s">
        <v>3865</v>
      </c>
      <c r="B1938" s="1">
        <v>45428</v>
      </c>
      <c r="C1938" t="s">
        <v>297</v>
      </c>
      <c r="D1938" t="s">
        <v>13</v>
      </c>
      <c r="E1938" t="s">
        <v>29</v>
      </c>
      <c r="F1938" t="s">
        <v>3999</v>
      </c>
      <c r="G1938">
        <v>6</v>
      </c>
      <c r="H1938">
        <v>620.41</v>
      </c>
      <c r="I1938">
        <v>20</v>
      </c>
      <c r="J1938" t="s">
        <v>14</v>
      </c>
      <c r="K1938">
        <v>2977.97</v>
      </c>
    </row>
    <row r="1939" spans="1:11" x14ac:dyDescent="0.25">
      <c r="A1939" t="s">
        <v>3866</v>
      </c>
      <c r="B1939" s="1">
        <v>45763</v>
      </c>
      <c r="C1939" t="s">
        <v>3867</v>
      </c>
      <c r="D1939" t="s">
        <v>24</v>
      </c>
      <c r="E1939" t="s">
        <v>3988</v>
      </c>
      <c r="F1939" t="s">
        <v>4000</v>
      </c>
      <c r="G1939">
        <v>2</v>
      </c>
      <c r="H1939">
        <v>697.8</v>
      </c>
      <c r="I1939">
        <v>5</v>
      </c>
      <c r="J1939" t="s">
        <v>21</v>
      </c>
      <c r="K1939">
        <v>1325.82</v>
      </c>
    </row>
    <row r="1940" spans="1:11" x14ac:dyDescent="0.25">
      <c r="A1940" t="s">
        <v>3868</v>
      </c>
      <c r="B1940" s="1">
        <v>45762</v>
      </c>
      <c r="C1940" t="s">
        <v>3869</v>
      </c>
      <c r="D1940" t="s">
        <v>20</v>
      </c>
      <c r="E1940" t="s">
        <v>3988</v>
      </c>
      <c r="F1940" t="s">
        <v>4001</v>
      </c>
      <c r="G1940">
        <v>7</v>
      </c>
      <c r="H1940">
        <v>622.86</v>
      </c>
      <c r="I1940">
        <v>0</v>
      </c>
      <c r="J1940" t="s">
        <v>17</v>
      </c>
      <c r="K1940">
        <v>4360.0200000000004</v>
      </c>
    </row>
    <row r="1941" spans="1:11" x14ac:dyDescent="0.25">
      <c r="A1941" t="s">
        <v>3870</v>
      </c>
      <c r="B1941" s="1">
        <v>45334</v>
      </c>
      <c r="C1941" t="s">
        <v>3871</v>
      </c>
      <c r="D1941" t="s">
        <v>13</v>
      </c>
      <c r="E1941" t="s">
        <v>3988</v>
      </c>
      <c r="F1941" t="s">
        <v>4002</v>
      </c>
      <c r="G1941">
        <v>3</v>
      </c>
      <c r="H1941">
        <v>130.91999999999999</v>
      </c>
      <c r="I1941">
        <v>20</v>
      </c>
      <c r="J1941" t="s">
        <v>39</v>
      </c>
      <c r="K1941">
        <v>314.20999999999998</v>
      </c>
    </row>
    <row r="1942" spans="1:11" x14ac:dyDescent="0.25">
      <c r="A1942" t="s">
        <v>3872</v>
      </c>
      <c r="B1942" s="1">
        <v>45607</v>
      </c>
      <c r="C1942" t="s">
        <v>3873</v>
      </c>
      <c r="D1942" t="s">
        <v>24</v>
      </c>
      <c r="E1942" t="s">
        <v>3272</v>
      </c>
      <c r="F1942" t="s">
        <v>4003</v>
      </c>
      <c r="G1942">
        <v>3</v>
      </c>
      <c r="H1942">
        <v>1292.33</v>
      </c>
      <c r="I1942">
        <v>10</v>
      </c>
      <c r="J1942" t="s">
        <v>17</v>
      </c>
      <c r="K1942">
        <v>3489.29</v>
      </c>
    </row>
    <row r="1943" spans="1:11" x14ac:dyDescent="0.25">
      <c r="A1943" t="s">
        <v>3874</v>
      </c>
      <c r="B1943" s="1">
        <v>45401</v>
      </c>
      <c r="C1943" t="s">
        <v>3875</v>
      </c>
      <c r="D1943" t="s">
        <v>36</v>
      </c>
      <c r="E1943" t="s">
        <v>3988</v>
      </c>
      <c r="F1943" t="s">
        <v>4004</v>
      </c>
      <c r="G1943">
        <v>5</v>
      </c>
      <c r="H1943">
        <v>1214.72</v>
      </c>
      <c r="I1943">
        <v>0</v>
      </c>
      <c r="J1943" t="s">
        <v>39</v>
      </c>
      <c r="K1943">
        <v>6073.6</v>
      </c>
    </row>
    <row r="1944" spans="1:11" x14ac:dyDescent="0.25">
      <c r="A1944" t="s">
        <v>3876</v>
      </c>
      <c r="B1944" s="1">
        <v>45162</v>
      </c>
      <c r="C1944" t="s">
        <v>3877</v>
      </c>
      <c r="D1944" t="s">
        <v>24</v>
      </c>
      <c r="E1944" t="s">
        <v>29</v>
      </c>
      <c r="F1944" t="s">
        <v>4005</v>
      </c>
      <c r="G1944">
        <v>3</v>
      </c>
      <c r="H1944">
        <v>1324.1</v>
      </c>
      <c r="I1944">
        <v>0</v>
      </c>
      <c r="J1944" t="s">
        <v>14</v>
      </c>
      <c r="K1944">
        <v>3972.3</v>
      </c>
    </row>
    <row r="1945" spans="1:11" x14ac:dyDescent="0.25">
      <c r="A1945" t="s">
        <v>3878</v>
      </c>
      <c r="B1945" s="1">
        <v>45285</v>
      </c>
      <c r="C1945" t="s">
        <v>3879</v>
      </c>
      <c r="D1945" t="s">
        <v>24</v>
      </c>
      <c r="E1945" t="s">
        <v>3988</v>
      </c>
      <c r="F1945" t="s">
        <v>4006</v>
      </c>
      <c r="G1945">
        <v>2</v>
      </c>
      <c r="H1945">
        <v>425</v>
      </c>
      <c r="I1945">
        <v>20</v>
      </c>
      <c r="J1945" t="s">
        <v>17</v>
      </c>
      <c r="K1945">
        <v>680</v>
      </c>
    </row>
    <row r="1946" spans="1:11" x14ac:dyDescent="0.25">
      <c r="A1946" t="s">
        <v>3880</v>
      </c>
      <c r="B1946" s="1">
        <v>45356</v>
      </c>
      <c r="C1946" t="s">
        <v>3881</v>
      </c>
      <c r="D1946" t="s">
        <v>13</v>
      </c>
      <c r="E1946" t="s">
        <v>3272</v>
      </c>
      <c r="F1946" t="s">
        <v>4007</v>
      </c>
      <c r="G1946">
        <v>9</v>
      </c>
      <c r="H1946">
        <v>626.53</v>
      </c>
      <c r="I1946">
        <v>10</v>
      </c>
      <c r="J1946" t="s">
        <v>21</v>
      </c>
      <c r="K1946">
        <v>5074.8900000000003</v>
      </c>
    </row>
    <row r="1947" spans="1:11" x14ac:dyDescent="0.25">
      <c r="A1947" t="s">
        <v>3882</v>
      </c>
      <c r="B1947" s="1">
        <v>45190</v>
      </c>
      <c r="C1947" t="s">
        <v>3883</v>
      </c>
      <c r="D1947" t="s">
        <v>13</v>
      </c>
      <c r="E1947" t="s">
        <v>3988</v>
      </c>
      <c r="F1947" t="s">
        <v>4008</v>
      </c>
      <c r="G1947">
        <v>2</v>
      </c>
      <c r="H1947">
        <v>1258.25</v>
      </c>
      <c r="I1947">
        <v>5</v>
      </c>
      <c r="J1947" t="s">
        <v>17</v>
      </c>
      <c r="K1947">
        <v>2390.67</v>
      </c>
    </row>
    <row r="1948" spans="1:11" x14ac:dyDescent="0.25">
      <c r="A1948" t="s">
        <v>3884</v>
      </c>
      <c r="B1948" s="1">
        <v>45248</v>
      </c>
      <c r="C1948" t="s">
        <v>2341</v>
      </c>
      <c r="D1948" t="s">
        <v>20</v>
      </c>
      <c r="E1948" t="s">
        <v>3988</v>
      </c>
      <c r="F1948" t="s">
        <v>4009</v>
      </c>
      <c r="G1948">
        <v>2</v>
      </c>
      <c r="H1948">
        <v>1219.27</v>
      </c>
      <c r="I1948">
        <v>20</v>
      </c>
      <c r="J1948" t="s">
        <v>39</v>
      </c>
      <c r="K1948">
        <v>1950.83</v>
      </c>
    </row>
    <row r="1949" spans="1:11" x14ac:dyDescent="0.25">
      <c r="A1949" t="s">
        <v>3885</v>
      </c>
      <c r="B1949" s="1">
        <v>45726</v>
      </c>
      <c r="C1949" t="s">
        <v>3886</v>
      </c>
      <c r="D1949" t="s">
        <v>36</v>
      </c>
      <c r="E1949" t="s">
        <v>3988</v>
      </c>
      <c r="F1949" t="s">
        <v>4010</v>
      </c>
      <c r="G1949">
        <v>8</v>
      </c>
      <c r="H1949">
        <v>1037.3399999999999</v>
      </c>
      <c r="I1949">
        <v>10</v>
      </c>
      <c r="J1949" t="s">
        <v>39</v>
      </c>
      <c r="K1949">
        <v>7468.85</v>
      </c>
    </row>
    <row r="1950" spans="1:11" x14ac:dyDescent="0.25">
      <c r="A1950" t="s">
        <v>3887</v>
      </c>
      <c r="B1950" s="1">
        <v>45476</v>
      </c>
      <c r="C1950" t="s">
        <v>3888</v>
      </c>
      <c r="D1950" t="s">
        <v>36</v>
      </c>
      <c r="E1950" t="s">
        <v>3272</v>
      </c>
      <c r="F1950" t="s">
        <v>4011</v>
      </c>
      <c r="G1950">
        <v>9</v>
      </c>
      <c r="H1950">
        <v>733.31</v>
      </c>
      <c r="I1950">
        <v>0</v>
      </c>
      <c r="J1950" t="s">
        <v>21</v>
      </c>
      <c r="K1950">
        <v>6599.79</v>
      </c>
    </row>
    <row r="1951" spans="1:11" x14ac:dyDescent="0.25">
      <c r="A1951" t="s">
        <v>3889</v>
      </c>
      <c r="B1951" s="1">
        <v>45558</v>
      </c>
      <c r="C1951" t="s">
        <v>3890</v>
      </c>
      <c r="D1951" t="s">
        <v>36</v>
      </c>
      <c r="E1951" t="s">
        <v>3988</v>
      </c>
      <c r="F1951" t="s">
        <v>4000</v>
      </c>
      <c r="G1951">
        <v>7</v>
      </c>
      <c r="H1951">
        <v>1830.22</v>
      </c>
      <c r="I1951">
        <v>10</v>
      </c>
      <c r="J1951" t="s">
        <v>39</v>
      </c>
      <c r="K1951">
        <v>11530.39</v>
      </c>
    </row>
    <row r="1952" spans="1:11" x14ac:dyDescent="0.25">
      <c r="A1952" t="s">
        <v>3891</v>
      </c>
      <c r="B1952" s="1">
        <v>45238</v>
      </c>
      <c r="C1952" t="s">
        <v>3892</v>
      </c>
      <c r="D1952" t="s">
        <v>24</v>
      </c>
      <c r="E1952" t="s">
        <v>29</v>
      </c>
      <c r="F1952" t="s">
        <v>4012</v>
      </c>
      <c r="G1952">
        <v>3</v>
      </c>
      <c r="H1952">
        <v>712.55</v>
      </c>
      <c r="I1952">
        <v>0</v>
      </c>
      <c r="J1952" t="s">
        <v>39</v>
      </c>
      <c r="K1952">
        <v>2137.65</v>
      </c>
    </row>
    <row r="1953" spans="1:11" x14ac:dyDescent="0.25">
      <c r="A1953" t="s">
        <v>3893</v>
      </c>
      <c r="B1953" s="1">
        <v>45729</v>
      </c>
      <c r="C1953" t="s">
        <v>3894</v>
      </c>
      <c r="D1953" t="s">
        <v>24</v>
      </c>
      <c r="E1953" t="s">
        <v>29</v>
      </c>
      <c r="F1953" t="s">
        <v>4013</v>
      </c>
      <c r="G1953">
        <v>9</v>
      </c>
      <c r="H1953">
        <v>938.46</v>
      </c>
      <c r="I1953">
        <v>20</v>
      </c>
      <c r="J1953" t="s">
        <v>39</v>
      </c>
      <c r="K1953">
        <v>6756.91</v>
      </c>
    </row>
    <row r="1954" spans="1:11" x14ac:dyDescent="0.25">
      <c r="A1954" t="s">
        <v>3895</v>
      </c>
      <c r="B1954" s="1">
        <v>45199</v>
      </c>
      <c r="C1954" t="s">
        <v>2950</v>
      </c>
      <c r="D1954" t="s">
        <v>36</v>
      </c>
      <c r="E1954" t="s">
        <v>3272</v>
      </c>
      <c r="F1954" t="s">
        <v>4899</v>
      </c>
      <c r="G1954">
        <v>3</v>
      </c>
      <c r="H1954">
        <v>1372.32</v>
      </c>
      <c r="I1954">
        <v>20</v>
      </c>
      <c r="J1954" t="s">
        <v>17</v>
      </c>
      <c r="K1954">
        <v>3293.57</v>
      </c>
    </row>
    <row r="1955" spans="1:11" x14ac:dyDescent="0.25">
      <c r="A1955" t="s">
        <v>3896</v>
      </c>
      <c r="B1955" s="1">
        <v>45519</v>
      </c>
      <c r="C1955" t="s">
        <v>3897</v>
      </c>
      <c r="D1955" t="s">
        <v>20</v>
      </c>
      <c r="E1955" t="s">
        <v>29</v>
      </c>
      <c r="F1955" t="s">
        <v>4424</v>
      </c>
      <c r="G1955">
        <v>5</v>
      </c>
      <c r="H1955">
        <v>1108.8900000000001</v>
      </c>
      <c r="I1955">
        <v>15</v>
      </c>
      <c r="J1955" t="s">
        <v>17</v>
      </c>
      <c r="K1955">
        <v>4712.78</v>
      </c>
    </row>
    <row r="1956" spans="1:11" x14ac:dyDescent="0.25">
      <c r="A1956" t="s">
        <v>3898</v>
      </c>
      <c r="B1956" s="1">
        <v>45498</v>
      </c>
      <c r="C1956" t="s">
        <v>3899</v>
      </c>
      <c r="D1956" t="s">
        <v>24</v>
      </c>
      <c r="E1956" t="s">
        <v>29</v>
      </c>
      <c r="F1956" t="s">
        <v>4424</v>
      </c>
      <c r="G1956">
        <v>9</v>
      </c>
      <c r="H1956">
        <v>726.43</v>
      </c>
      <c r="I1956">
        <v>15</v>
      </c>
      <c r="J1956" t="s">
        <v>21</v>
      </c>
      <c r="K1956">
        <v>5557.19</v>
      </c>
    </row>
    <row r="1957" spans="1:11" x14ac:dyDescent="0.25">
      <c r="A1957" t="s">
        <v>3900</v>
      </c>
      <c r="B1957" s="1">
        <v>45754</v>
      </c>
      <c r="C1957" t="s">
        <v>3901</v>
      </c>
      <c r="D1957" t="s">
        <v>20</v>
      </c>
      <c r="E1957" t="s">
        <v>3988</v>
      </c>
      <c r="F1957" t="s">
        <v>4900</v>
      </c>
      <c r="G1957">
        <v>3</v>
      </c>
      <c r="H1957">
        <v>899.51</v>
      </c>
      <c r="I1957">
        <v>15</v>
      </c>
      <c r="J1957" t="s">
        <v>21</v>
      </c>
      <c r="K1957">
        <v>2293.75</v>
      </c>
    </row>
    <row r="1958" spans="1:11" x14ac:dyDescent="0.25">
      <c r="A1958" t="s">
        <v>3902</v>
      </c>
      <c r="B1958" s="1">
        <v>45431</v>
      </c>
      <c r="C1958" t="s">
        <v>3903</v>
      </c>
      <c r="D1958" t="s">
        <v>24</v>
      </c>
      <c r="E1958" t="s">
        <v>29</v>
      </c>
      <c r="F1958" t="s">
        <v>4896</v>
      </c>
      <c r="G1958">
        <v>7</v>
      </c>
      <c r="H1958">
        <v>1599.24</v>
      </c>
      <c r="I1958">
        <v>20</v>
      </c>
      <c r="J1958" t="s">
        <v>14</v>
      </c>
      <c r="K1958">
        <v>8955.74</v>
      </c>
    </row>
    <row r="1959" spans="1:11" x14ac:dyDescent="0.25">
      <c r="A1959" t="s">
        <v>3904</v>
      </c>
      <c r="B1959" s="1">
        <v>45548</v>
      </c>
      <c r="C1959" t="s">
        <v>3905</v>
      </c>
      <c r="D1959" t="s">
        <v>13</v>
      </c>
      <c r="E1959" t="s">
        <v>3272</v>
      </c>
      <c r="F1959" t="s">
        <v>4178</v>
      </c>
      <c r="G1959">
        <v>1</v>
      </c>
      <c r="H1959">
        <v>592.35</v>
      </c>
      <c r="I1959">
        <v>5</v>
      </c>
      <c r="J1959" t="s">
        <v>39</v>
      </c>
      <c r="K1959">
        <v>562.73</v>
      </c>
    </row>
    <row r="1960" spans="1:11" x14ac:dyDescent="0.25">
      <c r="A1960" t="s">
        <v>3906</v>
      </c>
      <c r="B1960" s="1">
        <v>45611</v>
      </c>
      <c r="C1960" t="s">
        <v>3907</v>
      </c>
      <c r="D1960" t="s">
        <v>13</v>
      </c>
      <c r="E1960" t="s">
        <v>3272</v>
      </c>
      <c r="F1960" t="s">
        <v>3992</v>
      </c>
      <c r="G1960">
        <v>4</v>
      </c>
      <c r="H1960">
        <v>327.39999999999998</v>
      </c>
      <c r="I1960">
        <v>20</v>
      </c>
      <c r="J1960" t="s">
        <v>21</v>
      </c>
      <c r="K1960">
        <v>1047.68</v>
      </c>
    </row>
    <row r="1961" spans="1:11" x14ac:dyDescent="0.25">
      <c r="A1961" t="s">
        <v>3908</v>
      </c>
      <c r="B1961" s="1">
        <v>45234</v>
      </c>
      <c r="C1961" t="s">
        <v>3909</v>
      </c>
      <c r="D1961" t="s">
        <v>36</v>
      </c>
      <c r="E1961" t="s">
        <v>3988</v>
      </c>
      <c r="F1961" t="s">
        <v>4089</v>
      </c>
      <c r="G1961">
        <v>4</v>
      </c>
      <c r="H1961">
        <v>660.67</v>
      </c>
      <c r="I1961">
        <v>10</v>
      </c>
      <c r="J1961" t="s">
        <v>39</v>
      </c>
      <c r="K1961">
        <v>2378.41</v>
      </c>
    </row>
    <row r="1962" spans="1:11" x14ac:dyDescent="0.25">
      <c r="A1962" t="s">
        <v>3910</v>
      </c>
      <c r="B1962" s="1">
        <v>45501</v>
      </c>
      <c r="C1962" t="s">
        <v>3911</v>
      </c>
      <c r="D1962" t="s">
        <v>13</v>
      </c>
      <c r="E1962" t="s">
        <v>3988</v>
      </c>
      <c r="F1962" t="s">
        <v>4392</v>
      </c>
      <c r="G1962">
        <v>7</v>
      </c>
      <c r="H1962">
        <v>1706.59</v>
      </c>
      <c r="I1962">
        <v>20</v>
      </c>
      <c r="J1962" t="s">
        <v>21</v>
      </c>
      <c r="K1962">
        <v>9556.9</v>
      </c>
    </row>
    <row r="1963" spans="1:11" x14ac:dyDescent="0.25">
      <c r="A1963" t="s">
        <v>3912</v>
      </c>
      <c r="B1963" s="1">
        <v>45541</v>
      </c>
      <c r="C1963" t="s">
        <v>3913</v>
      </c>
      <c r="D1963" t="s">
        <v>24</v>
      </c>
      <c r="E1963" t="s">
        <v>3988</v>
      </c>
      <c r="F1963" t="s">
        <v>4001</v>
      </c>
      <c r="G1963">
        <v>8</v>
      </c>
      <c r="H1963">
        <v>223.53</v>
      </c>
      <c r="I1963">
        <v>20</v>
      </c>
      <c r="J1963" t="s">
        <v>14</v>
      </c>
      <c r="K1963">
        <v>1430.59</v>
      </c>
    </row>
    <row r="1964" spans="1:11" x14ac:dyDescent="0.25">
      <c r="A1964" t="s">
        <v>3914</v>
      </c>
      <c r="B1964" s="1">
        <v>45322</v>
      </c>
      <c r="C1964" t="s">
        <v>3915</v>
      </c>
      <c r="D1964" t="s">
        <v>24</v>
      </c>
      <c r="E1964" t="s">
        <v>3988</v>
      </c>
      <c r="F1964" t="s">
        <v>3993</v>
      </c>
      <c r="G1964">
        <v>1</v>
      </c>
      <c r="H1964">
        <v>1983.81</v>
      </c>
      <c r="I1964">
        <v>0</v>
      </c>
      <c r="J1964" t="s">
        <v>21</v>
      </c>
      <c r="K1964">
        <v>1983.81</v>
      </c>
    </row>
    <row r="1965" spans="1:11" x14ac:dyDescent="0.25">
      <c r="A1965" t="s">
        <v>3916</v>
      </c>
      <c r="B1965" s="1">
        <v>45627</v>
      </c>
      <c r="C1965" t="s">
        <v>974</v>
      </c>
      <c r="D1965" t="s">
        <v>13</v>
      </c>
      <c r="E1965" t="s">
        <v>3988</v>
      </c>
      <c r="F1965" t="s">
        <v>4544</v>
      </c>
      <c r="G1965">
        <v>5</v>
      </c>
      <c r="H1965">
        <v>1104.96</v>
      </c>
      <c r="I1965">
        <v>0</v>
      </c>
      <c r="J1965" t="s">
        <v>17</v>
      </c>
      <c r="K1965">
        <v>5524.8</v>
      </c>
    </row>
    <row r="1966" spans="1:11" x14ac:dyDescent="0.25">
      <c r="A1966" t="s">
        <v>3917</v>
      </c>
      <c r="B1966" s="1">
        <v>45183</v>
      </c>
      <c r="C1966" t="s">
        <v>3918</v>
      </c>
      <c r="D1966" t="s">
        <v>13</v>
      </c>
      <c r="E1966" t="s">
        <v>3988</v>
      </c>
      <c r="F1966" t="s">
        <v>4471</v>
      </c>
      <c r="G1966">
        <v>7</v>
      </c>
      <c r="H1966">
        <v>1970.45</v>
      </c>
      <c r="I1966">
        <v>0</v>
      </c>
      <c r="J1966" t="s">
        <v>39</v>
      </c>
      <c r="K1966">
        <v>13793.15</v>
      </c>
    </row>
    <row r="1967" spans="1:11" x14ac:dyDescent="0.25">
      <c r="A1967" t="s">
        <v>3919</v>
      </c>
      <c r="B1967" s="1">
        <v>45714</v>
      </c>
      <c r="C1967" t="s">
        <v>3920</v>
      </c>
      <c r="D1967" t="s">
        <v>13</v>
      </c>
      <c r="E1967" t="s">
        <v>3272</v>
      </c>
      <c r="F1967" t="s">
        <v>4214</v>
      </c>
      <c r="G1967">
        <v>4</v>
      </c>
      <c r="H1967">
        <v>1881.04</v>
      </c>
      <c r="I1967">
        <v>20</v>
      </c>
      <c r="J1967" t="s">
        <v>17</v>
      </c>
      <c r="K1967">
        <v>6019.33</v>
      </c>
    </row>
    <row r="1968" spans="1:11" x14ac:dyDescent="0.25">
      <c r="A1968" t="s">
        <v>3921</v>
      </c>
      <c r="B1968" s="1">
        <v>45758</v>
      </c>
      <c r="C1968" t="s">
        <v>3922</v>
      </c>
      <c r="D1968" t="s">
        <v>36</v>
      </c>
      <c r="E1968" t="s">
        <v>3272</v>
      </c>
      <c r="F1968" t="s">
        <v>4866</v>
      </c>
      <c r="G1968">
        <v>4</v>
      </c>
      <c r="H1968">
        <v>932.99</v>
      </c>
      <c r="I1968">
        <v>5</v>
      </c>
      <c r="J1968" t="s">
        <v>21</v>
      </c>
      <c r="K1968">
        <v>3545.36</v>
      </c>
    </row>
    <row r="1969" spans="1:11" x14ac:dyDescent="0.25">
      <c r="A1969" t="s">
        <v>3923</v>
      </c>
      <c r="B1969" s="1">
        <v>45855</v>
      </c>
      <c r="C1969" t="s">
        <v>3924</v>
      </c>
      <c r="D1969" t="s">
        <v>13</v>
      </c>
      <c r="E1969" t="s">
        <v>3988</v>
      </c>
      <c r="F1969" t="s">
        <v>4174</v>
      </c>
      <c r="G1969">
        <v>4</v>
      </c>
      <c r="H1969">
        <v>437.06</v>
      </c>
      <c r="I1969">
        <v>10</v>
      </c>
      <c r="J1969" t="s">
        <v>21</v>
      </c>
      <c r="K1969">
        <v>1573.42</v>
      </c>
    </row>
    <row r="1970" spans="1:11" x14ac:dyDescent="0.25">
      <c r="A1970" t="s">
        <v>3925</v>
      </c>
      <c r="B1970" s="1">
        <v>45823</v>
      </c>
      <c r="C1970" t="s">
        <v>3926</v>
      </c>
      <c r="D1970" t="s">
        <v>24</v>
      </c>
      <c r="E1970" t="s">
        <v>29</v>
      </c>
      <c r="F1970" t="s">
        <v>4061</v>
      </c>
      <c r="G1970">
        <v>6</v>
      </c>
      <c r="H1970">
        <v>371.53</v>
      </c>
      <c r="I1970">
        <v>10</v>
      </c>
      <c r="J1970" t="s">
        <v>14</v>
      </c>
      <c r="K1970">
        <v>2006.26</v>
      </c>
    </row>
    <row r="1971" spans="1:11" x14ac:dyDescent="0.25">
      <c r="A1971" t="s">
        <v>3927</v>
      </c>
      <c r="B1971" s="1">
        <v>45661</v>
      </c>
      <c r="C1971" t="s">
        <v>3928</v>
      </c>
      <c r="D1971" t="s">
        <v>13</v>
      </c>
      <c r="E1971" t="s">
        <v>3272</v>
      </c>
      <c r="F1971" t="s">
        <v>4901</v>
      </c>
      <c r="G1971">
        <v>7</v>
      </c>
      <c r="H1971">
        <v>517.98</v>
      </c>
      <c r="I1971">
        <v>5</v>
      </c>
      <c r="J1971" t="s">
        <v>14</v>
      </c>
      <c r="K1971">
        <v>3444.57</v>
      </c>
    </row>
    <row r="1972" spans="1:11" x14ac:dyDescent="0.25">
      <c r="A1972" t="s">
        <v>3929</v>
      </c>
      <c r="B1972" s="1">
        <v>45555</v>
      </c>
      <c r="C1972" t="s">
        <v>3930</v>
      </c>
      <c r="D1972" t="s">
        <v>36</v>
      </c>
      <c r="E1972" t="s">
        <v>3988</v>
      </c>
      <c r="F1972" t="s">
        <v>4001</v>
      </c>
      <c r="G1972">
        <v>2</v>
      </c>
      <c r="H1972">
        <v>1434.76</v>
      </c>
      <c r="I1972">
        <v>5</v>
      </c>
      <c r="J1972" t="s">
        <v>14</v>
      </c>
      <c r="K1972">
        <v>2726.04</v>
      </c>
    </row>
    <row r="1973" spans="1:11" x14ac:dyDescent="0.25">
      <c r="A1973" t="s">
        <v>3931</v>
      </c>
      <c r="B1973" s="1">
        <v>45384</v>
      </c>
      <c r="C1973" t="s">
        <v>3932</v>
      </c>
      <c r="D1973" t="s">
        <v>36</v>
      </c>
      <c r="E1973" t="s">
        <v>3988</v>
      </c>
      <c r="F1973" t="s">
        <v>4453</v>
      </c>
      <c r="G1973">
        <v>5</v>
      </c>
      <c r="H1973">
        <v>582.25</v>
      </c>
      <c r="I1973">
        <v>10</v>
      </c>
      <c r="J1973" t="s">
        <v>21</v>
      </c>
      <c r="K1973">
        <v>2620.12</v>
      </c>
    </row>
    <row r="1974" spans="1:11" x14ac:dyDescent="0.25">
      <c r="A1974" t="s">
        <v>3933</v>
      </c>
      <c r="B1974" s="1">
        <v>45505</v>
      </c>
      <c r="C1974" t="s">
        <v>3934</v>
      </c>
      <c r="D1974" t="s">
        <v>24</v>
      </c>
      <c r="E1974" t="s">
        <v>29</v>
      </c>
      <c r="F1974" t="s">
        <v>4222</v>
      </c>
      <c r="G1974">
        <v>4</v>
      </c>
      <c r="H1974">
        <v>715.78</v>
      </c>
      <c r="I1974">
        <v>15</v>
      </c>
      <c r="J1974" t="s">
        <v>14</v>
      </c>
      <c r="K1974">
        <v>2433.65</v>
      </c>
    </row>
    <row r="1975" spans="1:11" x14ac:dyDescent="0.25">
      <c r="A1975" t="s">
        <v>3935</v>
      </c>
      <c r="B1975" s="1">
        <v>45649</v>
      </c>
      <c r="C1975" t="s">
        <v>3936</v>
      </c>
      <c r="D1975" t="s">
        <v>24</v>
      </c>
      <c r="E1975" t="s">
        <v>29</v>
      </c>
      <c r="F1975" t="s">
        <v>4462</v>
      </c>
      <c r="G1975">
        <v>3</v>
      </c>
      <c r="H1975">
        <v>925.12</v>
      </c>
      <c r="I1975">
        <v>0</v>
      </c>
      <c r="J1975" t="s">
        <v>21</v>
      </c>
      <c r="K1975">
        <v>2775.36</v>
      </c>
    </row>
    <row r="1976" spans="1:11" x14ac:dyDescent="0.25">
      <c r="A1976" t="s">
        <v>3937</v>
      </c>
      <c r="B1976" s="1">
        <v>45174</v>
      </c>
      <c r="C1976" t="s">
        <v>3938</v>
      </c>
      <c r="D1976" t="s">
        <v>13</v>
      </c>
      <c r="E1976" t="s">
        <v>3988</v>
      </c>
      <c r="F1976" t="s">
        <v>4802</v>
      </c>
      <c r="G1976">
        <v>7</v>
      </c>
      <c r="H1976">
        <v>1830.8</v>
      </c>
      <c r="I1976">
        <v>0</v>
      </c>
      <c r="J1976" t="s">
        <v>21</v>
      </c>
      <c r="K1976">
        <v>12815.6</v>
      </c>
    </row>
    <row r="1977" spans="1:11" x14ac:dyDescent="0.25">
      <c r="A1977" t="s">
        <v>3939</v>
      </c>
      <c r="B1977" s="1">
        <v>45197</v>
      </c>
      <c r="C1977" t="s">
        <v>3940</v>
      </c>
      <c r="D1977" t="s">
        <v>24</v>
      </c>
      <c r="E1977" t="s">
        <v>3272</v>
      </c>
      <c r="F1977" t="s">
        <v>4691</v>
      </c>
      <c r="G1977">
        <v>6</v>
      </c>
      <c r="H1977">
        <v>419.32</v>
      </c>
      <c r="I1977">
        <v>10</v>
      </c>
      <c r="J1977" t="s">
        <v>39</v>
      </c>
      <c r="K1977">
        <v>2264.33</v>
      </c>
    </row>
    <row r="1978" spans="1:11" x14ac:dyDescent="0.25">
      <c r="A1978" t="s">
        <v>3941</v>
      </c>
      <c r="B1978" s="1">
        <v>45522</v>
      </c>
      <c r="C1978" t="s">
        <v>3942</v>
      </c>
      <c r="D1978" t="s">
        <v>20</v>
      </c>
      <c r="E1978" t="s">
        <v>3988</v>
      </c>
      <c r="F1978" t="s">
        <v>4360</v>
      </c>
      <c r="G1978">
        <v>7</v>
      </c>
      <c r="H1978">
        <v>59.8</v>
      </c>
      <c r="I1978">
        <v>5</v>
      </c>
      <c r="J1978" t="s">
        <v>17</v>
      </c>
      <c r="K1978">
        <v>397.67</v>
      </c>
    </row>
    <row r="1979" spans="1:11" x14ac:dyDescent="0.25">
      <c r="A1979" t="s">
        <v>3943</v>
      </c>
      <c r="B1979" s="1">
        <v>45808</v>
      </c>
      <c r="C1979" t="s">
        <v>3430</v>
      </c>
      <c r="D1979" t="s">
        <v>24</v>
      </c>
      <c r="E1979" t="s">
        <v>3272</v>
      </c>
      <c r="F1979" t="s">
        <v>4844</v>
      </c>
      <c r="G1979">
        <v>5</v>
      </c>
      <c r="H1979">
        <v>167.19</v>
      </c>
      <c r="I1979">
        <v>15</v>
      </c>
      <c r="J1979" t="s">
        <v>39</v>
      </c>
      <c r="K1979">
        <v>710.56</v>
      </c>
    </row>
    <row r="1980" spans="1:11" x14ac:dyDescent="0.25">
      <c r="A1980" t="s">
        <v>3944</v>
      </c>
      <c r="B1980" s="1">
        <v>45461</v>
      </c>
      <c r="C1980" t="s">
        <v>3945</v>
      </c>
      <c r="D1980" t="s">
        <v>20</v>
      </c>
      <c r="E1980" t="s">
        <v>3988</v>
      </c>
      <c r="F1980" t="s">
        <v>3989</v>
      </c>
      <c r="G1980">
        <v>6</v>
      </c>
      <c r="H1980">
        <v>1814.29</v>
      </c>
      <c r="I1980">
        <v>10</v>
      </c>
      <c r="J1980" t="s">
        <v>17</v>
      </c>
      <c r="K1980">
        <v>9797.17</v>
      </c>
    </row>
    <row r="1981" spans="1:11" x14ac:dyDescent="0.25">
      <c r="A1981" t="s">
        <v>3946</v>
      </c>
      <c r="B1981" s="1">
        <v>45481</v>
      </c>
      <c r="C1981" t="s">
        <v>3947</v>
      </c>
      <c r="D1981" t="s">
        <v>20</v>
      </c>
      <c r="E1981" t="s">
        <v>3988</v>
      </c>
      <c r="F1981" t="s">
        <v>3990</v>
      </c>
      <c r="G1981">
        <v>5</v>
      </c>
      <c r="H1981">
        <v>1312.66</v>
      </c>
      <c r="I1981">
        <v>0</v>
      </c>
      <c r="J1981" t="s">
        <v>17</v>
      </c>
      <c r="K1981">
        <v>6563.3</v>
      </c>
    </row>
    <row r="1982" spans="1:11" x14ac:dyDescent="0.25">
      <c r="A1982" t="s">
        <v>3948</v>
      </c>
      <c r="B1982" s="1">
        <v>45682</v>
      </c>
      <c r="C1982" t="s">
        <v>3949</v>
      </c>
      <c r="D1982" t="s">
        <v>24</v>
      </c>
      <c r="E1982" t="s">
        <v>29</v>
      </c>
      <c r="F1982" t="s">
        <v>3991</v>
      </c>
      <c r="G1982">
        <v>7</v>
      </c>
      <c r="H1982">
        <v>582.42999999999995</v>
      </c>
      <c r="I1982">
        <v>20</v>
      </c>
      <c r="J1982" t="s">
        <v>21</v>
      </c>
      <c r="K1982">
        <v>3261.61</v>
      </c>
    </row>
    <row r="1983" spans="1:11" x14ac:dyDescent="0.25">
      <c r="A1983" t="s">
        <v>3950</v>
      </c>
      <c r="B1983" s="1">
        <v>45233</v>
      </c>
      <c r="C1983" t="s">
        <v>3951</v>
      </c>
      <c r="D1983" t="s">
        <v>20</v>
      </c>
      <c r="E1983" t="s">
        <v>3272</v>
      </c>
      <c r="F1983" t="s">
        <v>3992</v>
      </c>
      <c r="G1983">
        <v>2</v>
      </c>
      <c r="H1983">
        <v>395.53</v>
      </c>
      <c r="I1983">
        <v>5</v>
      </c>
      <c r="J1983" t="s">
        <v>14</v>
      </c>
      <c r="K1983">
        <v>751.51</v>
      </c>
    </row>
    <row r="1984" spans="1:11" x14ac:dyDescent="0.25">
      <c r="A1984" t="s">
        <v>3952</v>
      </c>
      <c r="B1984" s="1">
        <v>45530</v>
      </c>
      <c r="C1984" t="s">
        <v>3953</v>
      </c>
      <c r="D1984" t="s">
        <v>24</v>
      </c>
      <c r="E1984" t="s">
        <v>3988</v>
      </c>
      <c r="F1984" t="s">
        <v>3993</v>
      </c>
      <c r="G1984">
        <v>5</v>
      </c>
      <c r="H1984">
        <v>623.82000000000005</v>
      </c>
      <c r="I1984">
        <v>20</v>
      </c>
      <c r="J1984" t="s">
        <v>14</v>
      </c>
      <c r="K1984">
        <v>2495.2800000000002</v>
      </c>
    </row>
    <row r="1985" spans="1:11" x14ac:dyDescent="0.25">
      <c r="A1985" t="s">
        <v>3954</v>
      </c>
      <c r="B1985" s="1">
        <v>45703</v>
      </c>
      <c r="C1985" t="s">
        <v>3955</v>
      </c>
      <c r="D1985" t="s">
        <v>24</v>
      </c>
      <c r="E1985" t="s">
        <v>3988</v>
      </c>
      <c r="F1985" t="s">
        <v>3994</v>
      </c>
      <c r="G1985">
        <v>6</v>
      </c>
      <c r="H1985">
        <v>273.85000000000002</v>
      </c>
      <c r="I1985">
        <v>10</v>
      </c>
      <c r="J1985" t="s">
        <v>14</v>
      </c>
      <c r="K1985">
        <v>1478.79</v>
      </c>
    </row>
    <row r="1986" spans="1:11" x14ac:dyDescent="0.25">
      <c r="A1986" t="s">
        <v>3956</v>
      </c>
      <c r="B1986" s="1">
        <v>45856</v>
      </c>
      <c r="C1986" t="s">
        <v>3957</v>
      </c>
      <c r="D1986" t="s">
        <v>36</v>
      </c>
      <c r="E1986" t="s">
        <v>3988</v>
      </c>
      <c r="F1986" t="s">
        <v>3995</v>
      </c>
      <c r="G1986">
        <v>6</v>
      </c>
      <c r="H1986">
        <v>1885.99</v>
      </c>
      <c r="I1986">
        <v>0</v>
      </c>
      <c r="J1986" t="s">
        <v>39</v>
      </c>
      <c r="K1986">
        <v>11315.94</v>
      </c>
    </row>
    <row r="1987" spans="1:11" x14ac:dyDescent="0.25">
      <c r="A1987" t="s">
        <v>3958</v>
      </c>
      <c r="B1987" s="1">
        <v>45494</v>
      </c>
      <c r="C1987" t="s">
        <v>3959</v>
      </c>
      <c r="D1987" t="s">
        <v>20</v>
      </c>
      <c r="E1987" t="s">
        <v>3988</v>
      </c>
      <c r="F1987" t="s">
        <v>3996</v>
      </c>
      <c r="G1987">
        <v>5</v>
      </c>
      <c r="H1987">
        <v>1579.2</v>
      </c>
      <c r="I1987">
        <v>15</v>
      </c>
      <c r="J1987" t="s">
        <v>14</v>
      </c>
      <c r="K1987">
        <v>6711.6</v>
      </c>
    </row>
    <row r="1988" spans="1:11" x14ac:dyDescent="0.25">
      <c r="A1988" t="s">
        <v>3960</v>
      </c>
      <c r="B1988" s="1">
        <v>45207</v>
      </c>
      <c r="C1988" t="s">
        <v>3961</v>
      </c>
      <c r="D1988" t="s">
        <v>20</v>
      </c>
      <c r="E1988" t="s">
        <v>3988</v>
      </c>
      <c r="F1988" t="s">
        <v>3997</v>
      </c>
      <c r="G1988">
        <v>7</v>
      </c>
      <c r="H1988">
        <v>951.66</v>
      </c>
      <c r="I1988">
        <v>20</v>
      </c>
      <c r="J1988" t="s">
        <v>21</v>
      </c>
      <c r="K1988">
        <v>5329.3</v>
      </c>
    </row>
    <row r="1989" spans="1:11" x14ac:dyDescent="0.25">
      <c r="A1989" t="s">
        <v>3962</v>
      </c>
      <c r="B1989" s="1">
        <v>45848</v>
      </c>
      <c r="C1989" t="s">
        <v>3963</v>
      </c>
      <c r="D1989" t="s">
        <v>13</v>
      </c>
      <c r="E1989" t="s">
        <v>29</v>
      </c>
      <c r="F1989" t="s">
        <v>3998</v>
      </c>
      <c r="G1989">
        <v>8</v>
      </c>
      <c r="H1989">
        <v>1736.68</v>
      </c>
      <c r="I1989">
        <v>15</v>
      </c>
      <c r="J1989" t="s">
        <v>14</v>
      </c>
      <c r="K1989">
        <v>11809.42</v>
      </c>
    </row>
    <row r="1990" spans="1:11" x14ac:dyDescent="0.25">
      <c r="A1990" t="s">
        <v>3964</v>
      </c>
      <c r="B1990" s="1">
        <v>45212</v>
      </c>
      <c r="C1990" t="s">
        <v>3965</v>
      </c>
      <c r="D1990" t="s">
        <v>24</v>
      </c>
      <c r="E1990" t="s">
        <v>29</v>
      </c>
      <c r="F1990" t="s">
        <v>3999</v>
      </c>
      <c r="G1990">
        <v>7</v>
      </c>
      <c r="H1990">
        <v>536.44000000000005</v>
      </c>
      <c r="I1990">
        <v>0</v>
      </c>
      <c r="J1990" t="s">
        <v>14</v>
      </c>
      <c r="K1990">
        <v>3755.08</v>
      </c>
    </row>
    <row r="1991" spans="1:11" x14ac:dyDescent="0.25">
      <c r="A1991" t="s">
        <v>3966</v>
      </c>
      <c r="B1991" s="1">
        <v>45400</v>
      </c>
      <c r="C1991" t="s">
        <v>3967</v>
      </c>
      <c r="D1991" t="s">
        <v>36</v>
      </c>
      <c r="E1991" t="s">
        <v>3988</v>
      </c>
      <c r="F1991" t="s">
        <v>4000</v>
      </c>
      <c r="G1991">
        <v>5</v>
      </c>
      <c r="H1991">
        <v>1448.39</v>
      </c>
      <c r="I1991">
        <v>20</v>
      </c>
      <c r="J1991" t="s">
        <v>14</v>
      </c>
      <c r="K1991">
        <v>5793.56</v>
      </c>
    </row>
    <row r="1992" spans="1:11" x14ac:dyDescent="0.25">
      <c r="A1992" t="s">
        <v>3968</v>
      </c>
      <c r="B1992" s="1">
        <v>45622</v>
      </c>
      <c r="C1992" t="s">
        <v>3969</v>
      </c>
      <c r="D1992" t="s">
        <v>36</v>
      </c>
      <c r="E1992" t="s">
        <v>3988</v>
      </c>
      <c r="F1992" t="s">
        <v>4001</v>
      </c>
      <c r="G1992">
        <v>1</v>
      </c>
      <c r="H1992">
        <v>1719.46</v>
      </c>
      <c r="I1992">
        <v>15</v>
      </c>
      <c r="J1992" t="s">
        <v>39</v>
      </c>
      <c r="K1992">
        <v>1461.54</v>
      </c>
    </row>
    <row r="1993" spans="1:11" x14ac:dyDescent="0.25">
      <c r="A1993" t="s">
        <v>3970</v>
      </c>
      <c r="B1993" s="1">
        <v>45265</v>
      </c>
      <c r="C1993" t="s">
        <v>3971</v>
      </c>
      <c r="D1993" t="s">
        <v>13</v>
      </c>
      <c r="E1993" t="s">
        <v>3988</v>
      </c>
      <c r="F1993" t="s">
        <v>4002</v>
      </c>
      <c r="G1993">
        <v>5</v>
      </c>
      <c r="H1993">
        <v>745.7</v>
      </c>
      <c r="I1993">
        <v>15</v>
      </c>
      <c r="J1993" t="s">
        <v>21</v>
      </c>
      <c r="K1993">
        <v>3169.22</v>
      </c>
    </row>
    <row r="1994" spans="1:11" x14ac:dyDescent="0.25">
      <c r="A1994" t="s">
        <v>3972</v>
      </c>
      <c r="B1994" s="1">
        <v>45201</v>
      </c>
      <c r="C1994" t="s">
        <v>3973</v>
      </c>
      <c r="D1994" t="s">
        <v>20</v>
      </c>
      <c r="E1994" t="s">
        <v>3272</v>
      </c>
      <c r="F1994" t="s">
        <v>4003</v>
      </c>
      <c r="G1994">
        <v>2</v>
      </c>
      <c r="H1994">
        <v>1527.06</v>
      </c>
      <c r="I1994">
        <v>20</v>
      </c>
      <c r="J1994" t="s">
        <v>14</v>
      </c>
      <c r="K1994">
        <v>2443.3000000000002</v>
      </c>
    </row>
    <row r="1995" spans="1:11" x14ac:dyDescent="0.25">
      <c r="A1995" t="s">
        <v>3974</v>
      </c>
      <c r="B1995" s="1">
        <v>45248</v>
      </c>
      <c r="C1995" t="s">
        <v>3975</v>
      </c>
      <c r="D1995" t="s">
        <v>36</v>
      </c>
      <c r="E1995" t="s">
        <v>3988</v>
      </c>
      <c r="F1995" t="s">
        <v>4004</v>
      </c>
      <c r="G1995">
        <v>5</v>
      </c>
      <c r="H1995">
        <v>625.39</v>
      </c>
      <c r="I1995">
        <v>0</v>
      </c>
      <c r="J1995" t="s">
        <v>17</v>
      </c>
      <c r="K1995">
        <v>3126.95</v>
      </c>
    </row>
    <row r="1996" spans="1:11" x14ac:dyDescent="0.25">
      <c r="A1996" t="s">
        <v>3976</v>
      </c>
      <c r="B1996" s="1">
        <v>45363</v>
      </c>
      <c r="C1996" t="s">
        <v>3977</v>
      </c>
      <c r="D1996" t="s">
        <v>20</v>
      </c>
      <c r="E1996" t="s">
        <v>29</v>
      </c>
      <c r="F1996" t="s">
        <v>4005</v>
      </c>
      <c r="G1996">
        <v>5</v>
      </c>
      <c r="H1996">
        <v>632.77</v>
      </c>
      <c r="I1996">
        <v>15</v>
      </c>
      <c r="J1996" t="s">
        <v>39</v>
      </c>
      <c r="K1996">
        <v>2689.27</v>
      </c>
    </row>
    <row r="1997" spans="1:11" x14ac:dyDescent="0.25">
      <c r="A1997" t="s">
        <v>3978</v>
      </c>
      <c r="B1997" s="1">
        <v>45634</v>
      </c>
      <c r="C1997" t="s">
        <v>3979</v>
      </c>
      <c r="D1997" t="s">
        <v>36</v>
      </c>
      <c r="E1997" t="s">
        <v>3988</v>
      </c>
      <c r="F1997" t="s">
        <v>4006</v>
      </c>
      <c r="G1997">
        <v>2</v>
      </c>
      <c r="H1997">
        <v>258.76</v>
      </c>
      <c r="I1997">
        <v>10</v>
      </c>
      <c r="J1997" t="s">
        <v>14</v>
      </c>
      <c r="K1997">
        <v>465.77</v>
      </c>
    </row>
    <row r="1998" spans="1:11" x14ac:dyDescent="0.25">
      <c r="A1998" t="s">
        <v>3980</v>
      </c>
      <c r="B1998" s="1">
        <v>45641</v>
      </c>
      <c r="C1998" t="s">
        <v>3981</v>
      </c>
      <c r="D1998" t="s">
        <v>36</v>
      </c>
      <c r="E1998" t="s">
        <v>3272</v>
      </c>
      <c r="F1998" t="s">
        <v>4007</v>
      </c>
      <c r="G1998">
        <v>5</v>
      </c>
      <c r="H1998">
        <v>908.11</v>
      </c>
      <c r="I1998">
        <v>20</v>
      </c>
      <c r="J1998" t="s">
        <v>14</v>
      </c>
      <c r="K1998">
        <v>3632.44</v>
      </c>
    </row>
    <row r="1999" spans="1:11" x14ac:dyDescent="0.25">
      <c r="A1999" t="s">
        <v>3982</v>
      </c>
      <c r="B1999" s="1">
        <v>45604</v>
      </c>
      <c r="C1999" t="s">
        <v>3983</v>
      </c>
      <c r="D1999" t="s">
        <v>24</v>
      </c>
      <c r="E1999" t="s">
        <v>3988</v>
      </c>
      <c r="F1999" t="s">
        <v>4008</v>
      </c>
      <c r="G1999">
        <v>4</v>
      </c>
      <c r="H1999">
        <v>1472.94</v>
      </c>
      <c r="I1999">
        <v>5</v>
      </c>
      <c r="J1999" t="s">
        <v>39</v>
      </c>
      <c r="K1999">
        <v>5597.17</v>
      </c>
    </row>
    <row r="2000" spans="1:11" x14ac:dyDescent="0.25">
      <c r="A2000" t="s">
        <v>3984</v>
      </c>
      <c r="B2000" s="1">
        <v>45575</v>
      </c>
      <c r="C2000" t="s">
        <v>3985</v>
      </c>
      <c r="D2000" t="s">
        <v>20</v>
      </c>
      <c r="E2000" t="s">
        <v>3988</v>
      </c>
      <c r="F2000" t="s">
        <v>4009</v>
      </c>
      <c r="G2000">
        <v>1</v>
      </c>
      <c r="H2000">
        <v>1883.43</v>
      </c>
      <c r="I2000">
        <v>5</v>
      </c>
      <c r="J2000" t="s">
        <v>17</v>
      </c>
      <c r="K2000">
        <v>1789.26</v>
      </c>
    </row>
    <row r="2001" spans="1:11" x14ac:dyDescent="0.25">
      <c r="A2001" t="s">
        <v>3986</v>
      </c>
      <c r="B2001" s="1">
        <v>45703</v>
      </c>
      <c r="C2001" t="s">
        <v>3987</v>
      </c>
      <c r="D2001" t="s">
        <v>36</v>
      </c>
      <c r="E2001" t="s">
        <v>3988</v>
      </c>
      <c r="F2001" t="s">
        <v>4010</v>
      </c>
      <c r="G2001">
        <v>3</v>
      </c>
      <c r="H2001">
        <v>1227.4000000000001</v>
      </c>
      <c r="I2001">
        <v>0</v>
      </c>
      <c r="J2001" t="s">
        <v>17</v>
      </c>
      <c r="K2001">
        <v>3682.2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76C2E-B7EF-45C3-A79A-8099E62D91DE}">
  <dimension ref="A1:H96"/>
  <sheetViews>
    <sheetView topLeftCell="A80" zoomScaleNormal="100" workbookViewId="0">
      <selection activeCell="G85" sqref="G85:H93"/>
    </sheetView>
  </sheetViews>
  <sheetFormatPr defaultRowHeight="15" x14ac:dyDescent="0.25"/>
  <cols>
    <col min="3" max="3" width="13.140625" bestFit="1" customWidth="1"/>
    <col min="4" max="4" width="19.5703125" bestFit="1" customWidth="1"/>
    <col min="5" max="5" width="15.42578125" bestFit="1" customWidth="1"/>
    <col min="6" max="7" width="10" bestFit="1" customWidth="1"/>
    <col min="8" max="12" width="11" bestFit="1" customWidth="1"/>
    <col min="13" max="13" width="11.28515625" bestFit="1" customWidth="1"/>
    <col min="14" max="14" width="4.5703125" bestFit="1" customWidth="1"/>
    <col min="15" max="15" width="4.28515625" bestFit="1" customWidth="1"/>
    <col min="16" max="16" width="11.28515625" bestFit="1" customWidth="1"/>
  </cols>
  <sheetData>
    <row r="1" spans="1:4" x14ac:dyDescent="0.25">
      <c r="A1" s="3"/>
    </row>
    <row r="2" spans="1:4" x14ac:dyDescent="0.25">
      <c r="A2" s="4" t="s">
        <v>4927</v>
      </c>
    </row>
    <row r="4" spans="1:4" x14ac:dyDescent="0.25">
      <c r="C4" s="5" t="s">
        <v>4902</v>
      </c>
      <c r="D4" t="s">
        <v>4904</v>
      </c>
    </row>
    <row r="5" spans="1:4" x14ac:dyDescent="0.25">
      <c r="C5" s="2" t="s">
        <v>20</v>
      </c>
      <c r="D5">
        <v>2372290.0399999986</v>
      </c>
    </row>
    <row r="6" spans="1:4" x14ac:dyDescent="0.25">
      <c r="C6" s="2" t="s">
        <v>13</v>
      </c>
      <c r="D6">
        <v>2313587.9800000004</v>
      </c>
    </row>
    <row r="7" spans="1:4" x14ac:dyDescent="0.25">
      <c r="C7" s="2" t="s">
        <v>24</v>
      </c>
      <c r="D7">
        <v>2155331.1599999997</v>
      </c>
    </row>
    <row r="8" spans="1:4" x14ac:dyDescent="0.25">
      <c r="C8" s="2" t="s">
        <v>36</v>
      </c>
      <c r="D8">
        <v>2450888.0999999992</v>
      </c>
    </row>
    <row r="9" spans="1:4" x14ac:dyDescent="0.25">
      <c r="C9" s="2" t="s">
        <v>4903</v>
      </c>
      <c r="D9">
        <v>9292097.2799999993</v>
      </c>
    </row>
    <row r="12" spans="1:4" x14ac:dyDescent="0.25">
      <c r="A12" s="4" t="s">
        <v>4928</v>
      </c>
    </row>
    <row r="14" spans="1:4" x14ac:dyDescent="0.25">
      <c r="C14" s="5" t="s">
        <v>4902</v>
      </c>
      <c r="D14" t="s">
        <v>4904</v>
      </c>
    </row>
    <row r="15" spans="1:4" x14ac:dyDescent="0.25">
      <c r="C15" s="2" t="s">
        <v>4905</v>
      </c>
      <c r="D15">
        <v>722671.23000000021</v>
      </c>
    </row>
    <row r="16" spans="1:4" x14ac:dyDescent="0.25">
      <c r="C16" s="2" t="s">
        <v>4906</v>
      </c>
      <c r="D16">
        <v>755897.05000000028</v>
      </c>
    </row>
    <row r="17" spans="1:4" x14ac:dyDescent="0.25">
      <c r="C17" s="2" t="s">
        <v>4907</v>
      </c>
      <c r="D17">
        <v>947472.12000000023</v>
      </c>
    </row>
    <row r="18" spans="1:4" x14ac:dyDescent="0.25">
      <c r="C18" s="2" t="s">
        <v>4908</v>
      </c>
      <c r="D18">
        <v>714778.48</v>
      </c>
    </row>
    <row r="19" spans="1:4" x14ac:dyDescent="0.25">
      <c r="C19" s="2" t="s">
        <v>4909</v>
      </c>
      <c r="D19">
        <v>630726.5</v>
      </c>
    </row>
    <row r="20" spans="1:4" x14ac:dyDescent="0.25">
      <c r="C20" s="2" t="s">
        <v>4910</v>
      </c>
      <c r="D20">
        <v>842943.81000000029</v>
      </c>
    </row>
    <row r="21" spans="1:4" x14ac:dyDescent="0.25">
      <c r="C21" s="2" t="s">
        <v>4911</v>
      </c>
      <c r="D21">
        <v>876677.46999999962</v>
      </c>
    </row>
    <row r="22" spans="1:4" x14ac:dyDescent="0.25">
      <c r="C22" s="2" t="s">
        <v>4912</v>
      </c>
      <c r="D22">
        <v>563205.91000000015</v>
      </c>
    </row>
    <row r="23" spans="1:4" x14ac:dyDescent="0.25">
      <c r="C23" s="2" t="s">
        <v>4913</v>
      </c>
      <c r="D23">
        <v>650226.25</v>
      </c>
    </row>
    <row r="24" spans="1:4" x14ac:dyDescent="0.25">
      <c r="C24" s="2" t="s">
        <v>4914</v>
      </c>
      <c r="D24">
        <v>879162.36000000068</v>
      </c>
    </row>
    <row r="25" spans="1:4" x14ac:dyDescent="0.25">
      <c r="C25" s="2" t="s">
        <v>4915</v>
      </c>
      <c r="D25">
        <v>768933.22000000044</v>
      </c>
    </row>
    <row r="26" spans="1:4" x14ac:dyDescent="0.25">
      <c r="C26" s="2" t="s">
        <v>4916</v>
      </c>
      <c r="D26">
        <v>736944.89999999967</v>
      </c>
    </row>
    <row r="27" spans="1:4" x14ac:dyDescent="0.25">
      <c r="C27" s="2" t="s">
        <v>4903</v>
      </c>
      <c r="D27">
        <v>9089639.3000000026</v>
      </c>
    </row>
    <row r="30" spans="1:4" x14ac:dyDescent="0.25">
      <c r="A30" t="s">
        <v>4929</v>
      </c>
    </row>
    <row r="32" spans="1:4" x14ac:dyDescent="0.25">
      <c r="C32" s="5" t="s">
        <v>4902</v>
      </c>
      <c r="D32" t="s">
        <v>4904</v>
      </c>
    </row>
    <row r="33" spans="1:4" x14ac:dyDescent="0.25">
      <c r="C33" s="2" t="s">
        <v>29</v>
      </c>
      <c r="D33">
        <v>1876715.1799999995</v>
      </c>
    </row>
    <row r="34" spans="1:4" x14ac:dyDescent="0.25">
      <c r="C34" s="2" t="s">
        <v>3988</v>
      </c>
      <c r="D34">
        <v>5085856.8199999975</v>
      </c>
    </row>
    <row r="35" spans="1:4" x14ac:dyDescent="0.25">
      <c r="C35" s="2" t="s">
        <v>3272</v>
      </c>
      <c r="D35">
        <v>2329525.2799999993</v>
      </c>
    </row>
    <row r="36" spans="1:4" x14ac:dyDescent="0.25">
      <c r="C36" s="2" t="s">
        <v>4903</v>
      </c>
      <c r="D36">
        <v>9292097.2799999975</v>
      </c>
    </row>
    <row r="38" spans="1:4" x14ac:dyDescent="0.25">
      <c r="A38" s="4" t="s">
        <v>4930</v>
      </c>
    </row>
    <row r="39" spans="1:4" x14ac:dyDescent="0.25">
      <c r="C39" s="5" t="s">
        <v>4902</v>
      </c>
      <c r="D39" t="s">
        <v>4917</v>
      </c>
    </row>
    <row r="40" spans="1:4" x14ac:dyDescent="0.25">
      <c r="C40" s="2" t="s">
        <v>29</v>
      </c>
      <c r="D40">
        <v>1052.2517073170732</v>
      </c>
    </row>
    <row r="41" spans="1:4" x14ac:dyDescent="0.25">
      <c r="C41" s="2" t="s">
        <v>3988</v>
      </c>
      <c r="D41">
        <v>1034.976147540983</v>
      </c>
    </row>
    <row r="42" spans="1:4" x14ac:dyDescent="0.25">
      <c r="C42" s="2" t="s">
        <v>3272</v>
      </c>
      <c r="D42">
        <v>1057.6971138211386</v>
      </c>
    </row>
    <row r="43" spans="1:4" x14ac:dyDescent="0.25">
      <c r="C43" s="2" t="s">
        <v>4903</v>
      </c>
      <c r="D43">
        <v>1044.1069949999992</v>
      </c>
    </row>
    <row r="45" spans="1:4" x14ac:dyDescent="0.25">
      <c r="A45" s="4"/>
    </row>
    <row r="52" spans="1:8" x14ac:dyDescent="0.25">
      <c r="A52" t="s">
        <v>4931</v>
      </c>
    </row>
    <row r="54" spans="1:8" x14ac:dyDescent="0.25">
      <c r="C54" s="5" t="s">
        <v>4904</v>
      </c>
      <c r="D54" s="5" t="s">
        <v>4918</v>
      </c>
    </row>
    <row r="55" spans="1:8" x14ac:dyDescent="0.25">
      <c r="C55" s="5" t="s">
        <v>4902</v>
      </c>
      <c r="D55" t="s">
        <v>20</v>
      </c>
      <c r="E55" t="s">
        <v>13</v>
      </c>
      <c r="F55" t="s">
        <v>24</v>
      </c>
      <c r="G55" t="s">
        <v>36</v>
      </c>
      <c r="H55" t="s">
        <v>4903</v>
      </c>
    </row>
    <row r="56" spans="1:8" x14ac:dyDescent="0.25">
      <c r="C56" s="2" t="s">
        <v>29</v>
      </c>
      <c r="D56">
        <v>430809.64000000013</v>
      </c>
      <c r="E56">
        <v>476560.7800000002</v>
      </c>
      <c r="F56">
        <v>462967.62</v>
      </c>
      <c r="G56">
        <v>506377.14</v>
      </c>
      <c r="H56">
        <v>1876715.1800000006</v>
      </c>
    </row>
    <row r="57" spans="1:8" x14ac:dyDescent="0.25">
      <c r="C57" s="2" t="s">
        <v>3988</v>
      </c>
      <c r="D57">
        <v>1358230.6300000011</v>
      </c>
      <c r="E57">
        <v>1315523.5599999996</v>
      </c>
      <c r="F57">
        <v>1085924.8700000001</v>
      </c>
      <c r="G57">
        <v>1326177.7599999993</v>
      </c>
      <c r="H57">
        <v>5085856.82</v>
      </c>
    </row>
    <row r="58" spans="1:8" x14ac:dyDescent="0.25">
      <c r="C58" s="2" t="s">
        <v>3272</v>
      </c>
      <c r="D58">
        <v>583249.77000000025</v>
      </c>
      <c r="E58">
        <v>521503.64000000007</v>
      </c>
      <c r="F58">
        <v>606438.67000000027</v>
      </c>
      <c r="G58">
        <v>618333.20000000019</v>
      </c>
      <c r="H58">
        <v>2329525.2800000007</v>
      </c>
    </row>
    <row r="59" spans="1:8" x14ac:dyDescent="0.25">
      <c r="C59" s="2" t="s">
        <v>4903</v>
      </c>
      <c r="D59">
        <v>2372290.0400000014</v>
      </c>
      <c r="E59">
        <v>2313587.98</v>
      </c>
      <c r="F59">
        <v>2155331.1600000006</v>
      </c>
      <c r="G59">
        <v>2450888.0999999996</v>
      </c>
      <c r="H59">
        <v>9292097.2800000012</v>
      </c>
    </row>
    <row r="61" spans="1:8" x14ac:dyDescent="0.25">
      <c r="A61" s="4"/>
    </row>
    <row r="63" spans="1:8" x14ac:dyDescent="0.25">
      <c r="A63" s="4" t="s">
        <v>4932</v>
      </c>
    </row>
    <row r="65" spans="3:5" x14ac:dyDescent="0.25">
      <c r="C65" s="5" t="s">
        <v>4902</v>
      </c>
      <c r="D65" t="s">
        <v>4904</v>
      </c>
      <c r="E65" t="s">
        <v>4919</v>
      </c>
    </row>
    <row r="66" spans="3:5" x14ac:dyDescent="0.25">
      <c r="C66" s="2" t="s">
        <v>4905</v>
      </c>
      <c r="D66">
        <v>722671.23000000021</v>
      </c>
      <c r="E66">
        <v>843</v>
      </c>
    </row>
    <row r="67" spans="3:5" x14ac:dyDescent="0.25">
      <c r="C67" s="2" t="s">
        <v>4906</v>
      </c>
      <c r="D67">
        <v>755897.05000000028</v>
      </c>
      <c r="E67">
        <v>779</v>
      </c>
    </row>
    <row r="68" spans="3:5" x14ac:dyDescent="0.25">
      <c r="C68" s="2" t="s">
        <v>4907</v>
      </c>
      <c r="D68">
        <v>947472.12000000023</v>
      </c>
      <c r="E68">
        <v>961</v>
      </c>
    </row>
    <row r="69" spans="3:5" x14ac:dyDescent="0.25">
      <c r="C69" s="2" t="s">
        <v>4908</v>
      </c>
      <c r="D69">
        <v>714778.4800000001</v>
      </c>
      <c r="E69">
        <v>780</v>
      </c>
    </row>
    <row r="70" spans="3:5" x14ac:dyDescent="0.25">
      <c r="C70" s="2" t="s">
        <v>4909</v>
      </c>
      <c r="D70">
        <v>630726.50000000012</v>
      </c>
      <c r="E70">
        <v>668</v>
      </c>
    </row>
    <row r="71" spans="3:5" x14ac:dyDescent="0.25">
      <c r="C71" s="2" t="s">
        <v>4910</v>
      </c>
      <c r="D71">
        <v>842943.81000000041</v>
      </c>
      <c r="E71">
        <v>870</v>
      </c>
    </row>
    <row r="72" spans="3:5" x14ac:dyDescent="0.25">
      <c r="C72" s="2" t="s">
        <v>4911</v>
      </c>
      <c r="D72">
        <v>876677.46999999974</v>
      </c>
      <c r="E72">
        <v>952</v>
      </c>
    </row>
    <row r="73" spans="3:5" x14ac:dyDescent="0.25">
      <c r="C73" s="2" t="s">
        <v>4912</v>
      </c>
      <c r="D73">
        <v>765663.8899999999</v>
      </c>
      <c r="E73">
        <v>796</v>
      </c>
    </row>
    <row r="74" spans="3:5" x14ac:dyDescent="0.25">
      <c r="C74" s="2" t="s">
        <v>4913</v>
      </c>
      <c r="D74">
        <v>650226.24999999988</v>
      </c>
      <c r="E74">
        <v>633</v>
      </c>
    </row>
    <row r="75" spans="3:5" x14ac:dyDescent="0.25">
      <c r="C75" s="2" t="s">
        <v>4914</v>
      </c>
      <c r="D75">
        <v>879162.36000000045</v>
      </c>
      <c r="E75">
        <v>966</v>
      </c>
    </row>
    <row r="76" spans="3:5" x14ac:dyDescent="0.25">
      <c r="C76" s="2" t="s">
        <v>4915</v>
      </c>
      <c r="D76">
        <v>768933.22000000044</v>
      </c>
      <c r="E76">
        <v>829</v>
      </c>
    </row>
    <row r="77" spans="3:5" x14ac:dyDescent="0.25">
      <c r="C77" s="2" t="s">
        <v>4916</v>
      </c>
      <c r="D77">
        <v>736944.89999999967</v>
      </c>
      <c r="E77">
        <v>776</v>
      </c>
    </row>
    <row r="78" spans="3:5" x14ac:dyDescent="0.25">
      <c r="C78" s="2" t="s">
        <v>4903</v>
      </c>
      <c r="D78">
        <v>9292097.2800000012</v>
      </c>
      <c r="E78">
        <v>9853</v>
      </c>
    </row>
    <row r="81" spans="1:7" x14ac:dyDescent="0.25">
      <c r="A81" s="4" t="s">
        <v>4933</v>
      </c>
    </row>
    <row r="83" spans="1:7" x14ac:dyDescent="0.25">
      <c r="C83" s="5" t="s">
        <v>4902</v>
      </c>
      <c r="D83" t="s">
        <v>4917</v>
      </c>
    </row>
    <row r="84" spans="1:7" x14ac:dyDescent="0.25">
      <c r="C84" s="2">
        <v>1</v>
      </c>
      <c r="D84">
        <v>1113.9278838174273</v>
      </c>
      <c r="F84" s="2"/>
    </row>
    <row r="85" spans="1:7" x14ac:dyDescent="0.25">
      <c r="C85" s="2">
        <v>2</v>
      </c>
      <c r="D85">
        <v>1013.3202678571431</v>
      </c>
      <c r="F85" s="2"/>
      <c r="G85" s="2"/>
    </row>
    <row r="86" spans="1:7" x14ac:dyDescent="0.25">
      <c r="C86" s="2">
        <v>3</v>
      </c>
      <c r="D86">
        <v>995.2851315789477</v>
      </c>
      <c r="F86" s="2"/>
      <c r="G86" s="2"/>
    </row>
    <row r="87" spans="1:7" x14ac:dyDescent="0.25">
      <c r="C87" s="2">
        <v>4</v>
      </c>
      <c r="D87">
        <v>1023.3062679425841</v>
      </c>
      <c r="F87" s="2"/>
      <c r="G87" s="2"/>
    </row>
    <row r="88" spans="1:7" x14ac:dyDescent="0.25">
      <c r="C88" s="2">
        <v>5</v>
      </c>
      <c r="D88">
        <v>990.90729613733913</v>
      </c>
      <c r="F88" s="2"/>
      <c r="G88" s="2"/>
    </row>
    <row r="89" spans="1:7" x14ac:dyDescent="0.25">
      <c r="C89" s="2">
        <v>6</v>
      </c>
      <c r="D89">
        <v>1046.0387155963297</v>
      </c>
      <c r="F89" s="2"/>
      <c r="G89" s="2"/>
    </row>
    <row r="90" spans="1:7" x14ac:dyDescent="0.25">
      <c r="C90" s="2">
        <v>7</v>
      </c>
      <c r="D90">
        <v>1035.6628899082566</v>
      </c>
      <c r="F90" s="2"/>
      <c r="G90" s="2"/>
    </row>
    <row r="91" spans="1:7" x14ac:dyDescent="0.25">
      <c r="C91" s="2">
        <v>8</v>
      </c>
      <c r="D91">
        <v>1086.8861111111112</v>
      </c>
      <c r="F91" s="2"/>
      <c r="G91" s="2"/>
    </row>
    <row r="92" spans="1:7" x14ac:dyDescent="0.25">
      <c r="C92" s="2">
        <v>9</v>
      </c>
      <c r="D92">
        <v>1091.6331455399061</v>
      </c>
      <c r="F92" s="2"/>
      <c r="G92" s="2"/>
    </row>
    <row r="93" spans="1:7" x14ac:dyDescent="0.25">
      <c r="C93" s="2" t="s">
        <v>4903</v>
      </c>
      <c r="D93">
        <v>1044.106994999999</v>
      </c>
      <c r="G93" s="2"/>
    </row>
    <row r="95" spans="1:7" ht="15" customHeight="1" x14ac:dyDescent="0.5">
      <c r="A95" s="8"/>
      <c r="B95" s="7"/>
      <c r="F95" s="7"/>
    </row>
    <row r="96" spans="1:7" ht="15" customHeight="1" x14ac:dyDescent="0.5">
      <c r="A96" s="7"/>
      <c r="B96" s="7"/>
      <c r="F96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43410-2D04-4E29-99EA-B06EA8AD387E}">
  <sheetPr>
    <pageSetUpPr autoPageBreaks="0"/>
  </sheetPr>
  <dimension ref="A1"/>
  <sheetViews>
    <sheetView showGridLines="0" topLeftCell="A21" zoomScaleNormal="100" zoomScaleSheetLayoutView="49" workbookViewId="0">
      <selection activeCell="H3" sqref="H3"/>
    </sheetView>
  </sheetViews>
  <sheetFormatPr defaultRowHeight="15" x14ac:dyDescent="0.25"/>
  <cols>
    <col min="1" max="16384" width="9.140625" style="6"/>
  </cols>
  <sheetData/>
  <pageMargins left="0.7" right="0.7" top="0.75" bottom="0.75" header="0.3" footer="0.3"/>
  <pageSetup orientation="portrait" r:id="rId1"/>
  <colBreaks count="1" manualBreakCount="1">
    <brk id="8" max="1048575" man="1"/>
  </colBreaks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F245E-83CA-4918-8542-CB206E740497}">
  <dimension ref="A2:H26"/>
  <sheetViews>
    <sheetView showGridLines="0" tabSelected="1" topLeftCell="A14" workbookViewId="0">
      <selection activeCell="T18" sqref="T18"/>
    </sheetView>
  </sheetViews>
  <sheetFormatPr defaultRowHeight="15" x14ac:dyDescent="0.25"/>
  <cols>
    <col min="1" max="16384" width="9.140625" style="6"/>
  </cols>
  <sheetData>
    <row r="2" spans="1:8" x14ac:dyDescent="0.25">
      <c r="A2" s="9"/>
    </row>
    <row r="3" spans="1:8" x14ac:dyDescent="0.25">
      <c r="A3" s="13"/>
      <c r="B3" s="13"/>
      <c r="C3" s="13"/>
      <c r="D3" s="13"/>
      <c r="E3" s="13"/>
      <c r="F3" s="13"/>
    </row>
    <row r="4" spans="1:8" x14ac:dyDescent="0.25">
      <c r="A4" s="13"/>
      <c r="B4" s="13"/>
      <c r="C4" s="13"/>
      <c r="D4" s="13"/>
      <c r="E4" s="13"/>
      <c r="F4" s="13"/>
    </row>
    <row r="7" spans="1:8" ht="15.75" x14ac:dyDescent="0.25">
      <c r="A7" s="10">
        <v>1</v>
      </c>
      <c r="B7" s="14" t="s">
        <v>4920</v>
      </c>
      <c r="C7" s="14"/>
      <c r="D7" s="14"/>
      <c r="E7" s="14"/>
      <c r="F7" s="14"/>
    </row>
    <row r="8" spans="1:8" x14ac:dyDescent="0.25">
      <c r="B8" s="13" t="s">
        <v>4019</v>
      </c>
      <c r="C8" s="13"/>
      <c r="D8" s="13"/>
      <c r="E8" s="13"/>
      <c r="F8" s="13"/>
      <c r="G8" s="13">
        <f>VLOOKUP(B8,Data!F1:I2001,2,1)</f>
        <v>3</v>
      </c>
      <c r="H8" s="13"/>
    </row>
    <row r="10" spans="1:8" x14ac:dyDescent="0.25">
      <c r="A10" s="10">
        <v>2</v>
      </c>
      <c r="B10" s="15" t="s">
        <v>4921</v>
      </c>
      <c r="C10" s="15"/>
      <c r="D10" s="15"/>
      <c r="E10" s="15"/>
      <c r="F10" s="15"/>
    </row>
    <row r="11" spans="1:8" x14ac:dyDescent="0.25">
      <c r="B11" s="13" t="s">
        <v>25</v>
      </c>
      <c r="C11" s="13"/>
      <c r="D11" s="13"/>
      <c r="E11" s="13"/>
      <c r="F11" s="13"/>
      <c r="G11" s="6">
        <f>INDEX(Data!A1:K2001,MATCH('Look up Analysis'!B11,Data!A:A,0),MATCH("Discount%",Data!A1:K1,0))</f>
        <v>20</v>
      </c>
    </row>
    <row r="13" spans="1:8" x14ac:dyDescent="0.25">
      <c r="A13" s="6">
        <v>3</v>
      </c>
      <c r="B13" s="15" t="s">
        <v>4922</v>
      </c>
      <c r="C13" s="15"/>
      <c r="D13" s="15"/>
      <c r="E13" s="15"/>
      <c r="F13" s="15"/>
    </row>
    <row r="14" spans="1:8" x14ac:dyDescent="0.25">
      <c r="B14" s="13" t="s">
        <v>22</v>
      </c>
      <c r="C14" s="13"/>
      <c r="D14" s="13"/>
      <c r="E14" s="13"/>
      <c r="F14" s="13"/>
      <c r="G14" s="6" t="str">
        <f>_xlfn.XLOOKUP(B14,Data!A:A,Data!C:C)</f>
        <v>Michelle Lewis</v>
      </c>
    </row>
    <row r="15" spans="1:8" x14ac:dyDescent="0.25">
      <c r="B15" s="12"/>
      <c r="C15" s="12"/>
      <c r="D15" s="12"/>
      <c r="E15" s="12"/>
      <c r="F15" s="12"/>
      <c r="G15" s="12"/>
      <c r="H15" s="12"/>
    </row>
    <row r="16" spans="1:8" x14ac:dyDescent="0.25">
      <c r="A16" s="6">
        <v>4</v>
      </c>
      <c r="B16" s="15" t="s">
        <v>4923</v>
      </c>
      <c r="C16" s="15"/>
      <c r="D16" s="15"/>
      <c r="E16" s="15"/>
      <c r="F16" s="15"/>
      <c r="G16" s="15"/>
      <c r="H16" s="15"/>
    </row>
    <row r="17" spans="1:8" x14ac:dyDescent="0.25">
      <c r="B17" s="13">
        <f>MAX(Data!K:K,1)</f>
        <v>17598.150000000001</v>
      </c>
      <c r="C17" s="13"/>
      <c r="D17" s="13"/>
      <c r="E17" s="13"/>
      <c r="F17" s="13"/>
      <c r="G17" s="13" t="str">
        <f>_xlfn.XLOOKUP(MAX('Look up Analysis'!B17:F17),Data!K:K,Data!C:C)</f>
        <v>Michael Hill</v>
      </c>
      <c r="H17" s="13"/>
    </row>
    <row r="19" spans="1:8" x14ac:dyDescent="0.25">
      <c r="A19" s="6">
        <v>5</v>
      </c>
      <c r="B19" s="15" t="s">
        <v>4926</v>
      </c>
      <c r="C19" s="15"/>
      <c r="D19" s="15"/>
      <c r="E19" s="15"/>
      <c r="F19" s="15"/>
      <c r="G19" s="15"/>
      <c r="H19" s="15"/>
    </row>
    <row r="20" spans="1:8" x14ac:dyDescent="0.25">
      <c r="B20" s="13" t="s">
        <v>4034</v>
      </c>
      <c r="C20" s="13"/>
      <c r="D20" s="13"/>
      <c r="E20" s="13"/>
      <c r="F20" s="13"/>
      <c r="G20" s="13" t="str">
        <f>INDEX(Data!A1:K2001,MATCH(B20,Data!F:F,0), MATCH("PaymentMethod",Data!A1:K1,0))</f>
        <v>UPI</v>
      </c>
      <c r="H20" s="13"/>
    </row>
    <row r="22" spans="1:8" x14ac:dyDescent="0.25">
      <c r="A22" s="6">
        <v>6</v>
      </c>
      <c r="B22" s="15" t="s">
        <v>4925</v>
      </c>
      <c r="C22" s="15"/>
      <c r="D22" s="15"/>
      <c r="E22" s="15"/>
      <c r="F22" s="15"/>
      <c r="G22" s="15"/>
      <c r="H22" s="15"/>
    </row>
    <row r="23" spans="1:8" x14ac:dyDescent="0.25">
      <c r="B23" s="13" t="s">
        <v>3988</v>
      </c>
      <c r="C23" s="13"/>
      <c r="D23" s="13"/>
      <c r="E23" s="13"/>
      <c r="F23" s="13"/>
      <c r="G23" s="13">
        <f>AVERAGEIF(Data!E:E,'Look up Analysis'!B23,Data!K:K)</f>
        <v>4631.9278870673934</v>
      </c>
      <c r="H23" s="13"/>
    </row>
    <row r="25" spans="1:8" x14ac:dyDescent="0.25">
      <c r="A25" s="6">
        <v>7</v>
      </c>
      <c r="B25" s="15" t="s">
        <v>4924</v>
      </c>
      <c r="C25" s="15"/>
      <c r="D25" s="15"/>
      <c r="E25" s="15"/>
      <c r="F25" s="15"/>
      <c r="G25" s="15"/>
      <c r="H25" s="15"/>
    </row>
    <row r="26" spans="1:8" x14ac:dyDescent="0.25">
      <c r="B26" s="13" t="s">
        <v>3988</v>
      </c>
      <c r="C26" s="13"/>
      <c r="D26" s="13"/>
      <c r="E26" s="13"/>
      <c r="F26" s="13"/>
      <c r="G26" s="13">
        <f>_xlfn.MAXIFS(Data!K:K,Data!E:E,'Look up Analysis'!B26)</f>
        <v>17224.740000000002</v>
      </c>
      <c r="H26" s="13"/>
    </row>
  </sheetData>
  <mergeCells count="20">
    <mergeCell ref="B25:H25"/>
    <mergeCell ref="B26:F26"/>
    <mergeCell ref="G26:H26"/>
    <mergeCell ref="B19:H19"/>
    <mergeCell ref="B20:F20"/>
    <mergeCell ref="G20:H20"/>
    <mergeCell ref="B22:H22"/>
    <mergeCell ref="B23:F23"/>
    <mergeCell ref="G23:H23"/>
    <mergeCell ref="G8:H8"/>
    <mergeCell ref="B16:H16"/>
    <mergeCell ref="B17:F17"/>
    <mergeCell ref="G17:H17"/>
    <mergeCell ref="B13:F13"/>
    <mergeCell ref="B14:F14"/>
    <mergeCell ref="A3:F4"/>
    <mergeCell ref="B7:F7"/>
    <mergeCell ref="B8:F8"/>
    <mergeCell ref="B10:F10"/>
    <mergeCell ref="B11:F11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7E6D903-0331-44BB-9C9F-0AC1E102FE1A}">
          <x14:formula1>
            <xm:f>Data!$F:$F</xm:f>
          </x14:formula1>
          <xm:sqref>B8:F8</xm:sqref>
        </x14:dataValidation>
        <x14:dataValidation type="list" allowBlank="1" showInputMessage="1" showErrorMessage="1" xr:uid="{2D707F81-84B4-4AF0-8775-B95A4AA4BE27}">
          <x14:formula1>
            <xm:f>Data!$A$2:$A$2001</xm:f>
          </x14:formula1>
          <xm:sqref>B14:F14 B11:F11</xm:sqref>
        </x14:dataValidation>
        <x14:dataValidation type="list" allowBlank="1" showInputMessage="1" showErrorMessage="1" xr:uid="{ADDD6294-7420-47AC-B6D2-CC81EE91D1ED}">
          <x14:formula1>
            <xm:f>Data!$F$2:$F$2001</xm:f>
          </x14:formula1>
          <xm:sqref>B20:F20</xm:sqref>
        </x14:dataValidation>
        <x14:dataValidation type="list" allowBlank="1" showInputMessage="1" showErrorMessage="1" xr:uid="{9EAC8B48-A446-4A82-9256-380801DC9FC1}">
          <x14:formula1>
            <xm:f>Data!$E$2:$E$2001</xm:f>
          </x14:formula1>
          <xm:sqref>B26:F26 B23:F23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Introduction</vt:lpstr>
      <vt:lpstr>Data</vt:lpstr>
      <vt:lpstr>pivot</vt:lpstr>
      <vt:lpstr>Dashboard</vt:lpstr>
      <vt:lpstr>Look up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</dc:creator>
  <cp:lastModifiedBy>Simran Naudiyal</cp:lastModifiedBy>
  <dcterms:created xsi:type="dcterms:W3CDTF">2025-08-20T06:08:57Z</dcterms:created>
  <dcterms:modified xsi:type="dcterms:W3CDTF">2026-06-05T19:50:52Z</dcterms:modified>
</cp:coreProperties>
</file>